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Users\cmondragon.PCH\Downloads\"/>
    </mc:Choice>
  </mc:AlternateContent>
  <xr:revisionPtr revIDLastSave="0" documentId="13_ncr:1_{D1DCB94D-1BE9-4760-9CBF-29ED236BE890}" xr6:coauthVersionLast="47" xr6:coauthVersionMax="47" xr10:uidLastSave="{00000000-0000-0000-0000-000000000000}"/>
  <bookViews>
    <workbookView xWindow="9285" yWindow="1110" windowWidth="14190" windowHeight="12060" xr2:uid="{00000000-000D-0000-FFFF-FFFF00000000}"/>
  </bookViews>
  <sheets>
    <sheet name="Commercial" sheetId="1" r:id="rId1"/>
    <sheet name="COM Winbacks" sheetId="2" r:id="rId2"/>
    <sheet name="Residential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9sPSW1JqeXLMvaBeYExtzhNWNjsEB7IUNpzRMQJRlWI="/>
    </ext>
  </extLst>
</workbook>
</file>

<file path=xl/calcChain.xml><?xml version="1.0" encoding="utf-8"?>
<calcChain xmlns="http://schemas.openxmlformats.org/spreadsheetml/2006/main">
  <c r="H37" i="1" l="1"/>
  <c r="D37" i="1"/>
  <c r="D39" i="1" s="1"/>
  <c r="E37" i="1"/>
  <c r="E39" i="1" s="1"/>
  <c r="F37" i="1"/>
  <c r="F39" i="1" s="1"/>
  <c r="G37" i="1"/>
  <c r="C37" i="1"/>
  <c r="Q20" i="4"/>
  <c r="P20" i="4"/>
  <c r="O20" i="4"/>
  <c r="N20" i="4"/>
  <c r="M20" i="4"/>
  <c r="Q19" i="4"/>
  <c r="P19" i="4"/>
  <c r="O19" i="4"/>
  <c r="N19" i="4"/>
  <c r="M19" i="4"/>
  <c r="Q18" i="4"/>
  <c r="P18" i="4"/>
  <c r="O18" i="4"/>
  <c r="N18" i="4"/>
  <c r="M18" i="4"/>
  <c r="Q17" i="4"/>
  <c r="P17" i="4"/>
  <c r="O17" i="4"/>
  <c r="N17" i="4"/>
  <c r="M17" i="4"/>
  <c r="Q16" i="4"/>
  <c r="P16" i="4"/>
  <c r="O16" i="4"/>
  <c r="N16" i="4"/>
  <c r="Q13" i="4"/>
  <c r="P13" i="4"/>
  <c r="O13" i="4"/>
  <c r="N13" i="4"/>
  <c r="M13" i="4"/>
  <c r="Q12" i="4"/>
  <c r="P12" i="4"/>
  <c r="O12" i="4"/>
  <c r="N12" i="4"/>
  <c r="M12" i="4"/>
  <c r="Q11" i="4"/>
  <c r="P11" i="4"/>
  <c r="O11" i="4"/>
  <c r="N11" i="4"/>
  <c r="M11" i="4"/>
  <c r="Q10" i="4"/>
  <c r="P10" i="4"/>
  <c r="O10" i="4"/>
  <c r="N10" i="4"/>
  <c r="M10" i="4"/>
  <c r="Q9" i="4"/>
  <c r="P9" i="4"/>
  <c r="O9" i="4"/>
  <c r="N9" i="4"/>
  <c r="M9" i="4"/>
  <c r="Q8" i="4"/>
  <c r="P8" i="4"/>
  <c r="O8" i="4"/>
  <c r="N8" i="4"/>
  <c r="M8" i="4"/>
  <c r="Q7" i="4"/>
  <c r="P7" i="4"/>
  <c r="O7" i="4"/>
  <c r="N7" i="4"/>
  <c r="M7" i="4"/>
  <c r="Q6" i="4"/>
  <c r="P6" i="4"/>
  <c r="O6" i="4"/>
  <c r="N6" i="4"/>
  <c r="M6" i="4"/>
  <c r="Q5" i="4"/>
  <c r="P5" i="4"/>
  <c r="O5" i="4"/>
  <c r="N5" i="4"/>
  <c r="M5" i="4"/>
  <c r="Q4" i="4"/>
  <c r="P4" i="4"/>
  <c r="O4" i="4"/>
  <c r="N4" i="4"/>
  <c r="M4" i="4"/>
  <c r="Q3" i="4"/>
  <c r="P3" i="4"/>
  <c r="O3" i="4"/>
  <c r="N3" i="4"/>
  <c r="M16" i="4"/>
  <c r="M3" i="4"/>
  <c r="D25" i="1"/>
  <c r="E25" i="1"/>
  <c r="F25" i="1"/>
  <c r="G25" i="1"/>
  <c r="C25" i="1"/>
  <c r="H25" i="1" s="1"/>
  <c r="D16" i="1"/>
  <c r="E16" i="1"/>
  <c r="F16" i="1"/>
  <c r="G16" i="1"/>
  <c r="C16" i="1"/>
  <c r="C39" i="1" s="1"/>
  <c r="C17" i="3"/>
  <c r="D17" i="3"/>
  <c r="E17" i="3"/>
  <c r="G17" i="3"/>
  <c r="F17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H17" i="3"/>
  <c r="H4" i="3"/>
  <c r="L4" i="3" s="1"/>
  <c r="H5" i="3"/>
  <c r="L5" i="3" s="1"/>
  <c r="H6" i="3"/>
  <c r="L6" i="3" s="1"/>
  <c r="H7" i="3"/>
  <c r="H8" i="3"/>
  <c r="H9" i="3"/>
  <c r="L9" i="3" s="1"/>
  <c r="H10" i="3"/>
  <c r="H11" i="3"/>
  <c r="H12" i="3"/>
  <c r="H13" i="3"/>
  <c r="L13" i="3" s="1"/>
  <c r="H14" i="3"/>
  <c r="H15" i="3"/>
  <c r="H16" i="3"/>
  <c r="L16" i="3" s="1"/>
  <c r="H3" i="3"/>
  <c r="L3" i="3" s="1"/>
  <c r="J20" i="1"/>
  <c r="J21" i="1"/>
  <c r="J22" i="1"/>
  <c r="J23" i="1"/>
  <c r="J24" i="1"/>
  <c r="J5" i="1"/>
  <c r="J6" i="1"/>
  <c r="J7" i="1"/>
  <c r="J8" i="1"/>
  <c r="J9" i="1"/>
  <c r="J10" i="1"/>
  <c r="J11" i="1"/>
  <c r="J12" i="1"/>
  <c r="J13" i="1"/>
  <c r="J14" i="1"/>
  <c r="J15" i="1"/>
  <c r="J3" i="1"/>
  <c r="H14" i="1"/>
  <c r="L14" i="1" s="1"/>
  <c r="H15" i="1"/>
  <c r="L15" i="1" s="1"/>
  <c r="H20" i="1"/>
  <c r="H21" i="1"/>
  <c r="L21" i="1" s="1"/>
  <c r="H22" i="1"/>
  <c r="L22" i="1" s="1"/>
  <c r="H23" i="1"/>
  <c r="L23" i="1" s="1"/>
  <c r="H24" i="1"/>
  <c r="H19" i="1"/>
  <c r="J19" i="1" s="1"/>
  <c r="H4" i="1"/>
  <c r="J4" i="1" s="1"/>
  <c r="H5" i="1"/>
  <c r="H6" i="1"/>
  <c r="L6" i="1" s="1"/>
  <c r="H7" i="1"/>
  <c r="H8" i="1"/>
  <c r="H9" i="1"/>
  <c r="H10" i="1"/>
  <c r="L10" i="1" s="1"/>
  <c r="H11" i="1"/>
  <c r="H12" i="1"/>
  <c r="H13" i="1"/>
  <c r="H3" i="1"/>
  <c r="A4" i="4"/>
  <c r="B4" i="4" s="1"/>
  <c r="A5" i="4"/>
  <c r="B5" i="4" s="1"/>
  <c r="A6" i="4"/>
  <c r="B6" i="4" s="1"/>
  <c r="A7" i="4"/>
  <c r="B7" i="4" s="1"/>
  <c r="A8" i="4"/>
  <c r="B8" i="4" s="1"/>
  <c r="A9" i="4"/>
  <c r="A10" i="4"/>
  <c r="B10" i="4" s="1"/>
  <c r="A11" i="4"/>
  <c r="B11" i="4" s="1"/>
  <c r="A12" i="4"/>
  <c r="H12" i="4" s="1"/>
  <c r="A13" i="4"/>
  <c r="A16" i="4"/>
  <c r="A17" i="4"/>
  <c r="A18" i="4"/>
  <c r="B18" i="4" s="1"/>
  <c r="A19" i="4"/>
  <c r="J19" i="4" s="1"/>
  <c r="A20" i="4"/>
  <c r="A3" i="4"/>
  <c r="B3" i="4" s="1"/>
  <c r="J20" i="4"/>
  <c r="E20" i="4"/>
  <c r="L12" i="4"/>
  <c r="J12" i="4"/>
  <c r="E12" i="4"/>
  <c r="L10" i="4"/>
  <c r="J10" i="4"/>
  <c r="H10" i="4"/>
  <c r="G10" i="4"/>
  <c r="E10" i="4"/>
  <c r="E9" i="4"/>
  <c r="L8" i="4"/>
  <c r="G8" i="4"/>
  <c r="E8" i="4"/>
  <c r="L7" i="4"/>
  <c r="J7" i="4"/>
  <c r="H7" i="4"/>
  <c r="G7" i="4"/>
  <c r="E7" i="4"/>
  <c r="C7" i="4"/>
  <c r="L6" i="4"/>
  <c r="J6" i="4"/>
  <c r="H6" i="4"/>
  <c r="G6" i="4"/>
  <c r="E6" i="4"/>
  <c r="C6" i="4"/>
  <c r="J4" i="4"/>
  <c r="H4" i="4"/>
  <c r="H41" i="3"/>
  <c r="L41" i="3" s="1"/>
  <c r="H40" i="3"/>
  <c r="L40" i="3" s="1"/>
  <c r="H39" i="3"/>
  <c r="L39" i="3" s="1"/>
  <c r="L38" i="3"/>
  <c r="J38" i="3"/>
  <c r="H38" i="3"/>
  <c r="H36" i="3"/>
  <c r="L36" i="3" s="1"/>
  <c r="L35" i="3"/>
  <c r="H35" i="3"/>
  <c r="J35" i="3" s="1"/>
  <c r="H34" i="3"/>
  <c r="L34" i="3" s="1"/>
  <c r="H33" i="3"/>
  <c r="L33" i="3" s="1"/>
  <c r="K30" i="3"/>
  <c r="I30" i="3"/>
  <c r="I42" i="3" s="1"/>
  <c r="G30" i="3"/>
  <c r="G42" i="3" s="1"/>
  <c r="G44" i="3" s="1"/>
  <c r="F30" i="3"/>
  <c r="F42" i="3" s="1"/>
  <c r="F44" i="3" s="1"/>
  <c r="E30" i="3"/>
  <c r="E42" i="3" s="1"/>
  <c r="E44" i="3" s="1"/>
  <c r="D30" i="3"/>
  <c r="D42" i="3" s="1"/>
  <c r="D44" i="3" s="1"/>
  <c r="C30" i="3"/>
  <c r="C42" i="3" s="1"/>
  <c r="C44" i="3" s="1"/>
  <c r="H29" i="3"/>
  <c r="L29" i="3" s="1"/>
  <c r="H28" i="3"/>
  <c r="L28" i="3" s="1"/>
  <c r="H27" i="3"/>
  <c r="L27" i="3" s="1"/>
  <c r="H26" i="3"/>
  <c r="J26" i="3" s="1"/>
  <c r="H25" i="3"/>
  <c r="L25" i="3" s="1"/>
  <c r="L24" i="3"/>
  <c r="H24" i="3"/>
  <c r="J24" i="3" s="1"/>
  <c r="H23" i="3"/>
  <c r="L23" i="3" s="1"/>
  <c r="L22" i="3"/>
  <c r="H22" i="3"/>
  <c r="J22" i="3" s="1"/>
  <c r="H21" i="3"/>
  <c r="L21" i="3" s="1"/>
  <c r="H20" i="3"/>
  <c r="J20" i="3" s="1"/>
  <c r="K17" i="3"/>
  <c r="K42" i="3" s="1"/>
  <c r="L15" i="3"/>
  <c r="L14" i="3"/>
  <c r="L12" i="3"/>
  <c r="L11" i="3"/>
  <c r="L10" i="3"/>
  <c r="L8" i="3"/>
  <c r="L7" i="3"/>
  <c r="N30" i="2"/>
  <c r="L30" i="2"/>
  <c r="J30" i="2"/>
  <c r="J29" i="2"/>
  <c r="N29" i="2" s="1"/>
  <c r="N28" i="2"/>
  <c r="L28" i="2"/>
  <c r="J28" i="2"/>
  <c r="J27" i="2"/>
  <c r="N27" i="2" s="1"/>
  <c r="M25" i="2"/>
  <c r="K25" i="2"/>
  <c r="I25" i="2"/>
  <c r="H25" i="2"/>
  <c r="G25" i="2"/>
  <c r="F25" i="2"/>
  <c r="E25" i="2"/>
  <c r="D25" i="2"/>
  <c r="C25" i="2"/>
  <c r="N24" i="2"/>
  <c r="L24" i="2"/>
  <c r="J24" i="2"/>
  <c r="J23" i="2"/>
  <c r="N23" i="2" s="1"/>
  <c r="N22" i="2"/>
  <c r="L22" i="2"/>
  <c r="J22" i="2"/>
  <c r="J25" i="2" s="1"/>
  <c r="N25" i="2" s="1"/>
  <c r="M19" i="2"/>
  <c r="K19" i="2"/>
  <c r="I19" i="2"/>
  <c r="H19" i="2"/>
  <c r="G19" i="2"/>
  <c r="F19" i="2"/>
  <c r="E19" i="2"/>
  <c r="D19" i="2"/>
  <c r="C19" i="2"/>
  <c r="J18" i="2"/>
  <c r="N18" i="2" s="1"/>
  <c r="N17" i="2"/>
  <c r="L17" i="2"/>
  <c r="J17" i="2"/>
  <c r="J16" i="2"/>
  <c r="N16" i="2" s="1"/>
  <c r="N15" i="2"/>
  <c r="L15" i="2"/>
  <c r="J15" i="2"/>
  <c r="J14" i="2"/>
  <c r="N14" i="2" s="1"/>
  <c r="M11" i="2"/>
  <c r="M31" i="2" s="1"/>
  <c r="K11" i="2"/>
  <c r="K31" i="2" s="1"/>
  <c r="I11" i="2"/>
  <c r="H11" i="2"/>
  <c r="H31" i="2" s="1"/>
  <c r="H33" i="2" s="1"/>
  <c r="G11" i="2"/>
  <c r="G31" i="2" s="1"/>
  <c r="G33" i="2" s="1"/>
  <c r="F11" i="2"/>
  <c r="F31" i="2" s="1"/>
  <c r="F33" i="2" s="1"/>
  <c r="E11" i="2"/>
  <c r="E31" i="2" s="1"/>
  <c r="E33" i="2" s="1"/>
  <c r="D11" i="2"/>
  <c r="D31" i="2" s="1"/>
  <c r="D33" i="2" s="1"/>
  <c r="C11" i="2"/>
  <c r="C31" i="2" s="1"/>
  <c r="C33" i="2" s="1"/>
  <c r="N10" i="2"/>
  <c r="L10" i="2"/>
  <c r="J10" i="2"/>
  <c r="J9" i="2"/>
  <c r="N9" i="2" s="1"/>
  <c r="N8" i="2"/>
  <c r="L8" i="2"/>
  <c r="J8" i="2"/>
  <c r="J7" i="2"/>
  <c r="N7" i="2" s="1"/>
  <c r="N6" i="2"/>
  <c r="L6" i="2"/>
  <c r="J6" i="2"/>
  <c r="J5" i="2"/>
  <c r="N5" i="2" s="1"/>
  <c r="N4" i="2"/>
  <c r="L4" i="2"/>
  <c r="J4" i="2"/>
  <c r="J3" i="2"/>
  <c r="J11" i="2" s="1"/>
  <c r="K37" i="1"/>
  <c r="I37" i="1"/>
  <c r="G39" i="1"/>
  <c r="H36" i="1"/>
  <c r="L36" i="1" s="1"/>
  <c r="H35" i="1"/>
  <c r="L35" i="1" s="1"/>
  <c r="L34" i="1"/>
  <c r="H34" i="1"/>
  <c r="J34" i="1" s="1"/>
  <c r="H33" i="1"/>
  <c r="J33" i="1" s="1"/>
  <c r="K31" i="1"/>
  <c r="I31" i="1"/>
  <c r="G31" i="1"/>
  <c r="F31" i="1"/>
  <c r="E31" i="1"/>
  <c r="D31" i="1"/>
  <c r="C31" i="1"/>
  <c r="L30" i="1"/>
  <c r="H30" i="1"/>
  <c r="J30" i="1" s="1"/>
  <c r="H29" i="1"/>
  <c r="L29" i="1" s="1"/>
  <c r="L28" i="1"/>
  <c r="H28" i="1"/>
  <c r="J28" i="1" s="1"/>
  <c r="L24" i="1"/>
  <c r="L20" i="1"/>
  <c r="L13" i="1"/>
  <c r="L12" i="1"/>
  <c r="L11" i="1"/>
  <c r="L9" i="1"/>
  <c r="L8" i="1"/>
  <c r="L7" i="1"/>
  <c r="L5" i="1"/>
  <c r="L3" i="1"/>
  <c r="L4" i="1" l="1"/>
  <c r="L19" i="1"/>
  <c r="L4" i="4"/>
  <c r="L5" i="4"/>
  <c r="C4" i="4"/>
  <c r="E4" i="4"/>
  <c r="G4" i="4"/>
  <c r="T5" i="4"/>
  <c r="H19" i="4"/>
  <c r="C5" i="4"/>
  <c r="L19" i="4"/>
  <c r="E5" i="4"/>
  <c r="G5" i="4"/>
  <c r="H5" i="4"/>
  <c r="J5" i="4"/>
  <c r="C13" i="4"/>
  <c r="C8" i="4"/>
  <c r="E13" i="4"/>
  <c r="J13" i="4"/>
  <c r="G13" i="4"/>
  <c r="H8" i="4"/>
  <c r="L13" i="4"/>
  <c r="V13" i="4" s="1"/>
  <c r="J8" i="4"/>
  <c r="C20" i="4"/>
  <c r="C18" i="4"/>
  <c r="E18" i="4"/>
  <c r="G18" i="4"/>
  <c r="V8" i="4"/>
  <c r="J18" i="4"/>
  <c r="L18" i="4"/>
  <c r="E17" i="4"/>
  <c r="H16" i="1"/>
  <c r="J3" i="3"/>
  <c r="L25" i="1"/>
  <c r="J25" i="1"/>
  <c r="J16" i="1"/>
  <c r="J37" i="1" s="1"/>
  <c r="G17" i="4"/>
  <c r="C11" i="4"/>
  <c r="E11" i="4"/>
  <c r="G11" i="4"/>
  <c r="J11" i="4"/>
  <c r="B17" i="4"/>
  <c r="L11" i="4"/>
  <c r="B16" i="4"/>
  <c r="B13" i="4"/>
  <c r="B12" i="4"/>
  <c r="L20" i="3"/>
  <c r="L26" i="3"/>
  <c r="J33" i="3"/>
  <c r="J40" i="3"/>
  <c r="J28" i="3"/>
  <c r="C9" i="4"/>
  <c r="G9" i="4"/>
  <c r="H9" i="4"/>
  <c r="J9" i="4"/>
  <c r="B9" i="4"/>
  <c r="L9" i="4"/>
  <c r="J36" i="1"/>
  <c r="B20" i="4"/>
  <c r="B19" i="4"/>
  <c r="G20" i="4"/>
  <c r="L20" i="4"/>
  <c r="G12" i="4"/>
  <c r="V12" i="4" s="1"/>
  <c r="E19" i="4"/>
  <c r="T20" i="4"/>
  <c r="G19" i="4"/>
  <c r="J17" i="4"/>
  <c r="C16" i="4"/>
  <c r="L17" i="4"/>
  <c r="E16" i="4"/>
  <c r="H17" i="4"/>
  <c r="G16" i="4"/>
  <c r="J16" i="4"/>
  <c r="L16" i="4"/>
  <c r="V4" i="4"/>
  <c r="V10" i="4"/>
  <c r="T4" i="4"/>
  <c r="T8" i="4"/>
  <c r="T7" i="4"/>
  <c r="R7" i="4"/>
  <c r="R5" i="4"/>
  <c r="T12" i="4"/>
  <c r="F13" i="4"/>
  <c r="D13" i="4"/>
  <c r="K13" i="4"/>
  <c r="I13" i="4"/>
  <c r="H13" i="4"/>
  <c r="T6" i="4"/>
  <c r="V6" i="4"/>
  <c r="K12" i="4"/>
  <c r="I12" i="4"/>
  <c r="F12" i="4"/>
  <c r="D12" i="4"/>
  <c r="C12" i="4"/>
  <c r="F20" i="4"/>
  <c r="D20" i="4"/>
  <c r="K20" i="4"/>
  <c r="I20" i="4"/>
  <c r="H20" i="4"/>
  <c r="F11" i="4"/>
  <c r="D11" i="4"/>
  <c r="K11" i="4"/>
  <c r="I11" i="4"/>
  <c r="H11" i="4"/>
  <c r="R4" i="4"/>
  <c r="R8" i="4"/>
  <c r="K19" i="4"/>
  <c r="I19" i="4"/>
  <c r="F19" i="4"/>
  <c r="D19" i="4"/>
  <c r="C19" i="4"/>
  <c r="K10" i="4"/>
  <c r="I10" i="4"/>
  <c r="F10" i="4"/>
  <c r="D10" i="4"/>
  <c r="C10" i="4"/>
  <c r="F18" i="4"/>
  <c r="D18" i="4"/>
  <c r="K18" i="4"/>
  <c r="I18" i="4"/>
  <c r="H18" i="4"/>
  <c r="F9" i="4"/>
  <c r="D9" i="4"/>
  <c r="K9" i="4"/>
  <c r="I9" i="4"/>
  <c r="K17" i="4"/>
  <c r="I17" i="4"/>
  <c r="F17" i="4"/>
  <c r="D17" i="4"/>
  <c r="C17" i="4"/>
  <c r="K8" i="4"/>
  <c r="I8" i="4"/>
  <c r="F8" i="4"/>
  <c r="D8" i="4"/>
  <c r="F16" i="4"/>
  <c r="D16" i="4"/>
  <c r="K16" i="4"/>
  <c r="I16" i="4"/>
  <c r="H16" i="4"/>
  <c r="F7" i="4"/>
  <c r="D7" i="4"/>
  <c r="K7" i="4"/>
  <c r="I7" i="4"/>
  <c r="K6" i="4"/>
  <c r="I6" i="4"/>
  <c r="F6" i="4"/>
  <c r="D6" i="4"/>
  <c r="F5" i="4"/>
  <c r="D5" i="4"/>
  <c r="K5" i="4"/>
  <c r="I5" i="4"/>
  <c r="V7" i="4"/>
  <c r="R6" i="4"/>
  <c r="T10" i="4"/>
  <c r="K4" i="4"/>
  <c r="I4" i="4"/>
  <c r="F4" i="4"/>
  <c r="D4" i="4"/>
  <c r="L3" i="4"/>
  <c r="K3" i="4"/>
  <c r="J3" i="4"/>
  <c r="C3" i="4"/>
  <c r="I3" i="4"/>
  <c r="H3" i="4"/>
  <c r="G3" i="4"/>
  <c r="F3" i="4"/>
  <c r="E3" i="4"/>
  <c r="D3" i="4"/>
  <c r="N11" i="2"/>
  <c r="J19" i="2"/>
  <c r="N19" i="2" s="1"/>
  <c r="H30" i="3"/>
  <c r="H31" i="1"/>
  <c r="L31" i="1" s="1"/>
  <c r="J35" i="1"/>
  <c r="J29" i="1"/>
  <c r="J31" i="1" s="1"/>
  <c r="L3" i="2"/>
  <c r="L11" i="2" s="1"/>
  <c r="L7" i="2"/>
  <c r="L14" i="2"/>
  <c r="L18" i="2"/>
  <c r="L27" i="2"/>
  <c r="J21" i="3"/>
  <c r="J30" i="3" s="1"/>
  <c r="J42" i="3" s="1"/>
  <c r="J25" i="3"/>
  <c r="J29" i="3"/>
  <c r="J36" i="3"/>
  <c r="J41" i="3"/>
  <c r="N3" i="2"/>
  <c r="L33" i="1"/>
  <c r="L5" i="2"/>
  <c r="L9" i="2"/>
  <c r="L16" i="2"/>
  <c r="L23" i="2"/>
  <c r="L25" i="2" s="1"/>
  <c r="L29" i="2"/>
  <c r="J23" i="3"/>
  <c r="J27" i="3"/>
  <c r="J34" i="3"/>
  <c r="J39" i="3"/>
  <c r="T18" i="4" l="1"/>
  <c r="V5" i="4"/>
  <c r="T19" i="4"/>
  <c r="T13" i="4"/>
  <c r="V18" i="4"/>
  <c r="R18" i="4"/>
  <c r="R13" i="4"/>
  <c r="V17" i="4"/>
  <c r="T11" i="4"/>
  <c r="V11" i="4"/>
  <c r="L16" i="1"/>
  <c r="V19" i="4"/>
  <c r="R11" i="4"/>
  <c r="R9" i="4"/>
  <c r="V20" i="4"/>
  <c r="V9" i="4"/>
  <c r="T9" i="4"/>
  <c r="G21" i="4"/>
  <c r="T16" i="4"/>
  <c r="R16" i="4"/>
  <c r="R20" i="4"/>
  <c r="V16" i="4"/>
  <c r="T17" i="4"/>
  <c r="O21" i="4"/>
  <c r="L21" i="4"/>
  <c r="S20" i="4"/>
  <c r="U10" i="4"/>
  <c r="U12" i="4"/>
  <c r="J21" i="4"/>
  <c r="P21" i="4"/>
  <c r="M21" i="4"/>
  <c r="Q21" i="4"/>
  <c r="R10" i="4"/>
  <c r="T3" i="4"/>
  <c r="U4" i="4"/>
  <c r="S8" i="4"/>
  <c r="U17" i="4"/>
  <c r="R19" i="4"/>
  <c r="U13" i="4"/>
  <c r="S19" i="4"/>
  <c r="H21" i="4"/>
  <c r="S7" i="4"/>
  <c r="U16" i="4"/>
  <c r="S11" i="4"/>
  <c r="U20" i="4"/>
  <c r="S4" i="4"/>
  <c r="U7" i="4"/>
  <c r="U9" i="4"/>
  <c r="U8" i="4"/>
  <c r="R12" i="4"/>
  <c r="I21" i="4"/>
  <c r="S12" i="4"/>
  <c r="S13" i="4"/>
  <c r="S5" i="4"/>
  <c r="K21" i="4"/>
  <c r="S16" i="4"/>
  <c r="S10" i="4"/>
  <c r="U5" i="4"/>
  <c r="U19" i="4"/>
  <c r="N21" i="4"/>
  <c r="S6" i="4"/>
  <c r="R17" i="4"/>
  <c r="S18" i="4"/>
  <c r="U6" i="4"/>
  <c r="S17" i="4"/>
  <c r="S9" i="4"/>
  <c r="U18" i="4"/>
  <c r="U11" i="4"/>
  <c r="R3" i="4"/>
  <c r="U3" i="4"/>
  <c r="C21" i="4"/>
  <c r="S3" i="4"/>
  <c r="E21" i="4"/>
  <c r="D21" i="4"/>
  <c r="F21" i="4"/>
  <c r="V3" i="4"/>
  <c r="L30" i="3"/>
  <c r="H42" i="3"/>
  <c r="H44" i="3" s="1"/>
  <c r="L19" i="2"/>
  <c r="L31" i="2" s="1"/>
  <c r="J31" i="2"/>
  <c r="H39" i="1" l="1"/>
  <c r="L37" i="1"/>
  <c r="W8" i="4"/>
  <c r="W4" i="4"/>
  <c r="W17" i="4"/>
  <c r="W18" i="4"/>
  <c r="W20" i="4"/>
  <c r="W9" i="4"/>
  <c r="V21" i="4"/>
  <c r="W7" i="4"/>
  <c r="W12" i="4"/>
  <c r="W11" i="4"/>
  <c r="W10" i="4"/>
  <c r="W19" i="4"/>
  <c r="U21" i="4"/>
  <c r="W13" i="4"/>
  <c r="W6" i="4"/>
  <c r="W16" i="4"/>
  <c r="T21" i="4"/>
  <c r="R21" i="4"/>
  <c r="W5" i="4"/>
  <c r="S21" i="4"/>
  <c r="W3" i="4"/>
  <c r="J33" i="2"/>
  <c r="N31" i="2"/>
  <c r="W15" i="4" l="1"/>
  <c r="W21" i="4"/>
</calcChain>
</file>

<file path=xl/sharedStrings.xml><?xml version="1.0" encoding="utf-8"?>
<sst xmlns="http://schemas.openxmlformats.org/spreadsheetml/2006/main" count="394" uniqueCount="55">
  <si>
    <t>Rep #</t>
  </si>
  <si>
    <t>Rep Name</t>
  </si>
  <si>
    <t>COM Winbacks</t>
  </si>
  <si>
    <t>Monday</t>
  </si>
  <si>
    <t>Tuesday</t>
  </si>
  <si>
    <t>Wednesday</t>
  </si>
  <si>
    <t>Thursday</t>
  </si>
  <si>
    <t>Friday</t>
  </si>
  <si>
    <t>Nights</t>
  </si>
  <si>
    <t>Saturday</t>
  </si>
  <si>
    <t>Total COMP</t>
  </si>
  <si>
    <t>BAD TPV</t>
  </si>
  <si>
    <t>TOTAL WK</t>
  </si>
  <si>
    <t>Last Week</t>
  </si>
  <si>
    <t>Difference</t>
  </si>
  <si>
    <t>Program</t>
  </si>
  <si>
    <t>Manager</t>
  </si>
  <si>
    <t>MWH Total</t>
  </si>
  <si>
    <t>IN HOUSE AGENTS</t>
  </si>
  <si>
    <t>Fronters</t>
  </si>
  <si>
    <t>Residential</t>
  </si>
  <si>
    <t>Raven Mitchell (Commercial)</t>
  </si>
  <si>
    <t>Abigail Gambino (Commercial-Closer)</t>
  </si>
  <si>
    <t>Commercial</t>
  </si>
  <si>
    <t>DAILY TOTALS</t>
  </si>
  <si>
    <t>Grand Total</t>
  </si>
  <si>
    <t>ELIGO</t>
  </si>
  <si>
    <t>CJ</t>
  </si>
  <si>
    <t>Jakarta Hunter (Commercial)</t>
  </si>
  <si>
    <t>Mon</t>
  </si>
  <si>
    <t>Tue</t>
  </si>
  <si>
    <t>Wed</t>
  </si>
  <si>
    <t>Thu</t>
  </si>
  <si>
    <t>Albert Williams (Commercial)</t>
  </si>
  <si>
    <t>Luis Buitrago (Commercial)</t>
  </si>
  <si>
    <t>Fri</t>
  </si>
  <si>
    <t>Allen Alberts(Commercial-Closer)</t>
  </si>
  <si>
    <t>Kenticka Tate (Remote)(Commercial)</t>
  </si>
  <si>
    <t>Brandy Paton (Commercial)</t>
  </si>
  <si>
    <t>Ashlee Franks (Commercial)</t>
  </si>
  <si>
    <t>Shelby Lewis (Commercial)</t>
  </si>
  <si>
    <t>Neil Singhal (Commercial)</t>
  </si>
  <si>
    <t>Total</t>
  </si>
  <si>
    <t>Closers</t>
  </si>
  <si>
    <t>CJ Jackson (Manager/Closer)</t>
  </si>
  <si>
    <t>Brandy Paton (Commercial-Closer)</t>
  </si>
  <si>
    <t>TRAINING (in house)</t>
  </si>
  <si>
    <t>Sara Milanese (Commercial)</t>
  </si>
  <si>
    <t>Admin Staff</t>
  </si>
  <si>
    <t>Night Shift</t>
  </si>
  <si>
    <t/>
  </si>
  <si>
    <t xml:space="preserve"> </t>
  </si>
  <si>
    <t>TOTAL</t>
  </si>
  <si>
    <t>FRONTERS</t>
  </si>
  <si>
    <t>CLOSERS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</si>
</sst>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b/>
      <sz val="11"/>
      <color theme="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4472C4"/>
        <bgColor rgb="FF4472C4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7030A0"/>
        <bgColor rgb="FF7030A0"/>
      </patternFill>
    </fill>
    <fill>
      <patternFill patternType="solid">
        <fgColor rgb="FFE2EFDA"/>
        <bgColor rgb="FFE2EFDA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34998626667073579"/>
        <bgColor rgb="FFC0C0C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8FAADC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theme="1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1" fillId="2" borderId="1" xfId="0" applyFont="1" applyFill="1" applyBorder="1" applyAlignment="1">
      <alignment horizontal="left"/>
    </xf>
    <xf numFmtId="0" fontId="4" fillId="0" borderId="0" xfId="0" applyFont="1"/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9" xfId="0" applyFont="1" applyBorder="1" applyAlignment="1">
      <alignment wrapText="1"/>
    </xf>
    <xf numFmtId="0" fontId="2" fillId="3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2" fillId="8" borderId="2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4" fillId="0" borderId="13" xfId="0" applyFont="1" applyBorder="1"/>
    <xf numFmtId="0" fontId="4" fillId="0" borderId="14" xfId="0" applyFont="1" applyBorder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left"/>
    </xf>
    <xf numFmtId="0" fontId="5" fillId="0" borderId="6" xfId="0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5" borderId="16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5" borderId="10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0" fontId="4" fillId="9" borderId="15" xfId="0" applyFont="1" applyFill="1" applyBorder="1" applyAlignment="1">
      <alignment horizontal="center"/>
    </xf>
    <xf numFmtId="0" fontId="4" fillId="9" borderId="13" xfId="0" applyFont="1" applyFill="1" applyBorder="1" applyAlignment="1">
      <alignment horizontal="center"/>
    </xf>
    <xf numFmtId="0" fontId="4" fillId="9" borderId="22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0" borderId="0" xfId="0" quotePrefix="1" applyFont="1"/>
    <xf numFmtId="0" fontId="1" fillId="7" borderId="23" xfId="0" applyFont="1" applyFill="1" applyBorder="1" applyAlignment="1">
      <alignment horizontal="center"/>
    </xf>
    <xf numFmtId="0" fontId="5" fillId="0" borderId="9" xfId="0" applyFont="1" applyBorder="1" applyAlignment="1">
      <alignment horizontal="left" vertical="center" wrapText="1"/>
    </xf>
    <xf numFmtId="0" fontId="4" fillId="4" borderId="2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6" xfId="0" applyFont="1" applyBorder="1"/>
    <xf numFmtId="0" fontId="4" fillId="0" borderId="25" xfId="0" applyFont="1" applyBorder="1" applyAlignment="1">
      <alignment horizontal="left"/>
    </xf>
    <xf numFmtId="0" fontId="4" fillId="0" borderId="25" xfId="0" applyFont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1" fillId="6" borderId="13" xfId="0" applyFont="1" applyFill="1" applyBorder="1"/>
    <xf numFmtId="0" fontId="1" fillId="6" borderId="22" xfId="0" applyFont="1" applyFill="1" applyBorder="1"/>
    <xf numFmtId="0" fontId="1" fillId="6" borderId="15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1" fillId="6" borderId="26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4" fillId="11" borderId="17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0" borderId="22" xfId="0" applyFont="1" applyBorder="1"/>
    <xf numFmtId="0" fontId="4" fillId="0" borderId="22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12" borderId="13" xfId="0" applyFont="1" applyFill="1" applyBorder="1"/>
    <xf numFmtId="0" fontId="4" fillId="12" borderId="15" xfId="0" applyFont="1" applyFill="1" applyBorder="1" applyAlignment="1">
      <alignment horizontal="center"/>
    </xf>
    <xf numFmtId="0" fontId="4" fillId="12" borderId="13" xfId="0" applyFont="1" applyFill="1" applyBorder="1" applyAlignment="1">
      <alignment horizontal="center"/>
    </xf>
    <xf numFmtId="0" fontId="4" fillId="12" borderId="22" xfId="0" applyFont="1" applyFill="1" applyBorder="1" applyAlignment="1">
      <alignment horizontal="center"/>
    </xf>
    <xf numFmtId="0" fontId="4" fillId="12" borderId="26" xfId="0" applyFont="1" applyFill="1" applyBorder="1" applyAlignment="1">
      <alignment horizontal="center"/>
    </xf>
    <xf numFmtId="0" fontId="7" fillId="13" borderId="2" xfId="0" applyFont="1" applyFill="1" applyBorder="1" applyAlignment="1">
      <alignment horizontal="center"/>
    </xf>
    <xf numFmtId="0" fontId="7" fillId="12" borderId="22" xfId="0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7" xfId="0" applyFont="1" applyBorder="1"/>
    <xf numFmtId="0" fontId="2" fillId="7" borderId="3" xfId="0" applyFont="1" applyFill="1" applyBorder="1" applyAlignment="1">
      <alignment horizontal="center"/>
    </xf>
    <xf numFmtId="0" fontId="3" fillId="0" borderId="4" xfId="0" applyFont="1" applyBorder="1"/>
    <xf numFmtId="0" fontId="2" fillId="8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</cellXfs>
  <cellStyles count="1">
    <cellStyle name="Normal" xfId="0" builtinId="0"/>
  </cellStyles>
  <dxfs count="11">
    <dxf>
      <font>
        <color rgb="FFC0C0C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008000"/>
      </font>
      <fill>
        <patternFill patternType="none"/>
      </fill>
    </dxf>
    <dxf>
      <fill>
        <patternFill patternType="none"/>
      </fill>
    </dxf>
    <dxf>
      <font>
        <color rgb="FFFF0000"/>
      </font>
      <fill>
        <patternFill patternType="none"/>
      </fill>
    </dxf>
    <dxf>
      <font>
        <color rgb="FF008000"/>
      </font>
      <fill>
        <patternFill patternType="none"/>
      </fill>
    </dxf>
    <dxf>
      <fill>
        <patternFill patternType="none"/>
      </fill>
    </dxf>
    <dxf>
      <font>
        <color rgb="FFFF0000"/>
      </font>
      <fill>
        <patternFill patternType="none"/>
      </fill>
    </dxf>
    <dxf>
      <font>
        <color rgb="FF008000"/>
      </font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6D5257-2CC4-4F14-B8D6-97890CE5D24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26fd0a4-43e1-4a7e-9c11-69fcc7731e9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7"/>
  <sheetViews>
    <sheetView tabSelected="1" topLeftCell="A18" workbookViewId="0">
      <selection activeCell="I39" sqref="I39"/>
    </sheetView>
  </sheetViews>
  <sheetFormatPr defaultColWidth="14.42578125" defaultRowHeight="15" customHeight="1" x14ac:dyDescent="0.25"/>
  <cols>
    <col min="1" max="1" width="5.85546875" bestFit="1" customWidth="1"/>
    <col min="2" max="2" width="35.140625" bestFit="1" customWidth="1"/>
    <col min="3" max="3" width="8.28515625" customWidth="1"/>
    <col min="4" max="4" width="8.140625" customWidth="1"/>
    <col min="5" max="5" width="11.28515625" customWidth="1"/>
    <col min="6" max="6" width="9.140625" customWidth="1"/>
    <col min="7" max="7" width="6.42578125" customWidth="1"/>
    <col min="8" max="8" width="11.28515625" customWidth="1"/>
    <col min="9" max="9" width="8.7109375" customWidth="1"/>
    <col min="10" max="11" width="10" customWidth="1"/>
    <col min="12" max="12" width="10.140625" customWidth="1"/>
    <col min="13" max="13" width="8.5703125" customWidth="1"/>
    <col min="14" max="14" width="9" customWidth="1"/>
    <col min="15" max="15" width="29.5703125" customWidth="1"/>
    <col min="16" max="24" width="8.7109375" customWidth="1"/>
  </cols>
  <sheetData>
    <row r="1" spans="1:15" x14ac:dyDescent="0.25">
      <c r="A1" s="1" t="s">
        <v>0</v>
      </c>
      <c r="B1" s="3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x14ac:dyDescent="0.25">
      <c r="A2" s="5"/>
      <c r="B2" s="6" t="s">
        <v>19</v>
      </c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8"/>
      <c r="O2" s="8"/>
    </row>
    <row r="3" spans="1:15" ht="15.75" customHeight="1" x14ac:dyDescent="0.25">
      <c r="A3" s="9">
        <v>1291</v>
      </c>
      <c r="B3" s="10" t="s">
        <v>21</v>
      </c>
      <c r="C3" s="11"/>
      <c r="D3" s="11"/>
      <c r="E3" s="11"/>
      <c r="F3" s="11"/>
      <c r="G3" s="11"/>
      <c r="H3" s="12">
        <f>SUM(C3:G3)</f>
        <v>0</v>
      </c>
      <c r="I3" s="12"/>
      <c r="J3" s="12">
        <f>H3-I3</f>
        <v>0</v>
      </c>
      <c r="K3" s="12">
        <v>4</v>
      </c>
      <c r="L3" s="13">
        <f t="shared" ref="L3:L16" si="0">H3-K3</f>
        <v>-4</v>
      </c>
      <c r="M3" s="15" t="s">
        <v>26</v>
      </c>
      <c r="N3" s="16" t="s">
        <v>27</v>
      </c>
      <c r="O3" s="16"/>
    </row>
    <row r="4" spans="1:15" ht="15.75" customHeight="1" x14ac:dyDescent="0.25">
      <c r="A4" s="9">
        <v>1292</v>
      </c>
      <c r="B4" s="17" t="s">
        <v>28</v>
      </c>
      <c r="C4" s="11">
        <v>1</v>
      </c>
      <c r="D4" s="11"/>
      <c r="E4" s="11"/>
      <c r="F4" s="11"/>
      <c r="G4" s="11"/>
      <c r="H4" s="12">
        <f t="shared" ref="H4:H15" si="1">SUM(C4:G4)</f>
        <v>1</v>
      </c>
      <c r="I4" s="12"/>
      <c r="J4" s="12">
        <f t="shared" ref="J4:J16" si="2">H4-I4</f>
        <v>1</v>
      </c>
      <c r="K4" s="12">
        <v>1</v>
      </c>
      <c r="L4" s="13">
        <f t="shared" si="0"/>
        <v>0</v>
      </c>
      <c r="M4" s="15" t="s">
        <v>26</v>
      </c>
      <c r="N4" s="16" t="s">
        <v>27</v>
      </c>
      <c r="O4" s="16"/>
    </row>
    <row r="5" spans="1:15" ht="15.75" customHeight="1" x14ac:dyDescent="0.25">
      <c r="A5" s="9">
        <v>1295</v>
      </c>
      <c r="B5" s="10" t="s">
        <v>34</v>
      </c>
      <c r="C5" s="11"/>
      <c r="D5" s="11"/>
      <c r="E5" s="11"/>
      <c r="F5" s="11"/>
      <c r="G5" s="11"/>
      <c r="H5" s="12">
        <f t="shared" si="1"/>
        <v>0</v>
      </c>
      <c r="I5" s="12"/>
      <c r="J5" s="12">
        <f t="shared" si="2"/>
        <v>0</v>
      </c>
      <c r="K5" s="12">
        <v>1</v>
      </c>
      <c r="L5" s="13">
        <f t="shared" si="0"/>
        <v>-1</v>
      </c>
      <c r="M5" s="15" t="s">
        <v>26</v>
      </c>
      <c r="N5" s="16" t="s">
        <v>27</v>
      </c>
      <c r="O5" s="16"/>
    </row>
    <row r="6" spans="1:15" ht="15.75" customHeight="1" x14ac:dyDescent="0.25">
      <c r="A6" s="9">
        <v>1290</v>
      </c>
      <c r="B6" s="17" t="s">
        <v>22</v>
      </c>
      <c r="C6" s="11"/>
      <c r="D6" s="11"/>
      <c r="E6" s="11"/>
      <c r="F6" s="11"/>
      <c r="G6" s="11"/>
      <c r="H6" s="12">
        <f t="shared" si="1"/>
        <v>0</v>
      </c>
      <c r="I6" s="12"/>
      <c r="J6" s="12">
        <f t="shared" si="2"/>
        <v>0</v>
      </c>
      <c r="K6" s="12">
        <v>0</v>
      </c>
      <c r="L6" s="13">
        <f t="shared" si="0"/>
        <v>0</v>
      </c>
      <c r="M6" s="15" t="s">
        <v>26</v>
      </c>
      <c r="N6" s="16" t="s">
        <v>27</v>
      </c>
      <c r="O6" s="16"/>
    </row>
    <row r="7" spans="1:15" ht="15.75" customHeight="1" x14ac:dyDescent="0.25">
      <c r="A7" s="9">
        <v>1288</v>
      </c>
      <c r="B7" s="17" t="s">
        <v>36</v>
      </c>
      <c r="C7" s="11"/>
      <c r="D7" s="11"/>
      <c r="E7" s="11"/>
      <c r="F7" s="11"/>
      <c r="G7" s="11"/>
      <c r="H7" s="12">
        <f t="shared" si="1"/>
        <v>0</v>
      </c>
      <c r="I7" s="12"/>
      <c r="J7" s="12">
        <f t="shared" si="2"/>
        <v>0</v>
      </c>
      <c r="K7" s="12">
        <v>4</v>
      </c>
      <c r="L7" s="13">
        <f t="shared" si="0"/>
        <v>-4</v>
      </c>
      <c r="M7" s="15" t="s">
        <v>26</v>
      </c>
      <c r="N7" s="16" t="s">
        <v>27</v>
      </c>
      <c r="O7" s="16"/>
    </row>
    <row r="8" spans="1:15" ht="15.75" customHeight="1" x14ac:dyDescent="0.25">
      <c r="A8" s="9">
        <v>1175</v>
      </c>
      <c r="B8" s="17" t="s">
        <v>37</v>
      </c>
      <c r="C8" s="11">
        <v>2</v>
      </c>
      <c r="D8" s="11"/>
      <c r="E8" s="11"/>
      <c r="F8" s="11"/>
      <c r="G8" s="11"/>
      <c r="H8" s="12">
        <f t="shared" si="1"/>
        <v>2</v>
      </c>
      <c r="I8" s="12"/>
      <c r="J8" s="12">
        <f t="shared" si="2"/>
        <v>2</v>
      </c>
      <c r="K8" s="12">
        <v>4</v>
      </c>
      <c r="L8" s="13">
        <f t="shared" si="0"/>
        <v>-2</v>
      </c>
      <c r="M8" s="15" t="s">
        <v>26</v>
      </c>
      <c r="N8" s="16" t="s">
        <v>27</v>
      </c>
      <c r="O8" s="16"/>
    </row>
    <row r="9" spans="1:15" ht="15.75" customHeight="1" x14ac:dyDescent="0.25">
      <c r="A9" s="9">
        <v>1294</v>
      </c>
      <c r="B9" s="17" t="s">
        <v>38</v>
      </c>
      <c r="C9" s="11"/>
      <c r="D9" s="11"/>
      <c r="E9" s="11"/>
      <c r="F9" s="11"/>
      <c r="G9" s="11"/>
      <c r="H9" s="12">
        <f t="shared" si="1"/>
        <v>0</v>
      </c>
      <c r="I9" s="12"/>
      <c r="J9" s="12">
        <f t="shared" si="2"/>
        <v>0</v>
      </c>
      <c r="K9" s="12">
        <v>1</v>
      </c>
      <c r="L9" s="13">
        <f t="shared" si="0"/>
        <v>-1</v>
      </c>
      <c r="M9" s="15" t="s">
        <v>26</v>
      </c>
      <c r="N9" s="16" t="s">
        <v>27</v>
      </c>
      <c r="O9" s="16"/>
    </row>
    <row r="10" spans="1:15" ht="15.75" customHeight="1" x14ac:dyDescent="0.25">
      <c r="A10" s="9">
        <v>1280</v>
      </c>
      <c r="B10" s="17" t="s">
        <v>39</v>
      </c>
      <c r="C10" s="11"/>
      <c r="D10" s="11"/>
      <c r="E10" s="11"/>
      <c r="F10" s="11"/>
      <c r="G10" s="11"/>
      <c r="H10" s="12">
        <f t="shared" si="1"/>
        <v>0</v>
      </c>
      <c r="I10" s="12"/>
      <c r="J10" s="12">
        <f t="shared" si="2"/>
        <v>0</v>
      </c>
      <c r="K10" s="12">
        <v>0</v>
      </c>
      <c r="L10" s="13">
        <f t="shared" si="0"/>
        <v>0</v>
      </c>
      <c r="M10" s="15" t="s">
        <v>26</v>
      </c>
      <c r="N10" s="16" t="s">
        <v>27</v>
      </c>
      <c r="O10" s="16"/>
    </row>
    <row r="11" spans="1:15" ht="15.75" customHeight="1" x14ac:dyDescent="0.25">
      <c r="A11" s="9">
        <v>1298</v>
      </c>
      <c r="B11" s="17" t="s">
        <v>40</v>
      </c>
      <c r="C11" s="11"/>
      <c r="D11" s="11"/>
      <c r="E11" s="11"/>
      <c r="F11" s="11"/>
      <c r="G11" s="11"/>
      <c r="H11" s="12">
        <f t="shared" si="1"/>
        <v>0</v>
      </c>
      <c r="I11" s="12"/>
      <c r="J11" s="12">
        <f t="shared" si="2"/>
        <v>0</v>
      </c>
      <c r="K11" s="12">
        <v>1</v>
      </c>
      <c r="L11" s="13">
        <f t="shared" si="0"/>
        <v>-1</v>
      </c>
      <c r="M11" s="15" t="s">
        <v>26</v>
      </c>
      <c r="N11" s="16" t="s">
        <v>27</v>
      </c>
      <c r="O11" s="16"/>
    </row>
    <row r="12" spans="1:15" ht="15.75" customHeight="1" x14ac:dyDescent="0.25">
      <c r="A12" s="9">
        <v>1300</v>
      </c>
      <c r="B12" s="17" t="s">
        <v>41</v>
      </c>
      <c r="C12" s="11"/>
      <c r="D12" s="11"/>
      <c r="E12" s="11"/>
      <c r="F12" s="11"/>
      <c r="G12" s="11"/>
      <c r="H12" s="12">
        <f t="shared" si="1"/>
        <v>0</v>
      </c>
      <c r="I12" s="12"/>
      <c r="J12" s="12">
        <f t="shared" si="2"/>
        <v>0</v>
      </c>
      <c r="K12" s="12">
        <v>3</v>
      </c>
      <c r="L12" s="13">
        <f t="shared" si="0"/>
        <v>-3</v>
      </c>
      <c r="M12" s="15" t="s">
        <v>26</v>
      </c>
      <c r="N12" s="16" t="s">
        <v>27</v>
      </c>
      <c r="O12" s="16"/>
    </row>
    <row r="13" spans="1:15" ht="15.75" customHeight="1" x14ac:dyDescent="0.25">
      <c r="A13" s="9">
        <v>1301</v>
      </c>
      <c r="B13" s="17" t="s">
        <v>33</v>
      </c>
      <c r="C13" s="11"/>
      <c r="D13" s="11"/>
      <c r="E13" s="11"/>
      <c r="F13" s="11"/>
      <c r="G13" s="11"/>
      <c r="H13" s="12">
        <f t="shared" si="1"/>
        <v>0</v>
      </c>
      <c r="I13" s="12"/>
      <c r="J13" s="12">
        <f t="shared" si="2"/>
        <v>0</v>
      </c>
      <c r="K13" s="12">
        <v>1</v>
      </c>
      <c r="L13" s="13">
        <f t="shared" si="0"/>
        <v>-1</v>
      </c>
      <c r="M13" s="15" t="s">
        <v>26</v>
      </c>
      <c r="N13" s="16" t="s">
        <v>27</v>
      </c>
      <c r="O13" s="16"/>
    </row>
    <row r="14" spans="1:15" ht="15.75" customHeight="1" x14ac:dyDescent="0.25">
      <c r="A14" s="9"/>
      <c r="B14" s="17"/>
      <c r="C14" s="11"/>
      <c r="D14" s="11"/>
      <c r="E14" s="11"/>
      <c r="F14" s="11"/>
      <c r="G14" s="11"/>
      <c r="H14" s="12">
        <f t="shared" si="1"/>
        <v>0</v>
      </c>
      <c r="I14" s="12"/>
      <c r="J14" s="12">
        <f t="shared" si="2"/>
        <v>0</v>
      </c>
      <c r="K14" s="12"/>
      <c r="L14" s="13">
        <f t="shared" si="0"/>
        <v>0</v>
      </c>
      <c r="M14" s="15" t="s">
        <v>26</v>
      </c>
      <c r="N14" s="16" t="s">
        <v>27</v>
      </c>
      <c r="O14" s="16"/>
    </row>
    <row r="15" spans="1:15" ht="15.75" customHeight="1" thickBot="1" x14ac:dyDescent="0.3">
      <c r="A15" s="9"/>
      <c r="B15" s="10"/>
      <c r="C15" s="11"/>
      <c r="D15" s="11"/>
      <c r="E15" s="11"/>
      <c r="F15" s="11"/>
      <c r="G15" s="11"/>
      <c r="H15" s="85">
        <f t="shared" si="1"/>
        <v>0</v>
      </c>
      <c r="I15" s="85"/>
      <c r="J15" s="85">
        <f t="shared" si="2"/>
        <v>0</v>
      </c>
      <c r="K15" s="12"/>
      <c r="L15" s="13">
        <f t="shared" si="0"/>
        <v>0</v>
      </c>
      <c r="M15" s="15" t="s">
        <v>26</v>
      </c>
      <c r="N15" s="16" t="s">
        <v>27</v>
      </c>
      <c r="O15" s="16"/>
    </row>
    <row r="16" spans="1:15" ht="15.75" customHeight="1" thickBot="1" x14ac:dyDescent="0.3">
      <c r="A16" s="9"/>
      <c r="B16" s="24" t="s">
        <v>42</v>
      </c>
      <c r="C16" s="26">
        <f>SUM(C3:C15)</f>
        <v>3</v>
      </c>
      <c r="D16" s="26">
        <f t="shared" ref="D16:G16" si="3">SUM(D3:D15)</f>
        <v>0</v>
      </c>
      <c r="E16" s="26">
        <f t="shared" si="3"/>
        <v>0</v>
      </c>
      <c r="F16" s="26">
        <f t="shared" si="3"/>
        <v>0</v>
      </c>
      <c r="G16" s="26">
        <f t="shared" si="3"/>
        <v>0</v>
      </c>
      <c r="H16" s="100">
        <f>SUM(C16:G16)</f>
        <v>3</v>
      </c>
      <c r="I16" s="26"/>
      <c r="J16" s="100">
        <f t="shared" si="2"/>
        <v>3</v>
      </c>
      <c r="K16" s="26">
        <v>23</v>
      </c>
      <c r="L16" s="13">
        <f t="shared" si="0"/>
        <v>-20</v>
      </c>
      <c r="M16" s="15" t="s">
        <v>26</v>
      </c>
      <c r="N16" s="16" t="s">
        <v>27</v>
      </c>
      <c r="O16" s="16"/>
    </row>
    <row r="17" spans="1:15" ht="15.75" customHeight="1" x14ac:dyDescent="0.25">
      <c r="A17" s="8"/>
      <c r="B17" s="28" t="s">
        <v>43</v>
      </c>
      <c r="C17" s="8"/>
      <c r="D17" s="8"/>
      <c r="E17" s="8"/>
      <c r="F17" s="8"/>
      <c r="G17" s="8"/>
      <c r="H17" s="84"/>
      <c r="I17" s="84"/>
      <c r="J17" s="84"/>
      <c r="K17" s="8"/>
      <c r="L17" s="8"/>
      <c r="M17" s="8"/>
      <c r="N17" s="8"/>
      <c r="O17" s="8"/>
    </row>
    <row r="18" spans="1:15" ht="15.75" customHeight="1" x14ac:dyDescent="0.25">
      <c r="A18" s="1" t="s">
        <v>0</v>
      </c>
      <c r="B18" s="3" t="s">
        <v>1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10</v>
      </c>
      <c r="I18" s="1" t="s">
        <v>11</v>
      </c>
      <c r="J18" s="1" t="s">
        <v>12</v>
      </c>
      <c r="K18" s="1" t="s">
        <v>13</v>
      </c>
      <c r="L18" s="1" t="s">
        <v>14</v>
      </c>
      <c r="M18" s="1" t="s">
        <v>15</v>
      </c>
      <c r="N18" s="1" t="s">
        <v>16</v>
      </c>
      <c r="O18" s="1"/>
    </row>
    <row r="19" spans="1:15" ht="15.75" customHeight="1" x14ac:dyDescent="0.25">
      <c r="A19" s="9">
        <v>1290</v>
      </c>
      <c r="B19" s="10" t="s">
        <v>22</v>
      </c>
      <c r="C19" s="11"/>
      <c r="D19" s="11"/>
      <c r="E19" s="11"/>
      <c r="F19" s="11"/>
      <c r="G19" s="11"/>
      <c r="H19" s="12">
        <f>SUM(C19:G19)</f>
        <v>0</v>
      </c>
      <c r="I19" s="12"/>
      <c r="J19" s="12">
        <f>H19-I19</f>
        <v>0</v>
      </c>
      <c r="K19" s="12">
        <v>5</v>
      </c>
      <c r="L19" s="13">
        <f t="shared" ref="L19:L25" si="4">H19-K19</f>
        <v>-5</v>
      </c>
      <c r="M19" s="15" t="s">
        <v>26</v>
      </c>
      <c r="N19" s="16" t="s">
        <v>27</v>
      </c>
      <c r="O19" s="16"/>
    </row>
    <row r="20" spans="1:15" ht="15.75" customHeight="1" x14ac:dyDescent="0.25">
      <c r="A20" s="9">
        <v>1288</v>
      </c>
      <c r="B20" s="10" t="s">
        <v>36</v>
      </c>
      <c r="C20" s="11"/>
      <c r="D20" s="11"/>
      <c r="E20" s="11"/>
      <c r="F20" s="11"/>
      <c r="G20" s="11"/>
      <c r="H20" s="12">
        <f t="shared" ref="H20:H24" si="5">SUM(C20:G20)</f>
        <v>0</v>
      </c>
      <c r="I20" s="12"/>
      <c r="J20" s="12">
        <f t="shared" ref="J20:J25" si="6">H20-I20</f>
        <v>0</v>
      </c>
      <c r="K20" s="12">
        <v>4</v>
      </c>
      <c r="L20" s="13">
        <f t="shared" si="4"/>
        <v>-4</v>
      </c>
      <c r="M20" s="15" t="s">
        <v>26</v>
      </c>
      <c r="N20" s="16" t="s">
        <v>27</v>
      </c>
      <c r="O20" s="16"/>
    </row>
    <row r="21" spans="1:15" ht="15.75" customHeight="1" x14ac:dyDescent="0.25">
      <c r="A21" s="31">
        <v>1151</v>
      </c>
      <c r="B21" s="32" t="s">
        <v>44</v>
      </c>
      <c r="C21" s="11"/>
      <c r="D21" s="11"/>
      <c r="E21" s="11"/>
      <c r="F21" s="11"/>
      <c r="G21" s="11"/>
      <c r="H21" s="12">
        <f t="shared" si="5"/>
        <v>0</v>
      </c>
      <c r="I21" s="12"/>
      <c r="J21" s="12">
        <f t="shared" si="6"/>
        <v>0</v>
      </c>
      <c r="K21" s="12">
        <v>0</v>
      </c>
      <c r="L21" s="13">
        <f t="shared" si="4"/>
        <v>0</v>
      </c>
      <c r="M21" s="15" t="s">
        <v>26</v>
      </c>
      <c r="N21" s="16" t="s">
        <v>27</v>
      </c>
      <c r="O21" s="16"/>
    </row>
    <row r="22" spans="1:15" ht="15.75" customHeight="1" x14ac:dyDescent="0.25">
      <c r="A22" s="31">
        <v>1294</v>
      </c>
      <c r="B22" s="32" t="s">
        <v>45</v>
      </c>
      <c r="C22" s="11"/>
      <c r="D22" s="11"/>
      <c r="E22" s="11"/>
      <c r="F22" s="11"/>
      <c r="G22" s="11"/>
      <c r="H22" s="12">
        <f t="shared" si="5"/>
        <v>0</v>
      </c>
      <c r="I22" s="12"/>
      <c r="J22" s="12">
        <f t="shared" si="6"/>
        <v>0</v>
      </c>
      <c r="K22" s="12">
        <v>1</v>
      </c>
      <c r="L22" s="13">
        <f t="shared" si="4"/>
        <v>-1</v>
      </c>
      <c r="M22" s="15" t="s">
        <v>26</v>
      </c>
      <c r="N22" s="16" t="s">
        <v>27</v>
      </c>
      <c r="O22" s="16"/>
    </row>
    <row r="23" spans="1:15" ht="15.75" customHeight="1" x14ac:dyDescent="0.25">
      <c r="A23" s="9">
        <v>1300</v>
      </c>
      <c r="B23" s="17" t="s">
        <v>41</v>
      </c>
      <c r="C23" s="11">
        <v>2</v>
      </c>
      <c r="D23" s="11"/>
      <c r="E23" s="11"/>
      <c r="F23" s="11"/>
      <c r="G23" s="11"/>
      <c r="H23" s="12">
        <f t="shared" si="5"/>
        <v>2</v>
      </c>
      <c r="I23" s="12"/>
      <c r="J23" s="12">
        <f t="shared" si="6"/>
        <v>2</v>
      </c>
      <c r="K23" s="12">
        <v>5</v>
      </c>
      <c r="L23" s="13">
        <f t="shared" si="4"/>
        <v>-3</v>
      </c>
      <c r="M23" s="15" t="s">
        <v>26</v>
      </c>
      <c r="N23" s="16" t="s">
        <v>27</v>
      </c>
      <c r="O23" s="16"/>
    </row>
    <row r="24" spans="1:15" ht="15.75" customHeight="1" thickBot="1" x14ac:dyDescent="0.3">
      <c r="A24" s="31"/>
      <c r="B24" s="33"/>
      <c r="C24" s="11"/>
      <c r="D24" s="11"/>
      <c r="E24" s="11"/>
      <c r="F24" s="11"/>
      <c r="G24" s="11"/>
      <c r="H24" s="85">
        <f t="shared" si="5"/>
        <v>0</v>
      </c>
      <c r="I24" s="85"/>
      <c r="J24" s="85">
        <f t="shared" si="6"/>
        <v>0</v>
      </c>
      <c r="K24" s="85"/>
      <c r="L24" s="13">
        <f t="shared" si="4"/>
        <v>0</v>
      </c>
      <c r="M24" s="15" t="s">
        <v>26</v>
      </c>
      <c r="N24" s="16" t="s">
        <v>27</v>
      </c>
      <c r="O24" s="16"/>
    </row>
    <row r="25" spans="1:15" ht="15.75" customHeight="1" thickBot="1" x14ac:dyDescent="0.3">
      <c r="A25" s="31"/>
      <c r="B25" s="24" t="s">
        <v>42</v>
      </c>
      <c r="C25" s="26">
        <f>SUM(C19:C24)</f>
        <v>2</v>
      </c>
      <c r="D25" s="26">
        <f t="shared" ref="D25:G25" si="7">SUM(D19:D24)</f>
        <v>0</v>
      </c>
      <c r="E25" s="26">
        <f t="shared" si="7"/>
        <v>0</v>
      </c>
      <c r="F25" s="26">
        <f t="shared" si="7"/>
        <v>0</v>
      </c>
      <c r="G25" s="26">
        <f t="shared" si="7"/>
        <v>0</v>
      </c>
      <c r="H25" s="100">
        <f>SUM(C25:G25)</f>
        <v>2</v>
      </c>
      <c r="I25" s="26"/>
      <c r="J25" s="100">
        <f t="shared" si="6"/>
        <v>2</v>
      </c>
      <c r="K25" s="26">
        <v>15</v>
      </c>
      <c r="L25" s="13">
        <f t="shared" si="4"/>
        <v>-13</v>
      </c>
      <c r="M25" s="15" t="s">
        <v>26</v>
      </c>
      <c r="N25" s="16" t="s">
        <v>27</v>
      </c>
      <c r="O25" s="16"/>
    </row>
    <row r="26" spans="1:15" ht="15.75" customHeight="1" x14ac:dyDescent="0.25">
      <c r="A26" s="8"/>
      <c r="B26" s="28" t="s">
        <v>46</v>
      </c>
      <c r="C26" s="8"/>
      <c r="D26" s="8"/>
      <c r="E26" s="8"/>
      <c r="F26" s="8"/>
      <c r="G26" s="8"/>
      <c r="H26" s="84"/>
      <c r="I26" s="84"/>
      <c r="J26" s="84"/>
      <c r="K26" s="101"/>
      <c r="L26" s="8"/>
      <c r="M26" s="8"/>
      <c r="N26" s="8"/>
      <c r="O26" s="8"/>
    </row>
    <row r="27" spans="1:15" ht="15.75" customHeight="1" x14ac:dyDescent="0.25">
      <c r="A27" s="1" t="s">
        <v>0</v>
      </c>
      <c r="B27" s="3" t="s">
        <v>1</v>
      </c>
      <c r="C27" s="1" t="s">
        <v>3</v>
      </c>
      <c r="D27" s="1" t="s">
        <v>4</v>
      </c>
      <c r="E27" s="1" t="s">
        <v>5</v>
      </c>
      <c r="F27" s="1" t="s">
        <v>6</v>
      </c>
      <c r="G27" s="1" t="s">
        <v>7</v>
      </c>
      <c r="H27" s="1" t="s">
        <v>10</v>
      </c>
      <c r="I27" s="1" t="s">
        <v>11</v>
      </c>
      <c r="J27" s="1" t="s">
        <v>12</v>
      </c>
      <c r="K27" s="1" t="s">
        <v>13</v>
      </c>
      <c r="L27" s="1" t="s">
        <v>14</v>
      </c>
      <c r="M27" s="1" t="s">
        <v>15</v>
      </c>
      <c r="N27" s="1" t="s">
        <v>16</v>
      </c>
      <c r="O27" s="1"/>
    </row>
    <row r="28" spans="1:15" ht="15.75" customHeight="1" x14ac:dyDescent="0.25">
      <c r="A28" s="31"/>
      <c r="B28" s="33"/>
      <c r="C28" s="11"/>
      <c r="D28" s="11"/>
      <c r="E28" s="11"/>
      <c r="F28" s="11"/>
      <c r="G28" s="11"/>
      <c r="H28" s="12">
        <f>SUM(C28:G28)</f>
        <v>0</v>
      </c>
      <c r="I28" s="12"/>
      <c r="J28" s="12">
        <f t="shared" ref="J28:J30" si="8">H28-I28</f>
        <v>0</v>
      </c>
      <c r="K28" s="12">
        <v>0</v>
      </c>
      <c r="L28" s="13">
        <f t="shared" ref="L28:L31" si="9">H28-K28</f>
        <v>0</v>
      </c>
      <c r="M28" s="15" t="s">
        <v>26</v>
      </c>
      <c r="N28" s="16" t="s">
        <v>27</v>
      </c>
      <c r="O28" s="16"/>
    </row>
    <row r="29" spans="1:15" ht="15.75" customHeight="1" x14ac:dyDescent="0.25">
      <c r="A29" s="31"/>
      <c r="B29" s="32"/>
      <c r="C29" s="11"/>
      <c r="D29" s="11"/>
      <c r="E29" s="11"/>
      <c r="F29" s="11"/>
      <c r="G29" s="11"/>
      <c r="H29" s="12">
        <f>SUM(C29:G29)</f>
        <v>0</v>
      </c>
      <c r="I29" s="12"/>
      <c r="J29" s="12">
        <f t="shared" si="8"/>
        <v>0</v>
      </c>
      <c r="K29" s="12">
        <v>0</v>
      </c>
      <c r="L29" s="13">
        <f t="shared" si="9"/>
        <v>0</v>
      </c>
      <c r="M29" s="15" t="s">
        <v>26</v>
      </c>
      <c r="N29" s="16" t="s">
        <v>27</v>
      </c>
      <c r="O29" s="16"/>
    </row>
    <row r="30" spans="1:15" ht="15.75" customHeight="1" x14ac:dyDescent="0.25">
      <c r="A30" s="31"/>
      <c r="B30" s="32"/>
      <c r="C30" s="11"/>
      <c r="D30" s="11"/>
      <c r="E30" s="11"/>
      <c r="F30" s="11"/>
      <c r="G30" s="11"/>
      <c r="H30" s="12">
        <f>SUM(C30:G30)</f>
        <v>0</v>
      </c>
      <c r="I30" s="12"/>
      <c r="J30" s="12">
        <f t="shared" si="8"/>
        <v>0</v>
      </c>
      <c r="K30" s="12">
        <v>0</v>
      </c>
      <c r="L30" s="13">
        <f t="shared" si="9"/>
        <v>0</v>
      </c>
      <c r="M30" s="15" t="s">
        <v>26</v>
      </c>
      <c r="N30" s="16" t="s">
        <v>27</v>
      </c>
      <c r="O30" s="16"/>
    </row>
    <row r="31" spans="1:15" ht="15.75" customHeight="1" x14ac:dyDescent="0.25">
      <c r="A31" s="31"/>
      <c r="B31" s="24" t="s">
        <v>42</v>
      </c>
      <c r="C31" s="26">
        <f t="shared" ref="C31:K31" si="10">SUM(C28:C29)</f>
        <v>0</v>
      </c>
      <c r="D31" s="26">
        <f t="shared" si="10"/>
        <v>0</v>
      </c>
      <c r="E31" s="26">
        <f t="shared" si="10"/>
        <v>0</v>
      </c>
      <c r="F31" s="26">
        <f t="shared" si="10"/>
        <v>0</v>
      </c>
      <c r="G31" s="26">
        <f t="shared" si="10"/>
        <v>0</v>
      </c>
      <c r="H31" s="26">
        <f t="shared" si="10"/>
        <v>0</v>
      </c>
      <c r="I31" s="26">
        <f t="shared" si="10"/>
        <v>0</v>
      </c>
      <c r="J31" s="26">
        <f t="shared" si="10"/>
        <v>0</v>
      </c>
      <c r="K31" s="26">
        <f t="shared" si="10"/>
        <v>0</v>
      </c>
      <c r="L31" s="13">
        <f t="shared" si="9"/>
        <v>0</v>
      </c>
      <c r="M31" s="15" t="s">
        <v>26</v>
      </c>
      <c r="N31" s="16" t="s">
        <v>27</v>
      </c>
      <c r="O31" s="16"/>
    </row>
    <row r="32" spans="1:15" ht="15.75" customHeight="1" x14ac:dyDescent="0.25">
      <c r="A32" s="8"/>
      <c r="B32" s="43" t="s">
        <v>48</v>
      </c>
      <c r="C32" s="8"/>
      <c r="D32" s="8"/>
      <c r="E32" s="8"/>
      <c r="F32" s="8"/>
      <c r="G32" s="8"/>
      <c r="H32" s="1"/>
      <c r="I32" s="1"/>
      <c r="J32" s="1"/>
      <c r="K32" s="8"/>
      <c r="L32" s="8"/>
      <c r="M32" s="44"/>
      <c r="N32" s="44"/>
      <c r="O32" s="44"/>
    </row>
    <row r="33" spans="1:15" ht="15.75" customHeight="1" x14ac:dyDescent="0.25">
      <c r="A33" s="46"/>
      <c r="B33" s="48"/>
      <c r="C33" s="11"/>
      <c r="D33" s="11"/>
      <c r="E33" s="11"/>
      <c r="F33" s="11"/>
      <c r="G33" s="11"/>
      <c r="H33" s="12">
        <f>SUM(C33:G33)</f>
        <v>0</v>
      </c>
      <c r="I33" s="12"/>
      <c r="J33" s="12">
        <f t="shared" ref="J33:J36" si="11">H33-I33</f>
        <v>0</v>
      </c>
      <c r="K33" s="11">
        <v>0</v>
      </c>
      <c r="L33" s="13">
        <f t="shared" ref="L33:L37" si="12">H33-K33</f>
        <v>0</v>
      </c>
      <c r="M33" s="15" t="s">
        <v>26</v>
      </c>
      <c r="N33" s="16" t="s">
        <v>27</v>
      </c>
      <c r="O33" s="16"/>
    </row>
    <row r="34" spans="1:15" ht="15.75" customHeight="1" x14ac:dyDescent="0.25">
      <c r="A34" s="46"/>
      <c r="B34" s="48"/>
      <c r="C34" s="11"/>
      <c r="D34" s="11"/>
      <c r="E34" s="11"/>
      <c r="F34" s="11"/>
      <c r="G34" s="11"/>
      <c r="H34" s="12">
        <f>SUM(C34:G34)</f>
        <v>0</v>
      </c>
      <c r="I34" s="12"/>
      <c r="J34" s="12">
        <f t="shared" si="11"/>
        <v>0</v>
      </c>
      <c r="K34" s="11">
        <v>0</v>
      </c>
      <c r="L34" s="13">
        <f t="shared" si="12"/>
        <v>0</v>
      </c>
      <c r="M34" s="15" t="s">
        <v>26</v>
      </c>
      <c r="N34" s="16" t="s">
        <v>27</v>
      </c>
      <c r="O34" s="16"/>
    </row>
    <row r="35" spans="1:15" ht="15.75" customHeight="1" x14ac:dyDescent="0.25">
      <c r="A35" s="46"/>
      <c r="B35" s="48"/>
      <c r="C35" s="11"/>
      <c r="D35" s="11"/>
      <c r="E35" s="11"/>
      <c r="F35" s="11"/>
      <c r="G35" s="11"/>
      <c r="H35" s="12">
        <f>SUM(C35:G35)</f>
        <v>0</v>
      </c>
      <c r="I35" s="12"/>
      <c r="J35" s="12">
        <f t="shared" si="11"/>
        <v>0</v>
      </c>
      <c r="K35" s="11">
        <v>0</v>
      </c>
      <c r="L35" s="13">
        <f t="shared" si="12"/>
        <v>0</v>
      </c>
      <c r="M35" s="15" t="s">
        <v>26</v>
      </c>
      <c r="N35" s="16" t="s">
        <v>27</v>
      </c>
      <c r="O35" s="16"/>
    </row>
    <row r="36" spans="1:15" ht="15.75" customHeight="1" x14ac:dyDescent="0.25">
      <c r="A36" s="46"/>
      <c r="B36" s="48"/>
      <c r="C36" s="11"/>
      <c r="D36" s="11"/>
      <c r="E36" s="11"/>
      <c r="F36" s="11"/>
      <c r="G36" s="11"/>
      <c r="H36" s="12">
        <f>SUM(C36:G36)</f>
        <v>0</v>
      </c>
      <c r="I36" s="12"/>
      <c r="J36" s="12">
        <f t="shared" si="11"/>
        <v>0</v>
      </c>
      <c r="K36" s="11">
        <v>0</v>
      </c>
      <c r="L36" s="13">
        <f t="shared" si="12"/>
        <v>0</v>
      </c>
      <c r="M36" s="15" t="s">
        <v>26</v>
      </c>
      <c r="N36" s="16" t="s">
        <v>27</v>
      </c>
      <c r="O36" s="16"/>
    </row>
    <row r="37" spans="1:15" ht="15.75" customHeight="1" x14ac:dyDescent="0.25">
      <c r="A37" s="52"/>
      <c r="B37" s="1" t="s">
        <v>42</v>
      </c>
      <c r="C37" s="1">
        <f>+SUM(C16,C25)</f>
        <v>5</v>
      </c>
      <c r="D37" s="1">
        <f t="shared" ref="D37:H37" si="13">+SUM(D16,D25)</f>
        <v>0</v>
      </c>
      <c r="E37" s="1">
        <f t="shared" si="13"/>
        <v>0</v>
      </c>
      <c r="F37" s="1">
        <f t="shared" si="13"/>
        <v>0</v>
      </c>
      <c r="G37" s="1">
        <f t="shared" si="13"/>
        <v>0</v>
      </c>
      <c r="H37" s="1">
        <f t="shared" si="13"/>
        <v>5</v>
      </c>
      <c r="I37" s="1">
        <f t="shared" ref="C37:K37" si="14">+SUM(I16)</f>
        <v>0</v>
      </c>
      <c r="J37" s="1">
        <f t="shared" si="14"/>
        <v>3</v>
      </c>
      <c r="K37" s="1">
        <f t="shared" si="14"/>
        <v>23</v>
      </c>
      <c r="L37" s="13">
        <f t="shared" si="12"/>
        <v>-18</v>
      </c>
      <c r="M37" s="15"/>
      <c r="N37" s="16"/>
      <c r="O37" s="16"/>
    </row>
    <row r="38" spans="1:15" ht="15.75" customHeight="1" x14ac:dyDescent="0.25">
      <c r="A38" s="15"/>
      <c r="B38" s="53" t="s">
        <v>13</v>
      </c>
      <c r="C38" s="15">
        <v>2</v>
      </c>
      <c r="D38" s="15">
        <v>1</v>
      </c>
      <c r="E38" s="11">
        <v>2</v>
      </c>
      <c r="F38" s="15">
        <v>2</v>
      </c>
      <c r="G38" s="15">
        <v>0</v>
      </c>
      <c r="H38" s="15">
        <v>7</v>
      </c>
      <c r="I38" s="54"/>
      <c r="J38" s="54"/>
      <c r="K38" s="54"/>
      <c r="L38" s="55"/>
      <c r="M38" s="55"/>
      <c r="N38" s="4"/>
      <c r="O38" s="4"/>
    </row>
    <row r="39" spans="1:15" ht="15.75" customHeight="1" x14ac:dyDescent="0.25">
      <c r="A39" s="54"/>
      <c r="B39" s="53" t="s">
        <v>14</v>
      </c>
      <c r="C39" s="15">
        <f t="shared" ref="C39:G39" si="15">C37-C38</f>
        <v>3</v>
      </c>
      <c r="D39" s="15">
        <f t="shared" si="15"/>
        <v>-1</v>
      </c>
      <c r="E39" s="15">
        <f t="shared" si="15"/>
        <v>-2</v>
      </c>
      <c r="F39" s="15">
        <f t="shared" si="15"/>
        <v>-2</v>
      </c>
      <c r="G39" s="15">
        <f t="shared" si="15"/>
        <v>0</v>
      </c>
      <c r="H39" s="15">
        <f>H37-H38</f>
        <v>-2</v>
      </c>
      <c r="I39" s="54"/>
      <c r="J39" s="54"/>
      <c r="K39" s="4"/>
      <c r="L39" s="54"/>
      <c r="M39" s="54"/>
      <c r="N39" s="4"/>
      <c r="O39" s="4"/>
    </row>
    <row r="40" spans="1:15" ht="15.75" customHeight="1" x14ac:dyDescent="0.25">
      <c r="F40" s="54"/>
    </row>
    <row r="41" spans="1:15" ht="15.75" customHeight="1" x14ac:dyDescent="0.25"/>
    <row r="42" spans="1:15" ht="15.75" customHeight="1" x14ac:dyDescent="0.25"/>
    <row r="43" spans="1:15" ht="15.75" customHeight="1" x14ac:dyDescent="0.25"/>
    <row r="44" spans="1:15" ht="15.75" customHeight="1" x14ac:dyDescent="0.25"/>
    <row r="45" spans="1:15" ht="15.75" customHeight="1" x14ac:dyDescent="0.25"/>
    <row r="46" spans="1:15" ht="15.75" customHeight="1" x14ac:dyDescent="0.25"/>
    <row r="47" spans="1:15" ht="15.75" customHeight="1" x14ac:dyDescent="0.25"/>
    <row r="48" spans="1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</sheetData>
  <conditionalFormatting sqref="L3:L17 L19:L26 L28:L37 C39:J39">
    <cfRule type="cellIs" dxfId="10" priority="1" stopIfTrue="1" operator="equal">
      <formula>0</formula>
    </cfRule>
    <cfRule type="cellIs" dxfId="9" priority="2" stopIfTrue="1" operator="greaterThan">
      <formula>0</formula>
    </cfRule>
    <cfRule type="cellIs" dxfId="8" priority="3" stopIfTrue="1" operator="lessThan">
      <formula>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34"/>
  <sheetViews>
    <sheetView workbookViewId="0">
      <pane xSplit="17" topLeftCell="R1" activePane="topRight" state="frozen"/>
      <selection pane="topRight" activeCell="S2" sqref="S2"/>
    </sheetView>
  </sheetViews>
  <sheetFormatPr defaultColWidth="14.42578125" defaultRowHeight="15" customHeight="1" x14ac:dyDescent="0.25"/>
  <cols>
    <col min="1" max="1" width="10.140625" customWidth="1"/>
    <col min="2" max="2" width="20.85546875" customWidth="1"/>
    <col min="3" max="3" width="8.42578125" customWidth="1"/>
    <col min="4" max="4" width="9.7109375" customWidth="1"/>
    <col min="5" max="7" width="7.5703125" customWidth="1"/>
    <col min="8" max="9" width="8.140625" customWidth="1"/>
    <col min="11" max="11" width="9" customWidth="1"/>
  </cols>
  <sheetData>
    <row r="1" spans="1:16" x14ac:dyDescent="0.25">
      <c r="A1" s="1" t="s">
        <v>0</v>
      </c>
      <c r="B1" s="3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25">
      <c r="A2" s="103" t="s">
        <v>18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5"/>
      <c r="P2" s="8"/>
    </row>
    <row r="3" spans="1:16" x14ac:dyDescent="0.25">
      <c r="A3" s="9"/>
      <c r="B3" s="10"/>
      <c r="C3" s="11"/>
      <c r="D3" s="11"/>
      <c r="E3" s="11"/>
      <c r="F3" s="11"/>
      <c r="G3" s="11"/>
      <c r="H3" s="11"/>
      <c r="I3" s="11"/>
      <c r="J3" s="12">
        <f t="shared" ref="J3:J10" si="0">SUM(C3:I3)</f>
        <v>0</v>
      </c>
      <c r="K3" s="12"/>
      <c r="L3" s="12">
        <f t="shared" ref="L3:L10" si="1">J3-K3</f>
        <v>0</v>
      </c>
      <c r="M3" s="12">
        <v>0</v>
      </c>
      <c r="N3" s="13">
        <f t="shared" ref="N3:N11" si="2">J3-M3</f>
        <v>0</v>
      </c>
      <c r="O3" s="15" t="s">
        <v>26</v>
      </c>
      <c r="P3" s="16" t="s">
        <v>27</v>
      </c>
    </row>
    <row r="4" spans="1:16" x14ac:dyDescent="0.25">
      <c r="A4" s="9"/>
      <c r="B4" s="10"/>
      <c r="C4" s="21"/>
      <c r="D4" s="21"/>
      <c r="E4" s="21"/>
      <c r="F4" s="11"/>
      <c r="G4" s="21"/>
      <c r="H4" s="21"/>
      <c r="I4" s="21"/>
      <c r="J4" s="12">
        <f t="shared" si="0"/>
        <v>0</v>
      </c>
      <c r="K4" s="22"/>
      <c r="L4" s="12">
        <f t="shared" si="1"/>
        <v>0</v>
      </c>
      <c r="M4" s="12">
        <v>0</v>
      </c>
      <c r="N4" s="13">
        <f t="shared" si="2"/>
        <v>0</v>
      </c>
      <c r="O4" s="15" t="s">
        <v>26</v>
      </c>
      <c r="P4" s="16" t="s">
        <v>27</v>
      </c>
    </row>
    <row r="5" spans="1:16" x14ac:dyDescent="0.25">
      <c r="A5" s="9"/>
      <c r="B5" s="17"/>
      <c r="C5" s="21"/>
      <c r="D5" s="21"/>
      <c r="E5" s="21"/>
      <c r="F5" s="11"/>
      <c r="G5" s="21"/>
      <c r="H5" s="21"/>
      <c r="I5" s="21"/>
      <c r="J5" s="12">
        <f t="shared" si="0"/>
        <v>0</v>
      </c>
      <c r="K5" s="22"/>
      <c r="L5" s="12">
        <f t="shared" si="1"/>
        <v>0</v>
      </c>
      <c r="M5" s="12">
        <v>0</v>
      </c>
      <c r="N5" s="13">
        <f t="shared" si="2"/>
        <v>0</v>
      </c>
      <c r="O5" s="15" t="s">
        <v>26</v>
      </c>
      <c r="P5" s="16" t="s">
        <v>27</v>
      </c>
    </row>
    <row r="6" spans="1:16" x14ac:dyDescent="0.25">
      <c r="A6" s="9"/>
      <c r="B6" s="17"/>
      <c r="C6" s="21"/>
      <c r="D6" s="21"/>
      <c r="E6" s="21"/>
      <c r="F6" s="11"/>
      <c r="G6" s="21"/>
      <c r="H6" s="21"/>
      <c r="I6" s="21"/>
      <c r="J6" s="12">
        <f t="shared" si="0"/>
        <v>0</v>
      </c>
      <c r="K6" s="22"/>
      <c r="L6" s="12">
        <f t="shared" si="1"/>
        <v>0</v>
      </c>
      <c r="M6" s="12">
        <v>0</v>
      </c>
      <c r="N6" s="13">
        <f t="shared" si="2"/>
        <v>0</v>
      </c>
      <c r="O6" s="15" t="s">
        <v>26</v>
      </c>
      <c r="P6" s="16" t="s">
        <v>27</v>
      </c>
    </row>
    <row r="7" spans="1:16" x14ac:dyDescent="0.25">
      <c r="A7" s="9"/>
      <c r="B7" s="10"/>
      <c r="C7" s="21"/>
      <c r="D7" s="21"/>
      <c r="E7" s="21"/>
      <c r="F7" s="11"/>
      <c r="G7" s="21"/>
      <c r="H7" s="21"/>
      <c r="I7" s="21"/>
      <c r="J7" s="12">
        <f t="shared" si="0"/>
        <v>0</v>
      </c>
      <c r="K7" s="22"/>
      <c r="L7" s="12">
        <f t="shared" si="1"/>
        <v>0</v>
      </c>
      <c r="M7" s="12">
        <v>0</v>
      </c>
      <c r="N7" s="13">
        <f t="shared" si="2"/>
        <v>0</v>
      </c>
      <c r="O7" s="15" t="s">
        <v>26</v>
      </c>
      <c r="P7" s="16" t="s">
        <v>27</v>
      </c>
    </row>
    <row r="8" spans="1:16" x14ac:dyDescent="0.25">
      <c r="A8" s="9"/>
      <c r="B8" s="17"/>
      <c r="C8" s="21"/>
      <c r="D8" s="21"/>
      <c r="E8" s="21"/>
      <c r="F8" s="11"/>
      <c r="G8" s="21"/>
      <c r="H8" s="21"/>
      <c r="I8" s="21"/>
      <c r="J8" s="12">
        <f t="shared" si="0"/>
        <v>0</v>
      </c>
      <c r="K8" s="22"/>
      <c r="L8" s="12">
        <f t="shared" si="1"/>
        <v>0</v>
      </c>
      <c r="M8" s="12">
        <v>0</v>
      </c>
      <c r="N8" s="13">
        <f t="shared" si="2"/>
        <v>0</v>
      </c>
      <c r="O8" s="15" t="s">
        <v>26</v>
      </c>
      <c r="P8" s="16" t="s">
        <v>27</v>
      </c>
    </row>
    <row r="9" spans="1:16" x14ac:dyDescent="0.25">
      <c r="A9" s="9"/>
      <c r="B9" s="10"/>
      <c r="C9" s="21"/>
      <c r="D9" s="21"/>
      <c r="E9" s="21"/>
      <c r="F9" s="21"/>
      <c r="G9" s="21"/>
      <c r="H9" s="21"/>
      <c r="I9" s="21"/>
      <c r="J9" s="12">
        <f t="shared" si="0"/>
        <v>0</v>
      </c>
      <c r="K9" s="22"/>
      <c r="L9" s="12">
        <f t="shared" si="1"/>
        <v>0</v>
      </c>
      <c r="M9" s="12">
        <v>0</v>
      </c>
      <c r="N9" s="13">
        <f t="shared" si="2"/>
        <v>0</v>
      </c>
      <c r="O9" s="15" t="s">
        <v>26</v>
      </c>
      <c r="P9" s="16" t="s">
        <v>27</v>
      </c>
    </row>
    <row r="10" spans="1:16" x14ac:dyDescent="0.25">
      <c r="A10" s="9"/>
      <c r="B10" s="17"/>
      <c r="C10" s="20"/>
      <c r="D10" s="20"/>
      <c r="E10" s="20"/>
      <c r="F10" s="20"/>
      <c r="G10" s="20"/>
      <c r="H10" s="20"/>
      <c r="I10" s="20"/>
      <c r="J10" s="12">
        <f t="shared" si="0"/>
        <v>0</v>
      </c>
      <c r="K10" s="22"/>
      <c r="L10" s="12">
        <f t="shared" si="1"/>
        <v>0</v>
      </c>
      <c r="M10" s="12">
        <v>0</v>
      </c>
      <c r="N10" s="13">
        <f t="shared" si="2"/>
        <v>0</v>
      </c>
      <c r="O10" s="15" t="s">
        <v>26</v>
      </c>
      <c r="P10" s="16" t="s">
        <v>27</v>
      </c>
    </row>
    <row r="11" spans="1:16" x14ac:dyDescent="0.25">
      <c r="A11" s="36"/>
      <c r="B11" s="24" t="s">
        <v>42</v>
      </c>
      <c r="C11" s="26">
        <f t="shared" ref="C11:I11" si="3">SUM(C3)</f>
        <v>0</v>
      </c>
      <c r="D11" s="26">
        <f t="shared" si="3"/>
        <v>0</v>
      </c>
      <c r="E11" s="26">
        <f t="shared" si="3"/>
        <v>0</v>
      </c>
      <c r="F11" s="26">
        <f t="shared" si="3"/>
        <v>0</v>
      </c>
      <c r="G11" s="26">
        <f t="shared" si="3"/>
        <v>0</v>
      </c>
      <c r="H11" s="26">
        <f t="shared" si="3"/>
        <v>0</v>
      </c>
      <c r="I11" s="26">
        <f t="shared" si="3"/>
        <v>0</v>
      </c>
      <c r="J11" s="26">
        <f>SUM(J3:J10)</f>
        <v>0</v>
      </c>
      <c r="K11" s="26">
        <f>SUM(K3)</f>
        <v>0</v>
      </c>
      <c r="L11" s="26">
        <f t="shared" ref="L11:M11" si="4">SUM(L3:L10)</f>
        <v>0</v>
      </c>
      <c r="M11" s="26">
        <f t="shared" si="4"/>
        <v>0</v>
      </c>
      <c r="N11" s="49">
        <f t="shared" si="2"/>
        <v>0</v>
      </c>
      <c r="O11" s="15" t="s">
        <v>26</v>
      </c>
      <c r="P11" s="16" t="s">
        <v>27</v>
      </c>
    </row>
    <row r="12" spans="1:16" x14ac:dyDescent="0.25">
      <c r="A12" s="8"/>
      <c r="B12" s="45" t="s">
        <v>49</v>
      </c>
      <c r="C12" s="47"/>
      <c r="D12" s="47"/>
      <c r="E12" s="47"/>
      <c r="F12" s="47"/>
      <c r="G12" s="47"/>
      <c r="H12" s="47"/>
      <c r="I12" s="47"/>
      <c r="J12" s="51"/>
      <c r="K12" s="51"/>
      <c r="L12" s="51"/>
      <c r="M12" s="47"/>
      <c r="N12" s="47"/>
      <c r="O12" s="8"/>
      <c r="P12" s="8"/>
    </row>
    <row r="13" spans="1:16" x14ac:dyDescent="0.25">
      <c r="A13" s="1" t="s">
        <v>0</v>
      </c>
      <c r="B13" s="3" t="s">
        <v>1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  <c r="H13" s="1" t="s">
        <v>8</v>
      </c>
      <c r="I13" s="1" t="s">
        <v>9</v>
      </c>
      <c r="J13" s="1" t="s">
        <v>10</v>
      </c>
      <c r="K13" s="1" t="s">
        <v>11</v>
      </c>
      <c r="L13" s="1" t="s">
        <v>12</v>
      </c>
      <c r="M13" s="1" t="s">
        <v>13</v>
      </c>
      <c r="N13" s="1" t="s">
        <v>14</v>
      </c>
      <c r="O13" s="1" t="s">
        <v>15</v>
      </c>
      <c r="P13" s="1" t="s">
        <v>16</v>
      </c>
    </row>
    <row r="14" spans="1:16" x14ac:dyDescent="0.25">
      <c r="A14" s="31"/>
      <c r="B14" s="32"/>
      <c r="C14" s="11"/>
      <c r="D14" s="11"/>
      <c r="E14" s="11"/>
      <c r="F14" s="11"/>
      <c r="G14" s="11"/>
      <c r="H14" s="11"/>
      <c r="I14" s="11"/>
      <c r="J14" s="12">
        <f t="shared" ref="J14:J18" si="5">SUM(C14:I14)</f>
        <v>0</v>
      </c>
      <c r="K14" s="12"/>
      <c r="L14" s="12">
        <f t="shared" ref="L14:L18" si="6">J14-K14</f>
        <v>0</v>
      </c>
      <c r="M14" s="12">
        <v>0</v>
      </c>
      <c r="N14" s="13">
        <f t="shared" ref="N14:N19" si="7">J14-M14</f>
        <v>0</v>
      </c>
      <c r="O14" s="15" t="s">
        <v>26</v>
      </c>
      <c r="P14" s="16" t="s">
        <v>27</v>
      </c>
    </row>
    <row r="15" spans="1:16" x14ac:dyDescent="0.25">
      <c r="A15" s="31"/>
      <c r="B15" s="48"/>
      <c r="C15" s="11"/>
      <c r="D15" s="11"/>
      <c r="E15" s="11"/>
      <c r="F15" s="11"/>
      <c r="G15" s="11"/>
      <c r="H15" s="11"/>
      <c r="I15" s="11"/>
      <c r="J15" s="12">
        <f t="shared" si="5"/>
        <v>0</v>
      </c>
      <c r="K15" s="12"/>
      <c r="L15" s="12">
        <f t="shared" si="6"/>
        <v>0</v>
      </c>
      <c r="M15" s="12">
        <v>0</v>
      </c>
      <c r="N15" s="13">
        <f t="shared" si="7"/>
        <v>0</v>
      </c>
      <c r="O15" s="15" t="s">
        <v>26</v>
      </c>
      <c r="P15" s="16" t="s">
        <v>27</v>
      </c>
    </row>
    <row r="16" spans="1:16" x14ac:dyDescent="0.25">
      <c r="A16" s="31"/>
      <c r="B16" s="32"/>
      <c r="C16" s="11"/>
      <c r="D16" s="11"/>
      <c r="E16" s="11"/>
      <c r="F16" s="11"/>
      <c r="G16" s="11"/>
      <c r="H16" s="11"/>
      <c r="I16" s="11"/>
      <c r="J16" s="12">
        <f t="shared" si="5"/>
        <v>0</v>
      </c>
      <c r="K16" s="12"/>
      <c r="L16" s="12">
        <f t="shared" si="6"/>
        <v>0</v>
      </c>
      <c r="M16" s="12">
        <v>0</v>
      </c>
      <c r="N16" s="13">
        <f t="shared" si="7"/>
        <v>0</v>
      </c>
      <c r="O16" s="15" t="s">
        <v>26</v>
      </c>
      <c r="P16" s="16" t="s">
        <v>27</v>
      </c>
    </row>
    <row r="17" spans="1:16" x14ac:dyDescent="0.25">
      <c r="A17" s="31"/>
      <c r="B17" s="32"/>
      <c r="C17" s="11"/>
      <c r="D17" s="11"/>
      <c r="E17" s="11"/>
      <c r="F17" s="11"/>
      <c r="G17" s="11"/>
      <c r="H17" s="11"/>
      <c r="I17" s="11"/>
      <c r="J17" s="12">
        <f t="shared" si="5"/>
        <v>0</v>
      </c>
      <c r="K17" s="12"/>
      <c r="L17" s="12">
        <f t="shared" si="6"/>
        <v>0</v>
      </c>
      <c r="M17" s="12">
        <v>0</v>
      </c>
      <c r="N17" s="13">
        <f t="shared" si="7"/>
        <v>0</v>
      </c>
      <c r="O17" s="15" t="s">
        <v>26</v>
      </c>
      <c r="P17" s="16" t="s">
        <v>27</v>
      </c>
    </row>
    <row r="18" spans="1:16" x14ac:dyDescent="0.25">
      <c r="A18" s="31"/>
      <c r="B18" s="33"/>
      <c r="C18" s="11"/>
      <c r="D18" s="11"/>
      <c r="E18" s="11"/>
      <c r="F18" s="11"/>
      <c r="G18" s="11"/>
      <c r="H18" s="11"/>
      <c r="I18" s="11"/>
      <c r="J18" s="12">
        <f t="shared" si="5"/>
        <v>0</v>
      </c>
      <c r="K18" s="12"/>
      <c r="L18" s="12">
        <f t="shared" si="6"/>
        <v>0</v>
      </c>
      <c r="M18" s="12">
        <v>0</v>
      </c>
      <c r="N18" s="13">
        <f t="shared" si="7"/>
        <v>0</v>
      </c>
      <c r="O18" s="15" t="s">
        <v>26</v>
      </c>
      <c r="P18" s="16" t="s">
        <v>27</v>
      </c>
    </row>
    <row r="19" spans="1:16" x14ac:dyDescent="0.25">
      <c r="A19" s="31"/>
      <c r="B19" s="24" t="s">
        <v>42</v>
      </c>
      <c r="C19" s="26">
        <f t="shared" ref="C19:M19" si="8">SUM(C14:C17)</f>
        <v>0</v>
      </c>
      <c r="D19" s="26">
        <f t="shared" si="8"/>
        <v>0</v>
      </c>
      <c r="E19" s="26">
        <f t="shared" si="8"/>
        <v>0</v>
      </c>
      <c r="F19" s="26">
        <f t="shared" si="8"/>
        <v>0</v>
      </c>
      <c r="G19" s="26">
        <f t="shared" si="8"/>
        <v>0</v>
      </c>
      <c r="H19" s="26">
        <f t="shared" si="8"/>
        <v>0</v>
      </c>
      <c r="I19" s="26">
        <f t="shared" si="8"/>
        <v>0</v>
      </c>
      <c r="J19" s="26">
        <f t="shared" si="8"/>
        <v>0</v>
      </c>
      <c r="K19" s="26">
        <f t="shared" si="8"/>
        <v>0</v>
      </c>
      <c r="L19" s="26">
        <f t="shared" si="8"/>
        <v>0</v>
      </c>
      <c r="M19" s="26">
        <f t="shared" si="8"/>
        <v>0</v>
      </c>
      <c r="N19" s="13">
        <f t="shared" si="7"/>
        <v>0</v>
      </c>
      <c r="O19" s="15" t="s">
        <v>26</v>
      </c>
      <c r="P19" s="16" t="s">
        <v>27</v>
      </c>
    </row>
    <row r="20" spans="1:16" x14ac:dyDescent="0.25">
      <c r="A20" s="8"/>
      <c r="B20" s="28" t="s">
        <v>46</v>
      </c>
      <c r="C20" s="8"/>
      <c r="D20" s="8"/>
      <c r="E20" s="8"/>
      <c r="F20" s="8"/>
      <c r="G20" s="8"/>
      <c r="H20" s="8"/>
      <c r="I20" s="8"/>
      <c r="J20" s="1"/>
      <c r="K20" s="1"/>
      <c r="L20" s="1"/>
      <c r="M20" s="8"/>
      <c r="N20" s="8"/>
      <c r="O20" s="8"/>
      <c r="P20" s="8"/>
    </row>
    <row r="21" spans="1:16" x14ac:dyDescent="0.25">
      <c r="A21" s="1" t="s">
        <v>0</v>
      </c>
      <c r="B21" s="3" t="s">
        <v>1</v>
      </c>
      <c r="C21" s="1" t="s">
        <v>3</v>
      </c>
      <c r="D21" s="1" t="s">
        <v>4</v>
      </c>
      <c r="E21" s="1" t="s">
        <v>5</v>
      </c>
      <c r="F21" s="1" t="s">
        <v>6</v>
      </c>
      <c r="G21" s="1" t="s">
        <v>7</v>
      </c>
      <c r="H21" s="1" t="s">
        <v>8</v>
      </c>
      <c r="I21" s="1" t="s">
        <v>9</v>
      </c>
      <c r="J21" s="1" t="s">
        <v>10</v>
      </c>
      <c r="K21" s="1" t="s">
        <v>11</v>
      </c>
      <c r="L21" s="1" t="s">
        <v>12</v>
      </c>
      <c r="M21" s="1" t="s">
        <v>13</v>
      </c>
      <c r="N21" s="1" t="s">
        <v>14</v>
      </c>
      <c r="O21" s="1" t="s">
        <v>15</v>
      </c>
      <c r="P21" s="1" t="s">
        <v>16</v>
      </c>
    </row>
    <row r="22" spans="1:16" x14ac:dyDescent="0.25">
      <c r="A22" s="31"/>
      <c r="B22" s="33"/>
      <c r="C22" s="11"/>
      <c r="D22" s="11"/>
      <c r="E22" s="11"/>
      <c r="F22" s="11"/>
      <c r="G22" s="11"/>
      <c r="H22" s="11"/>
      <c r="I22" s="11"/>
      <c r="J22" s="12">
        <f t="shared" ref="J22:J24" si="9">SUM(C22:I22)</f>
        <v>0</v>
      </c>
      <c r="K22" s="12"/>
      <c r="L22" s="12">
        <f t="shared" ref="L22:L24" si="10">J22-K22</f>
        <v>0</v>
      </c>
      <c r="M22" s="12">
        <v>0</v>
      </c>
      <c r="N22" s="13">
        <f t="shared" ref="N22:N25" si="11">J22-M22</f>
        <v>0</v>
      </c>
      <c r="O22" s="15" t="s">
        <v>26</v>
      </c>
      <c r="P22" s="16" t="s">
        <v>27</v>
      </c>
    </row>
    <row r="23" spans="1:16" x14ac:dyDescent="0.25">
      <c r="A23" s="31"/>
      <c r="B23" s="32"/>
      <c r="C23" s="11"/>
      <c r="D23" s="11"/>
      <c r="E23" s="11"/>
      <c r="F23" s="11"/>
      <c r="G23" s="11"/>
      <c r="H23" s="11"/>
      <c r="I23" s="11"/>
      <c r="J23" s="12">
        <f t="shared" si="9"/>
        <v>0</v>
      </c>
      <c r="K23" s="12"/>
      <c r="L23" s="12">
        <f t="shared" si="10"/>
        <v>0</v>
      </c>
      <c r="M23" s="12">
        <v>0</v>
      </c>
      <c r="N23" s="13">
        <f t="shared" si="11"/>
        <v>0</v>
      </c>
      <c r="O23" s="15" t="s">
        <v>26</v>
      </c>
      <c r="P23" s="16" t="s">
        <v>27</v>
      </c>
    </row>
    <row r="24" spans="1:16" x14ac:dyDescent="0.25">
      <c r="A24" s="31"/>
      <c r="B24" s="32"/>
      <c r="C24" s="11"/>
      <c r="D24" s="11"/>
      <c r="E24" s="11"/>
      <c r="F24" s="11"/>
      <c r="G24" s="11"/>
      <c r="H24" s="11"/>
      <c r="I24" s="11"/>
      <c r="J24" s="12">
        <f t="shared" si="9"/>
        <v>0</v>
      </c>
      <c r="K24" s="12"/>
      <c r="L24" s="12">
        <f t="shared" si="10"/>
        <v>0</v>
      </c>
      <c r="M24" s="12">
        <v>0</v>
      </c>
      <c r="N24" s="13">
        <f t="shared" si="11"/>
        <v>0</v>
      </c>
      <c r="O24" s="15" t="s">
        <v>26</v>
      </c>
      <c r="P24" s="16" t="s">
        <v>27</v>
      </c>
    </row>
    <row r="25" spans="1:16" x14ac:dyDescent="0.25">
      <c r="A25" s="31"/>
      <c r="B25" s="24" t="s">
        <v>42</v>
      </c>
      <c r="C25" s="26">
        <f t="shared" ref="C25:M25" si="12">SUM(C22:C23)</f>
        <v>0</v>
      </c>
      <c r="D25" s="26">
        <f t="shared" si="12"/>
        <v>0</v>
      </c>
      <c r="E25" s="26">
        <f t="shared" si="12"/>
        <v>0</v>
      </c>
      <c r="F25" s="26">
        <f t="shared" si="12"/>
        <v>0</v>
      </c>
      <c r="G25" s="26">
        <f t="shared" si="12"/>
        <v>0</v>
      </c>
      <c r="H25" s="26">
        <f t="shared" si="12"/>
        <v>0</v>
      </c>
      <c r="I25" s="26">
        <f t="shared" si="12"/>
        <v>0</v>
      </c>
      <c r="J25" s="26">
        <f t="shared" si="12"/>
        <v>0</v>
      </c>
      <c r="K25" s="26">
        <f t="shared" si="12"/>
        <v>0</v>
      </c>
      <c r="L25" s="26">
        <f t="shared" si="12"/>
        <v>0</v>
      </c>
      <c r="M25" s="26">
        <f t="shared" si="12"/>
        <v>0</v>
      </c>
      <c r="N25" s="13">
        <f t="shared" si="11"/>
        <v>0</v>
      </c>
      <c r="O25" s="15" t="s">
        <v>26</v>
      </c>
      <c r="P25" s="16" t="s">
        <v>27</v>
      </c>
    </row>
    <row r="26" spans="1:16" x14ac:dyDescent="0.25">
      <c r="A26" s="8"/>
      <c r="B26" s="43" t="s">
        <v>48</v>
      </c>
      <c r="C26" s="8"/>
      <c r="D26" s="8"/>
      <c r="E26" s="8"/>
      <c r="F26" s="8"/>
      <c r="G26" s="8"/>
      <c r="H26" s="8"/>
      <c r="I26" s="8"/>
      <c r="J26" s="1"/>
      <c r="K26" s="1"/>
      <c r="L26" s="1"/>
      <c r="M26" s="8"/>
      <c r="N26" s="8"/>
      <c r="O26" s="44"/>
      <c r="P26" s="44"/>
    </row>
    <row r="27" spans="1:16" x14ac:dyDescent="0.25">
      <c r="A27" s="46"/>
      <c r="B27" s="48"/>
      <c r="C27" s="11"/>
      <c r="D27" s="11"/>
      <c r="E27" s="11"/>
      <c r="F27" s="11"/>
      <c r="G27" s="11"/>
      <c r="H27" s="11"/>
      <c r="I27" s="11"/>
      <c r="J27" s="12">
        <f t="shared" ref="J27:J30" si="13">SUM(C27:I27)</f>
        <v>0</v>
      </c>
      <c r="K27" s="12"/>
      <c r="L27" s="12">
        <f t="shared" ref="L27:L30" si="14">J27-K27</f>
        <v>0</v>
      </c>
      <c r="M27" s="11">
        <v>0</v>
      </c>
      <c r="N27" s="13">
        <f t="shared" ref="N27:N31" si="15">J27-M27</f>
        <v>0</v>
      </c>
      <c r="O27" s="15" t="s">
        <v>26</v>
      </c>
      <c r="P27" s="16" t="s">
        <v>27</v>
      </c>
    </row>
    <row r="28" spans="1:16" x14ac:dyDescent="0.25">
      <c r="A28" s="46"/>
      <c r="B28" s="48"/>
      <c r="C28" s="11"/>
      <c r="D28" s="11"/>
      <c r="E28" s="11"/>
      <c r="F28" s="11"/>
      <c r="G28" s="11"/>
      <c r="H28" s="11"/>
      <c r="I28" s="11"/>
      <c r="J28" s="12">
        <f t="shared" si="13"/>
        <v>0</v>
      </c>
      <c r="K28" s="12"/>
      <c r="L28" s="12">
        <f t="shared" si="14"/>
        <v>0</v>
      </c>
      <c r="M28" s="11">
        <v>0</v>
      </c>
      <c r="N28" s="13">
        <f t="shared" si="15"/>
        <v>0</v>
      </c>
      <c r="O28" s="15" t="s">
        <v>26</v>
      </c>
      <c r="P28" s="16" t="s">
        <v>27</v>
      </c>
    </row>
    <row r="29" spans="1:16" x14ac:dyDescent="0.25">
      <c r="A29" s="46"/>
      <c r="B29" s="48"/>
      <c r="C29" s="11"/>
      <c r="D29" s="11"/>
      <c r="E29" s="11"/>
      <c r="F29" s="11"/>
      <c r="G29" s="11"/>
      <c r="H29" s="11"/>
      <c r="I29" s="11"/>
      <c r="J29" s="12">
        <f t="shared" si="13"/>
        <v>0</v>
      </c>
      <c r="K29" s="12"/>
      <c r="L29" s="12">
        <f t="shared" si="14"/>
        <v>0</v>
      </c>
      <c r="M29" s="11">
        <v>0</v>
      </c>
      <c r="N29" s="13">
        <f t="shared" si="15"/>
        <v>0</v>
      </c>
      <c r="O29" s="15" t="s">
        <v>26</v>
      </c>
      <c r="P29" s="16" t="s">
        <v>27</v>
      </c>
    </row>
    <row r="30" spans="1:16" x14ac:dyDescent="0.25">
      <c r="A30" s="46"/>
      <c r="B30" s="48"/>
      <c r="C30" s="11"/>
      <c r="D30" s="11"/>
      <c r="E30" s="11"/>
      <c r="F30" s="11"/>
      <c r="G30" s="11"/>
      <c r="H30" s="11"/>
      <c r="I30" s="11"/>
      <c r="J30" s="12">
        <f t="shared" si="13"/>
        <v>0</v>
      </c>
      <c r="K30" s="12"/>
      <c r="L30" s="12">
        <f t="shared" si="14"/>
        <v>0</v>
      </c>
      <c r="M30" s="11">
        <v>0</v>
      </c>
      <c r="N30" s="13">
        <f t="shared" si="15"/>
        <v>0</v>
      </c>
      <c r="O30" s="15" t="s">
        <v>26</v>
      </c>
      <c r="P30" s="16" t="s">
        <v>27</v>
      </c>
    </row>
    <row r="31" spans="1:16" x14ac:dyDescent="0.25">
      <c r="A31" s="52"/>
      <c r="B31" s="1" t="s">
        <v>42</v>
      </c>
      <c r="C31" s="1">
        <f t="shared" ref="C31:H31" si="16">SUM(C11,C19,C25)</f>
        <v>0</v>
      </c>
      <c r="D31" s="1">
        <f t="shared" si="16"/>
        <v>0</v>
      </c>
      <c r="E31" s="1">
        <f t="shared" si="16"/>
        <v>0</v>
      </c>
      <c r="F31" s="1">
        <f t="shared" si="16"/>
        <v>0</v>
      </c>
      <c r="G31" s="1">
        <f t="shared" si="16"/>
        <v>0</v>
      </c>
      <c r="H31" s="1">
        <f t="shared" si="16"/>
        <v>0</v>
      </c>
      <c r="I31" s="1"/>
      <c r="J31" s="1">
        <f t="shared" ref="J31:M31" si="17">SUM(J11,J19,J25)</f>
        <v>0</v>
      </c>
      <c r="K31" s="1">
        <f t="shared" si="17"/>
        <v>0</v>
      </c>
      <c r="L31" s="1">
        <f t="shared" si="17"/>
        <v>0</v>
      </c>
      <c r="M31" s="1">
        <f t="shared" si="17"/>
        <v>0</v>
      </c>
      <c r="N31" s="13">
        <f t="shared" si="15"/>
        <v>0</v>
      </c>
      <c r="O31" s="15"/>
      <c r="P31" s="16"/>
    </row>
    <row r="32" spans="1:16" x14ac:dyDescent="0.25">
      <c r="A32" s="15"/>
      <c r="B32" s="53" t="s">
        <v>13</v>
      </c>
      <c r="C32" s="15">
        <v>0</v>
      </c>
      <c r="D32" s="15">
        <v>0</v>
      </c>
      <c r="E32" s="11">
        <v>0</v>
      </c>
      <c r="F32" s="15">
        <v>0</v>
      </c>
      <c r="G32" s="15">
        <v>0</v>
      </c>
      <c r="H32" s="15">
        <v>0</v>
      </c>
      <c r="I32" s="15"/>
      <c r="J32" s="15">
        <v>0</v>
      </c>
      <c r="K32" s="54"/>
      <c r="L32" s="54"/>
      <c r="M32" s="54"/>
      <c r="N32" s="55"/>
      <c r="O32" s="55"/>
      <c r="P32" s="4"/>
    </row>
    <row r="33" spans="1:16" x14ac:dyDescent="0.25">
      <c r="A33" s="54"/>
      <c r="B33" s="53" t="s">
        <v>14</v>
      </c>
      <c r="C33" s="15">
        <f t="shared" ref="C33:H33" si="18">C31-C32</f>
        <v>0</v>
      </c>
      <c r="D33" s="15">
        <f t="shared" si="18"/>
        <v>0</v>
      </c>
      <c r="E33" s="15">
        <f t="shared" si="18"/>
        <v>0</v>
      </c>
      <c r="F33" s="15">
        <f t="shared" si="18"/>
        <v>0</v>
      </c>
      <c r="G33" s="15">
        <f t="shared" si="18"/>
        <v>0</v>
      </c>
      <c r="H33" s="15">
        <f t="shared" si="18"/>
        <v>0</v>
      </c>
      <c r="I33" s="15"/>
      <c r="J33" s="15">
        <f>J31-J32</f>
        <v>0</v>
      </c>
      <c r="K33" s="54"/>
      <c r="L33" s="54"/>
      <c r="M33" s="4"/>
      <c r="N33" s="54"/>
      <c r="O33" s="54"/>
      <c r="P33" s="4"/>
    </row>
    <row r="34" spans="1:16" x14ac:dyDescent="0.25">
      <c r="F34" s="54"/>
    </row>
  </sheetData>
  <mergeCells count="1">
    <mergeCell ref="A2:O2"/>
  </mergeCells>
  <conditionalFormatting sqref="N3:N12 N14:N20 N22:N31 C33:L33">
    <cfRule type="cellIs" dxfId="7" priority="1" stopIfTrue="1" operator="equal">
      <formula>0</formula>
    </cfRule>
    <cfRule type="cellIs" dxfId="6" priority="2" stopIfTrue="1" operator="greaterThan">
      <formula>0</formula>
    </cfRule>
    <cfRule type="cellIs" dxfId="5" priority="3" stopIfTrue="1" operator="lessThan">
      <formula>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86"/>
  <sheetViews>
    <sheetView workbookViewId="0">
      <pane ySplit="1" topLeftCell="A2" activePane="bottomLeft" state="frozen"/>
      <selection pane="bottomLeft" activeCell="H5" sqref="H5"/>
    </sheetView>
  </sheetViews>
  <sheetFormatPr defaultColWidth="14.42578125" defaultRowHeight="15" customHeight="1" x14ac:dyDescent="0.25"/>
  <cols>
    <col min="1" max="1" width="10.140625" customWidth="1"/>
    <col min="2" max="2" width="38" customWidth="1"/>
    <col min="3" max="3" width="8.85546875" customWidth="1"/>
    <col min="4" max="4" width="9.5703125" customWidth="1"/>
    <col min="5" max="5" width="12.5703125" customWidth="1"/>
    <col min="6" max="6" width="8.140625" customWidth="1"/>
    <col min="7" max="7" width="7.5703125" customWidth="1"/>
    <col min="8" max="8" width="13.42578125" customWidth="1"/>
    <col min="9" max="9" width="10.140625" customWidth="1"/>
    <col min="10" max="10" width="12.140625" customWidth="1"/>
    <col min="11" max="11" width="11.42578125" customWidth="1"/>
    <col min="12" max="12" width="11.7109375" customWidth="1"/>
    <col min="13" max="13" width="8.85546875" customWidth="1"/>
    <col min="14" max="25" width="9.140625" customWidth="1"/>
  </cols>
  <sheetData>
    <row r="1" spans="1:25" x14ac:dyDescent="0.25">
      <c r="A1" s="1" t="s">
        <v>0</v>
      </c>
      <c r="B1" s="3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25">
      <c r="A2" s="103" t="s">
        <v>18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  <c r="N2" s="8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x14ac:dyDescent="0.25">
      <c r="A3" s="9">
        <v>1290</v>
      </c>
      <c r="B3" s="10" t="s">
        <v>22</v>
      </c>
      <c r="C3" s="11"/>
      <c r="D3" s="11"/>
      <c r="E3" s="11"/>
      <c r="F3" s="11"/>
      <c r="G3" s="11"/>
      <c r="H3" s="12">
        <f>SUM(C3:G3)</f>
        <v>0</v>
      </c>
      <c r="I3" s="12"/>
      <c r="J3" s="12">
        <f>H3-I3</f>
        <v>0</v>
      </c>
      <c r="K3" s="12">
        <v>0</v>
      </c>
      <c r="L3" s="13">
        <f t="shared" ref="L3:L16" si="0">H3-K3</f>
        <v>0</v>
      </c>
      <c r="M3" s="15" t="s">
        <v>26</v>
      </c>
      <c r="N3" s="16" t="s">
        <v>27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.75" customHeight="1" x14ac:dyDescent="0.25">
      <c r="A4" s="9">
        <v>1301</v>
      </c>
      <c r="B4" s="10" t="s">
        <v>33</v>
      </c>
      <c r="C4" s="11"/>
      <c r="D4" s="11"/>
      <c r="E4" s="11"/>
      <c r="F4" s="11"/>
      <c r="G4" s="11"/>
      <c r="H4" s="12">
        <f t="shared" ref="H4:H16" si="1">SUM(C4:G4)</f>
        <v>0</v>
      </c>
      <c r="I4" s="12"/>
      <c r="J4" s="12">
        <f t="shared" ref="J4:J16" si="2">H4-I4</f>
        <v>0</v>
      </c>
      <c r="K4" s="12">
        <v>0</v>
      </c>
      <c r="L4" s="13">
        <f t="shared" si="0"/>
        <v>0</v>
      </c>
      <c r="M4" s="15" t="s">
        <v>26</v>
      </c>
      <c r="N4" s="16" t="s">
        <v>27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.75" customHeight="1" x14ac:dyDescent="0.25">
      <c r="A5" s="9">
        <v>1288</v>
      </c>
      <c r="B5" s="17" t="s">
        <v>36</v>
      </c>
      <c r="C5" s="20"/>
      <c r="D5" s="20"/>
      <c r="E5" s="20"/>
      <c r="F5" s="20"/>
      <c r="G5" s="20"/>
      <c r="H5" s="12">
        <f t="shared" si="1"/>
        <v>0</v>
      </c>
      <c r="I5" s="22"/>
      <c r="J5" s="12">
        <f t="shared" si="2"/>
        <v>0</v>
      </c>
      <c r="K5" s="12">
        <v>0</v>
      </c>
      <c r="L5" s="13">
        <f t="shared" si="0"/>
        <v>0</v>
      </c>
      <c r="M5" s="15" t="s">
        <v>26</v>
      </c>
      <c r="N5" s="16" t="s">
        <v>27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5.75" customHeight="1" x14ac:dyDescent="0.25">
      <c r="A6" s="9">
        <v>1280</v>
      </c>
      <c r="B6" s="17" t="s">
        <v>39</v>
      </c>
      <c r="C6" s="20"/>
      <c r="D6" s="20"/>
      <c r="E6" s="20"/>
      <c r="F6" s="20"/>
      <c r="G6" s="20"/>
      <c r="H6" s="12">
        <f t="shared" si="1"/>
        <v>0</v>
      </c>
      <c r="I6" s="22"/>
      <c r="J6" s="12">
        <f t="shared" si="2"/>
        <v>0</v>
      </c>
      <c r="K6" s="12">
        <v>0</v>
      </c>
      <c r="L6" s="13">
        <f t="shared" si="0"/>
        <v>0</v>
      </c>
      <c r="M6" s="15" t="s">
        <v>26</v>
      </c>
      <c r="N6" s="16" t="s">
        <v>27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5.75" customHeight="1" x14ac:dyDescent="0.25">
      <c r="A7" s="9">
        <v>1294</v>
      </c>
      <c r="B7" s="17" t="s">
        <v>38</v>
      </c>
      <c r="C7" s="20"/>
      <c r="D7" s="20"/>
      <c r="E7" s="20"/>
      <c r="F7" s="20"/>
      <c r="G7" s="20"/>
      <c r="H7" s="12">
        <f t="shared" si="1"/>
        <v>0</v>
      </c>
      <c r="I7" s="22"/>
      <c r="J7" s="12">
        <f t="shared" si="2"/>
        <v>0</v>
      </c>
      <c r="K7" s="12">
        <v>0</v>
      </c>
      <c r="L7" s="13">
        <f t="shared" si="0"/>
        <v>0</v>
      </c>
      <c r="M7" s="15" t="s">
        <v>26</v>
      </c>
      <c r="N7" s="16" t="s">
        <v>27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.75" customHeight="1" x14ac:dyDescent="0.25">
      <c r="A8" s="9">
        <v>1292</v>
      </c>
      <c r="B8" s="17" t="s">
        <v>28</v>
      </c>
      <c r="C8" s="20"/>
      <c r="D8" s="20"/>
      <c r="E8" s="20"/>
      <c r="F8" s="20"/>
      <c r="G8" s="20"/>
      <c r="H8" s="12">
        <f t="shared" si="1"/>
        <v>0</v>
      </c>
      <c r="I8" s="22"/>
      <c r="J8" s="12">
        <f t="shared" si="2"/>
        <v>0</v>
      </c>
      <c r="K8" s="12">
        <v>0</v>
      </c>
      <c r="L8" s="13">
        <f t="shared" si="0"/>
        <v>0</v>
      </c>
      <c r="M8" s="15" t="s">
        <v>26</v>
      </c>
      <c r="N8" s="16" t="s">
        <v>27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5.75" customHeight="1" x14ac:dyDescent="0.25">
      <c r="A9" s="9">
        <v>1175</v>
      </c>
      <c r="B9" s="17" t="s">
        <v>37</v>
      </c>
      <c r="C9" s="20"/>
      <c r="D9" s="20"/>
      <c r="E9" s="20"/>
      <c r="F9" s="20"/>
      <c r="G9" s="20"/>
      <c r="H9" s="12">
        <f t="shared" si="1"/>
        <v>0</v>
      </c>
      <c r="I9" s="22"/>
      <c r="J9" s="12">
        <f t="shared" si="2"/>
        <v>0</v>
      </c>
      <c r="K9" s="12">
        <v>0</v>
      </c>
      <c r="L9" s="13">
        <f t="shared" si="0"/>
        <v>0</v>
      </c>
      <c r="M9" s="15" t="s">
        <v>26</v>
      </c>
      <c r="N9" s="16" t="s">
        <v>27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5.75" customHeight="1" x14ac:dyDescent="0.25">
      <c r="A10" s="9">
        <v>1295</v>
      </c>
      <c r="B10" s="17" t="s">
        <v>34</v>
      </c>
      <c r="C10" s="20"/>
      <c r="D10" s="20"/>
      <c r="E10" s="20"/>
      <c r="F10" s="20"/>
      <c r="G10" s="20"/>
      <c r="H10" s="12">
        <f t="shared" si="1"/>
        <v>0</v>
      </c>
      <c r="I10" s="22"/>
      <c r="J10" s="12">
        <f t="shared" si="2"/>
        <v>0</v>
      </c>
      <c r="K10" s="12">
        <v>0</v>
      </c>
      <c r="L10" s="13">
        <f t="shared" si="0"/>
        <v>0</v>
      </c>
      <c r="M10" s="15" t="s">
        <v>26</v>
      </c>
      <c r="N10" s="16" t="s">
        <v>27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5.75" customHeight="1" x14ac:dyDescent="0.25">
      <c r="A11" s="9">
        <v>1300</v>
      </c>
      <c r="B11" s="17" t="s">
        <v>41</v>
      </c>
      <c r="C11" s="20"/>
      <c r="D11" s="20"/>
      <c r="E11" s="20"/>
      <c r="F11" s="20"/>
      <c r="G11" s="20"/>
      <c r="H11" s="12">
        <f t="shared" si="1"/>
        <v>0</v>
      </c>
      <c r="I11" s="22"/>
      <c r="J11" s="12">
        <f t="shared" si="2"/>
        <v>0</v>
      </c>
      <c r="K11" s="12">
        <v>0</v>
      </c>
      <c r="L11" s="13">
        <f t="shared" si="0"/>
        <v>0</v>
      </c>
      <c r="M11" s="15" t="s">
        <v>26</v>
      </c>
      <c r="N11" s="16" t="s">
        <v>27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5.75" customHeight="1" x14ac:dyDescent="0.25">
      <c r="A12" s="9">
        <v>1291</v>
      </c>
      <c r="B12" s="17" t="s">
        <v>21</v>
      </c>
      <c r="C12" s="20"/>
      <c r="D12" s="20"/>
      <c r="E12" s="20"/>
      <c r="F12" s="20"/>
      <c r="G12" s="20"/>
      <c r="H12" s="12">
        <f t="shared" si="1"/>
        <v>0</v>
      </c>
      <c r="I12" s="22"/>
      <c r="J12" s="12">
        <f t="shared" si="2"/>
        <v>0</v>
      </c>
      <c r="K12" s="12">
        <v>0</v>
      </c>
      <c r="L12" s="13">
        <f t="shared" si="0"/>
        <v>0</v>
      </c>
      <c r="M12" s="15" t="s">
        <v>26</v>
      </c>
      <c r="N12" s="16" t="s">
        <v>27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5.75" customHeight="1" x14ac:dyDescent="0.25">
      <c r="A13" s="9">
        <v>1220</v>
      </c>
      <c r="B13" s="17" t="s">
        <v>47</v>
      </c>
      <c r="C13" s="20"/>
      <c r="D13" s="20"/>
      <c r="E13" s="20"/>
      <c r="F13" s="20"/>
      <c r="G13" s="20"/>
      <c r="H13" s="12">
        <f t="shared" si="1"/>
        <v>0</v>
      </c>
      <c r="I13" s="22"/>
      <c r="J13" s="12">
        <f t="shared" si="2"/>
        <v>0</v>
      </c>
      <c r="K13" s="12">
        <v>0</v>
      </c>
      <c r="L13" s="13">
        <f t="shared" si="0"/>
        <v>0</v>
      </c>
      <c r="M13" s="15" t="s">
        <v>26</v>
      </c>
      <c r="N13" s="16" t="s">
        <v>27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5.75" customHeight="1" x14ac:dyDescent="0.25">
      <c r="A14" s="9">
        <v>1298</v>
      </c>
      <c r="B14" s="17" t="s">
        <v>40</v>
      </c>
      <c r="C14" s="20"/>
      <c r="D14" s="20"/>
      <c r="E14" s="20"/>
      <c r="F14" s="20"/>
      <c r="G14" s="20"/>
      <c r="H14" s="12">
        <f t="shared" si="1"/>
        <v>0</v>
      </c>
      <c r="I14" s="22"/>
      <c r="J14" s="12">
        <f t="shared" si="2"/>
        <v>0</v>
      </c>
      <c r="K14" s="12">
        <v>0</v>
      </c>
      <c r="L14" s="13">
        <f t="shared" si="0"/>
        <v>0</v>
      </c>
      <c r="M14" s="15" t="s">
        <v>26</v>
      </c>
      <c r="N14" s="16" t="s">
        <v>27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5.75" customHeight="1" x14ac:dyDescent="0.25">
      <c r="A15" s="9"/>
      <c r="B15" s="17"/>
      <c r="C15" s="20"/>
      <c r="D15" s="20"/>
      <c r="E15" s="20"/>
      <c r="F15" s="20"/>
      <c r="G15" s="20"/>
      <c r="H15" s="12">
        <f t="shared" si="1"/>
        <v>0</v>
      </c>
      <c r="I15" s="22"/>
      <c r="J15" s="12">
        <f t="shared" si="2"/>
        <v>0</v>
      </c>
      <c r="K15" s="12">
        <v>0</v>
      </c>
      <c r="L15" s="13">
        <f t="shared" si="0"/>
        <v>0</v>
      </c>
      <c r="M15" s="15" t="s">
        <v>26</v>
      </c>
      <c r="N15" s="16" t="s">
        <v>27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5.75" customHeight="1" thickBot="1" x14ac:dyDescent="0.3">
      <c r="A16" s="9"/>
      <c r="B16" s="17"/>
      <c r="C16" s="20"/>
      <c r="D16" s="20"/>
      <c r="E16" s="20"/>
      <c r="F16" s="20"/>
      <c r="G16" s="20"/>
      <c r="H16" s="85">
        <f t="shared" si="1"/>
        <v>0</v>
      </c>
      <c r="I16" s="22"/>
      <c r="J16" s="12">
        <f t="shared" si="2"/>
        <v>0</v>
      </c>
      <c r="K16" s="12">
        <v>0</v>
      </c>
      <c r="L16" s="13">
        <f t="shared" si="0"/>
        <v>0</v>
      </c>
      <c r="M16" s="15" t="s">
        <v>26</v>
      </c>
      <c r="N16" s="16" t="s">
        <v>27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.75" customHeight="1" thickBot="1" x14ac:dyDescent="0.3">
      <c r="B17" s="37" t="s">
        <v>42</v>
      </c>
      <c r="C17" s="38">
        <f t="shared" ref="C17:E17" si="3">SUM(C3:C16)</f>
        <v>0</v>
      </c>
      <c r="D17" s="38">
        <f t="shared" si="3"/>
        <v>0</v>
      </c>
      <c r="E17" s="38">
        <f t="shared" si="3"/>
        <v>0</v>
      </c>
      <c r="F17" s="38">
        <f>SUM(F3:F16)</f>
        <v>0</v>
      </c>
      <c r="G17" s="38">
        <f>SUM(G3:G16)</f>
        <v>0</v>
      </c>
      <c r="H17" s="86">
        <f>SUM(C17:G17)</f>
        <v>0</v>
      </c>
      <c r="I17" s="38"/>
      <c r="J17" s="38"/>
      <c r="K17" s="40">
        <f>SUM(K3:K16)</f>
        <v>0</v>
      </c>
      <c r="L17" s="41"/>
      <c r="M17" s="42" t="s">
        <v>26</v>
      </c>
      <c r="N17" s="16" t="s">
        <v>27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.75" customHeight="1" x14ac:dyDescent="0.25">
      <c r="A18" s="8"/>
      <c r="B18" s="45" t="s">
        <v>49</v>
      </c>
      <c r="C18" s="47"/>
      <c r="D18" s="47"/>
      <c r="E18" s="47"/>
      <c r="F18" s="47"/>
      <c r="G18" s="47"/>
      <c r="H18" s="51"/>
      <c r="I18" s="51"/>
      <c r="J18" s="51"/>
      <c r="K18" s="47"/>
      <c r="L18" s="47"/>
      <c r="M18" s="47"/>
      <c r="N18" s="47"/>
      <c r="O18" s="4"/>
      <c r="P18" s="4"/>
      <c r="U18" s="4"/>
      <c r="V18" s="4"/>
      <c r="W18" s="4"/>
      <c r="X18" s="4"/>
      <c r="Y18" s="4"/>
    </row>
    <row r="19" spans="1:25" ht="15.75" customHeight="1" x14ac:dyDescent="0.25">
      <c r="A19" s="1" t="s">
        <v>0</v>
      </c>
      <c r="B19" s="3" t="s">
        <v>1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10</v>
      </c>
      <c r="I19" s="1" t="s">
        <v>11</v>
      </c>
      <c r="J19" s="1" t="s">
        <v>12</v>
      </c>
      <c r="K19" s="1" t="s">
        <v>13</v>
      </c>
      <c r="L19" s="1" t="s">
        <v>14</v>
      </c>
      <c r="M19" s="1" t="s">
        <v>15</v>
      </c>
      <c r="N19" s="1" t="s">
        <v>16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 x14ac:dyDescent="0.25">
      <c r="A20" s="9"/>
      <c r="B20" s="17"/>
      <c r="C20" s="11"/>
      <c r="D20" s="11"/>
      <c r="E20" s="11"/>
      <c r="F20" s="11"/>
      <c r="G20" s="11"/>
      <c r="H20" s="12">
        <f t="shared" ref="H20:H29" si="4">SUM(C20:G20)</f>
        <v>0</v>
      </c>
      <c r="I20" s="12"/>
      <c r="J20" s="12">
        <f t="shared" ref="J20:J29" si="5">H20-I20</f>
        <v>0</v>
      </c>
      <c r="K20" s="12">
        <v>0</v>
      </c>
      <c r="L20" s="13">
        <f t="shared" ref="L20:L30" si="6">H20-K20</f>
        <v>0</v>
      </c>
      <c r="M20" s="15" t="s">
        <v>26</v>
      </c>
      <c r="N20" s="16" t="s">
        <v>27</v>
      </c>
      <c r="O20" s="4"/>
      <c r="P20" s="4"/>
      <c r="U20" s="4"/>
      <c r="V20" s="4"/>
      <c r="W20" s="4"/>
      <c r="X20" s="4"/>
      <c r="Y20" s="4"/>
    </row>
    <row r="21" spans="1:25" ht="15.75" customHeight="1" x14ac:dyDescent="0.25">
      <c r="A21" s="31"/>
      <c r="B21" s="48"/>
      <c r="C21" s="20"/>
      <c r="D21" s="20"/>
      <c r="E21" s="20"/>
      <c r="F21" s="11"/>
      <c r="G21" s="11"/>
      <c r="H21" s="12">
        <f t="shared" si="4"/>
        <v>0</v>
      </c>
      <c r="I21" s="12"/>
      <c r="J21" s="22">
        <f t="shared" si="5"/>
        <v>0</v>
      </c>
      <c r="K21" s="22">
        <v>0</v>
      </c>
      <c r="L21" s="56">
        <f t="shared" si="6"/>
        <v>0</v>
      </c>
      <c r="M21" s="57" t="s">
        <v>26</v>
      </c>
      <c r="N21" s="16" t="s">
        <v>27</v>
      </c>
      <c r="O21" s="4"/>
      <c r="P21" s="4"/>
      <c r="U21" s="4"/>
      <c r="V21" s="4"/>
      <c r="W21" s="4"/>
      <c r="X21" s="4"/>
      <c r="Y21" s="4"/>
    </row>
    <row r="22" spans="1:25" ht="15.75" customHeight="1" x14ac:dyDescent="0.25">
      <c r="A22" s="9"/>
      <c r="B22" s="16"/>
      <c r="C22" s="20"/>
      <c r="D22" s="20"/>
      <c r="E22" s="20"/>
      <c r="F22" s="11"/>
      <c r="G22" s="11"/>
      <c r="H22" s="12">
        <f t="shared" si="4"/>
        <v>0</v>
      </c>
      <c r="I22" s="12"/>
      <c r="J22" s="22">
        <f t="shared" si="5"/>
        <v>0</v>
      </c>
      <c r="K22" s="22">
        <v>0</v>
      </c>
      <c r="L22" s="56">
        <f t="shared" si="6"/>
        <v>0</v>
      </c>
      <c r="M22" s="57" t="s">
        <v>26</v>
      </c>
      <c r="N22" s="16" t="s">
        <v>27</v>
      </c>
      <c r="O22" s="4"/>
      <c r="P22" s="4"/>
      <c r="U22" s="4"/>
      <c r="V22" s="4"/>
      <c r="W22" s="4"/>
      <c r="X22" s="4"/>
      <c r="Y22" s="4"/>
    </row>
    <row r="23" spans="1:25" ht="15.75" customHeight="1" x14ac:dyDescent="0.25">
      <c r="A23" s="9"/>
      <c r="B23" s="16"/>
      <c r="C23" s="20"/>
      <c r="D23" s="20"/>
      <c r="E23" s="20"/>
      <c r="F23" s="11"/>
      <c r="G23" s="11"/>
      <c r="H23" s="12">
        <f t="shared" si="4"/>
        <v>0</v>
      </c>
      <c r="I23" s="12"/>
      <c r="J23" s="22">
        <f t="shared" si="5"/>
        <v>0</v>
      </c>
      <c r="K23" s="22">
        <v>0</v>
      </c>
      <c r="L23" s="56">
        <f t="shared" si="6"/>
        <v>0</v>
      </c>
      <c r="M23" s="57" t="s">
        <v>26</v>
      </c>
      <c r="N23" s="16" t="s">
        <v>27</v>
      </c>
      <c r="O23" s="4"/>
      <c r="P23" s="4"/>
      <c r="U23" s="4"/>
      <c r="V23" s="4"/>
      <c r="W23" s="4"/>
      <c r="X23" s="4"/>
      <c r="Y23" s="4"/>
    </row>
    <row r="24" spans="1:25" ht="15.75" customHeight="1" x14ac:dyDescent="0.25">
      <c r="A24" s="31"/>
      <c r="B24" s="32"/>
      <c r="C24" s="20"/>
      <c r="D24" s="20"/>
      <c r="E24" s="20"/>
      <c r="F24" s="11"/>
      <c r="G24" s="11"/>
      <c r="H24" s="12">
        <f t="shared" si="4"/>
        <v>0</v>
      </c>
      <c r="I24" s="12"/>
      <c r="J24" s="22">
        <f t="shared" si="5"/>
        <v>0</v>
      </c>
      <c r="K24" s="22">
        <v>0</v>
      </c>
      <c r="L24" s="56">
        <f t="shared" si="6"/>
        <v>0</v>
      </c>
      <c r="M24" s="57" t="s">
        <v>26</v>
      </c>
      <c r="N24" s="16" t="s">
        <v>27</v>
      </c>
      <c r="O24" s="4"/>
      <c r="P24" s="4"/>
      <c r="U24" s="4"/>
      <c r="V24" s="4"/>
      <c r="W24" s="4"/>
      <c r="X24" s="4"/>
      <c r="Y24" s="4"/>
    </row>
    <row r="25" spans="1:25" ht="15.75" customHeight="1" x14ac:dyDescent="0.25">
      <c r="A25" s="31"/>
      <c r="B25" s="32"/>
      <c r="C25" s="11"/>
      <c r="D25" s="11"/>
      <c r="E25" s="11"/>
      <c r="F25" s="11"/>
      <c r="G25" s="11"/>
      <c r="H25" s="12">
        <f t="shared" si="4"/>
        <v>0</v>
      </c>
      <c r="I25" s="12"/>
      <c r="J25" s="22">
        <f t="shared" si="5"/>
        <v>0</v>
      </c>
      <c r="K25" s="12">
        <v>0</v>
      </c>
      <c r="L25" s="13">
        <f t="shared" si="6"/>
        <v>0</v>
      </c>
      <c r="M25" s="15" t="s">
        <v>26</v>
      </c>
      <c r="N25" s="16" t="s">
        <v>27</v>
      </c>
      <c r="O25" s="4"/>
      <c r="P25" s="4"/>
      <c r="U25" s="4"/>
      <c r="V25" s="4"/>
      <c r="W25" s="4"/>
      <c r="X25" s="4"/>
      <c r="Y25" s="4"/>
    </row>
    <row r="26" spans="1:25" ht="15.75" customHeight="1" x14ac:dyDescent="0.25">
      <c r="A26" s="9"/>
      <c r="B26" s="10"/>
      <c r="C26" s="11"/>
      <c r="D26" s="11"/>
      <c r="E26" s="11"/>
      <c r="F26" s="11"/>
      <c r="G26" s="11"/>
      <c r="H26" s="12">
        <f t="shared" si="4"/>
        <v>0</v>
      </c>
      <c r="I26" s="12"/>
      <c r="J26" s="22">
        <f t="shared" si="5"/>
        <v>0</v>
      </c>
      <c r="K26" s="12">
        <v>0</v>
      </c>
      <c r="L26" s="13">
        <f t="shared" si="6"/>
        <v>0</v>
      </c>
      <c r="M26" s="15" t="s">
        <v>26</v>
      </c>
      <c r="N26" s="16" t="s">
        <v>27</v>
      </c>
      <c r="O26" s="4"/>
      <c r="P26" s="4"/>
      <c r="U26" s="4"/>
      <c r="V26" s="4"/>
      <c r="W26" s="4"/>
      <c r="X26" s="4"/>
      <c r="Y26" s="4"/>
    </row>
    <row r="27" spans="1:25" ht="15.75" customHeight="1" x14ac:dyDescent="0.25">
      <c r="A27" s="31"/>
      <c r="B27" s="32"/>
      <c r="C27" s="11"/>
      <c r="D27" s="11"/>
      <c r="E27" s="11"/>
      <c r="F27" s="11"/>
      <c r="G27" s="11"/>
      <c r="H27" s="12">
        <f t="shared" si="4"/>
        <v>0</v>
      </c>
      <c r="I27" s="12"/>
      <c r="J27" s="22">
        <f t="shared" si="5"/>
        <v>0</v>
      </c>
      <c r="K27" s="12">
        <v>0</v>
      </c>
      <c r="L27" s="13">
        <f t="shared" si="6"/>
        <v>0</v>
      </c>
      <c r="M27" s="15" t="s">
        <v>26</v>
      </c>
      <c r="N27" s="16" t="s">
        <v>27</v>
      </c>
      <c r="O27" s="4"/>
      <c r="P27" s="4"/>
      <c r="U27" s="4"/>
      <c r="V27" s="4"/>
      <c r="W27" s="4"/>
      <c r="X27" s="4"/>
      <c r="Y27" s="4"/>
    </row>
    <row r="28" spans="1:25" ht="15.75" customHeight="1" x14ac:dyDescent="0.25">
      <c r="A28" s="31"/>
      <c r="B28" s="32"/>
      <c r="C28" s="11"/>
      <c r="D28" s="11"/>
      <c r="E28" s="11"/>
      <c r="F28" s="11"/>
      <c r="G28" s="11"/>
      <c r="H28" s="12">
        <f t="shared" si="4"/>
        <v>0</v>
      </c>
      <c r="I28" s="12"/>
      <c r="J28" s="22">
        <f t="shared" si="5"/>
        <v>0</v>
      </c>
      <c r="K28" s="12">
        <v>0</v>
      </c>
      <c r="L28" s="13">
        <f t="shared" si="6"/>
        <v>0</v>
      </c>
      <c r="M28" s="15" t="s">
        <v>26</v>
      </c>
      <c r="N28" s="16" t="s">
        <v>27</v>
      </c>
      <c r="O28" s="4"/>
      <c r="P28" s="4"/>
      <c r="U28" s="4"/>
      <c r="V28" s="4"/>
      <c r="W28" s="4"/>
      <c r="X28" s="4"/>
      <c r="Y28" s="4"/>
    </row>
    <row r="29" spans="1:25" ht="15.75" customHeight="1" x14ac:dyDescent="0.25">
      <c r="A29" s="31"/>
      <c r="B29" s="32"/>
      <c r="C29" s="11"/>
      <c r="D29" s="11"/>
      <c r="E29" s="11"/>
      <c r="F29" s="11"/>
      <c r="G29" s="11"/>
      <c r="H29" s="12">
        <f t="shared" si="4"/>
        <v>0</v>
      </c>
      <c r="I29" s="12"/>
      <c r="J29" s="22">
        <f t="shared" si="5"/>
        <v>0</v>
      </c>
      <c r="K29" s="12">
        <v>0</v>
      </c>
      <c r="L29" s="13">
        <f t="shared" si="6"/>
        <v>0</v>
      </c>
      <c r="M29" s="15" t="s">
        <v>26</v>
      </c>
      <c r="N29" s="16" t="s">
        <v>27</v>
      </c>
      <c r="O29" s="4"/>
      <c r="P29" s="4"/>
      <c r="U29" s="4"/>
      <c r="V29" s="4"/>
      <c r="W29" s="4"/>
      <c r="X29" s="4"/>
      <c r="Y29" s="4"/>
    </row>
    <row r="30" spans="1:25" ht="15.75" customHeight="1" x14ac:dyDescent="0.25">
      <c r="A30" s="31"/>
      <c r="B30" s="58" t="s">
        <v>42</v>
      </c>
      <c r="C30" s="59">
        <f t="shared" ref="C30:G30" si="7">SUM(C20:C23)</f>
        <v>0</v>
      </c>
      <c r="D30" s="59">
        <f t="shared" si="7"/>
        <v>0</v>
      </c>
      <c r="E30" s="59">
        <f t="shared" si="7"/>
        <v>0</v>
      </c>
      <c r="F30" s="59">
        <f t="shared" si="7"/>
        <v>0</v>
      </c>
      <c r="G30" s="59">
        <f t="shared" si="7"/>
        <v>0</v>
      </c>
      <c r="H30" s="59">
        <f>SUM(H20:H29)</f>
        <v>0</v>
      </c>
      <c r="I30" s="59">
        <f>SUM(I20:I23)</f>
        <v>0</v>
      </c>
      <c r="J30" s="59">
        <f>SUM(J20:J29)</f>
        <v>0</v>
      </c>
      <c r="K30" s="60">
        <f>SUM(K20)</f>
        <v>0</v>
      </c>
      <c r="L30" s="61">
        <f t="shared" si="6"/>
        <v>0</v>
      </c>
      <c r="M30" s="62" t="s">
        <v>26</v>
      </c>
      <c r="N30" s="16" t="s">
        <v>27</v>
      </c>
      <c r="O30" s="4"/>
      <c r="P30" s="4"/>
      <c r="U30" s="4"/>
      <c r="V30" s="4"/>
      <c r="W30" s="4"/>
      <c r="X30" s="4"/>
      <c r="Y30" s="4"/>
    </row>
    <row r="31" spans="1:25" ht="15.75" customHeight="1" x14ac:dyDescent="0.25">
      <c r="A31" s="8"/>
      <c r="B31" s="45" t="s">
        <v>46</v>
      </c>
      <c r="C31" s="47"/>
      <c r="D31" s="47"/>
      <c r="E31" s="47"/>
      <c r="F31" s="47"/>
      <c r="G31" s="47"/>
      <c r="H31" s="51"/>
      <c r="I31" s="51"/>
      <c r="J31" s="51"/>
      <c r="K31" s="47"/>
      <c r="L31" s="87"/>
      <c r="M31" s="47"/>
      <c r="N31" s="47"/>
      <c r="O31" s="4"/>
      <c r="P31" s="4"/>
      <c r="U31" s="4"/>
      <c r="V31" s="4"/>
      <c r="W31" s="4"/>
      <c r="X31" s="4"/>
      <c r="Y31" s="4"/>
    </row>
    <row r="32" spans="1:25" ht="15.75" customHeight="1" x14ac:dyDescent="0.25">
      <c r="A32" s="1" t="s">
        <v>0</v>
      </c>
      <c r="B32" s="3" t="s">
        <v>1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10</v>
      </c>
      <c r="I32" s="1" t="s">
        <v>11</v>
      </c>
      <c r="J32" s="1" t="s">
        <v>12</v>
      </c>
      <c r="K32" s="1" t="s">
        <v>13</v>
      </c>
      <c r="L32" s="1" t="s">
        <v>14</v>
      </c>
      <c r="M32" s="1" t="s">
        <v>15</v>
      </c>
      <c r="N32" s="1" t="s">
        <v>16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 x14ac:dyDescent="0.25">
      <c r="A33" s="31"/>
      <c r="B33" s="33"/>
      <c r="C33" s="11"/>
      <c r="D33" s="11"/>
      <c r="E33" s="11"/>
      <c r="F33" s="11"/>
      <c r="G33" s="11"/>
      <c r="H33" s="12">
        <f>SUM(C33:G33)</f>
        <v>0</v>
      </c>
      <c r="I33" s="12"/>
      <c r="J33" s="12">
        <f t="shared" ref="J33:J36" si="8">H33-I33</f>
        <v>0</v>
      </c>
      <c r="K33" s="12">
        <v>0</v>
      </c>
      <c r="L33" s="13">
        <f t="shared" ref="L33:L36" si="9">H33-K33</f>
        <v>0</v>
      </c>
      <c r="M33" s="15" t="s">
        <v>26</v>
      </c>
      <c r="N33" s="16" t="s">
        <v>27</v>
      </c>
      <c r="O33" s="4"/>
      <c r="P33" s="4"/>
      <c r="U33" s="4"/>
      <c r="V33" s="4"/>
      <c r="W33" s="4"/>
      <c r="X33" s="4"/>
      <c r="Y33" s="4"/>
    </row>
    <row r="34" spans="1:25" ht="15.75" customHeight="1" x14ac:dyDescent="0.25">
      <c r="A34" s="31"/>
      <c r="B34" s="32"/>
      <c r="C34" s="11"/>
      <c r="D34" s="11"/>
      <c r="E34" s="11"/>
      <c r="F34" s="11"/>
      <c r="G34" s="11"/>
      <c r="H34" s="12">
        <f>SUM(C34:G34)</f>
        <v>0</v>
      </c>
      <c r="I34" s="12"/>
      <c r="J34" s="12">
        <f t="shared" si="8"/>
        <v>0</v>
      </c>
      <c r="K34" s="12">
        <v>0</v>
      </c>
      <c r="L34" s="13">
        <f t="shared" si="9"/>
        <v>0</v>
      </c>
      <c r="M34" s="15" t="s">
        <v>26</v>
      </c>
      <c r="N34" s="16" t="s">
        <v>27</v>
      </c>
      <c r="O34" s="4"/>
      <c r="P34" s="4"/>
      <c r="U34" s="4"/>
      <c r="V34" s="4"/>
      <c r="W34" s="4"/>
      <c r="X34" s="4"/>
      <c r="Y34" s="4"/>
    </row>
    <row r="35" spans="1:25" ht="15.75" customHeight="1" x14ac:dyDescent="0.25">
      <c r="A35" s="31"/>
      <c r="B35" s="32"/>
      <c r="C35" s="11"/>
      <c r="D35" s="11"/>
      <c r="E35" s="11"/>
      <c r="F35" s="11"/>
      <c r="G35" s="11"/>
      <c r="H35" s="12">
        <f>SUM(C35:G35)</f>
        <v>0</v>
      </c>
      <c r="I35" s="12"/>
      <c r="J35" s="12">
        <f t="shared" si="8"/>
        <v>0</v>
      </c>
      <c r="K35" s="12">
        <v>0</v>
      </c>
      <c r="L35" s="13">
        <f t="shared" si="9"/>
        <v>0</v>
      </c>
      <c r="M35" s="15" t="s">
        <v>26</v>
      </c>
      <c r="N35" s="16" t="s">
        <v>27</v>
      </c>
      <c r="O35" s="4"/>
      <c r="P35" s="4"/>
      <c r="U35" s="4"/>
      <c r="V35" s="4"/>
      <c r="W35" s="4"/>
      <c r="X35" s="4"/>
      <c r="Y35" s="4"/>
    </row>
    <row r="36" spans="1:25" ht="15.75" customHeight="1" x14ac:dyDescent="0.25">
      <c r="A36" s="31"/>
      <c r="B36" s="48"/>
      <c r="C36" s="11"/>
      <c r="D36" s="11"/>
      <c r="E36" s="11"/>
      <c r="F36" s="11"/>
      <c r="G36" s="11"/>
      <c r="H36" s="12">
        <f>SUM(C36:G36)</f>
        <v>0</v>
      </c>
      <c r="I36" s="12"/>
      <c r="J36" s="12">
        <f t="shared" si="8"/>
        <v>0</v>
      </c>
      <c r="K36" s="12">
        <v>0</v>
      </c>
      <c r="L36" s="13">
        <f t="shared" si="9"/>
        <v>0</v>
      </c>
      <c r="M36" s="15" t="s">
        <v>26</v>
      </c>
      <c r="N36" s="16" t="s">
        <v>27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 x14ac:dyDescent="0.25">
      <c r="A37" s="8"/>
      <c r="B37" s="43" t="s">
        <v>48</v>
      </c>
      <c r="C37" s="8"/>
      <c r="D37" s="8"/>
      <c r="E37" s="8"/>
      <c r="F37" s="8"/>
      <c r="G37" s="8"/>
      <c r="H37" s="1"/>
      <c r="I37" s="1"/>
      <c r="J37" s="1"/>
      <c r="K37" s="8"/>
      <c r="L37" s="88"/>
      <c r="M37" s="44"/>
      <c r="N37" s="4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7.25" customHeight="1" x14ac:dyDescent="0.25">
      <c r="A38" s="46"/>
      <c r="B38" s="48"/>
      <c r="C38" s="11"/>
      <c r="D38" s="11"/>
      <c r="E38" s="11"/>
      <c r="F38" s="11"/>
      <c r="G38" s="11"/>
      <c r="H38" s="12">
        <f>SUM(C38:G38)</f>
        <v>0</v>
      </c>
      <c r="I38" s="12"/>
      <c r="J38" s="12">
        <f t="shared" ref="J38:J41" si="10">H38-I38</f>
        <v>0</v>
      </c>
      <c r="K38" s="11">
        <v>0</v>
      </c>
      <c r="L38" s="13">
        <f t="shared" ref="L38:L41" si="11">H38-K38</f>
        <v>0</v>
      </c>
      <c r="M38" s="15" t="s">
        <v>26</v>
      </c>
      <c r="N38" s="16" t="s">
        <v>27</v>
      </c>
      <c r="O38" s="4"/>
      <c r="P38" s="4"/>
      <c r="Q38" s="4"/>
      <c r="R38" s="4"/>
      <c r="S38" s="4"/>
      <c r="T38" s="4"/>
      <c r="U38" s="67" t="s">
        <v>50</v>
      </c>
      <c r="V38" s="4"/>
      <c r="W38" s="4"/>
      <c r="X38" s="4"/>
      <c r="Y38" s="4"/>
    </row>
    <row r="39" spans="1:25" ht="17.25" customHeight="1" x14ac:dyDescent="0.25">
      <c r="A39" s="46"/>
      <c r="B39" s="48"/>
      <c r="C39" s="11"/>
      <c r="D39" s="11"/>
      <c r="E39" s="11"/>
      <c r="F39" s="11"/>
      <c r="G39" s="11"/>
      <c r="H39" s="12">
        <f>SUM(C39:G39)</f>
        <v>0</v>
      </c>
      <c r="I39" s="12"/>
      <c r="J39" s="12">
        <f t="shared" si="10"/>
        <v>0</v>
      </c>
      <c r="K39" s="11">
        <v>0</v>
      </c>
      <c r="L39" s="13">
        <f t="shared" si="11"/>
        <v>0</v>
      </c>
      <c r="M39" s="15" t="s">
        <v>26</v>
      </c>
      <c r="N39" s="16" t="s">
        <v>27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7.25" customHeight="1" x14ac:dyDescent="0.25">
      <c r="A40" s="46"/>
      <c r="B40" s="48"/>
      <c r="C40" s="11"/>
      <c r="D40" s="11"/>
      <c r="E40" s="11"/>
      <c r="F40" s="11"/>
      <c r="G40" s="11"/>
      <c r="H40" s="12">
        <f>SUM(C40:G40)</f>
        <v>0</v>
      </c>
      <c r="I40" s="12"/>
      <c r="J40" s="12">
        <f t="shared" si="10"/>
        <v>0</v>
      </c>
      <c r="K40" s="11">
        <v>0</v>
      </c>
      <c r="L40" s="13">
        <f t="shared" si="11"/>
        <v>0</v>
      </c>
      <c r="M40" s="15" t="s">
        <v>26</v>
      </c>
      <c r="N40" s="16" t="s">
        <v>27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7.25" customHeight="1" x14ac:dyDescent="0.25">
      <c r="A41" s="46"/>
      <c r="B41" s="69"/>
      <c r="C41" s="20"/>
      <c r="D41" s="20"/>
      <c r="E41" s="20"/>
      <c r="F41" s="20"/>
      <c r="G41" s="20"/>
      <c r="H41" s="12">
        <f>SUM(C41:G41)</f>
        <v>0</v>
      </c>
      <c r="I41" s="22"/>
      <c r="J41" s="22">
        <f t="shared" si="10"/>
        <v>0</v>
      </c>
      <c r="K41" s="20">
        <v>0</v>
      </c>
      <c r="L41" s="56">
        <f t="shared" si="11"/>
        <v>0</v>
      </c>
      <c r="M41" s="57" t="s">
        <v>26</v>
      </c>
      <c r="N41" s="16" t="s">
        <v>27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 x14ac:dyDescent="0.25">
      <c r="A42" s="70"/>
      <c r="B42" s="37" t="s">
        <v>42</v>
      </c>
      <c r="C42" s="38">
        <f t="shared" ref="C42:K42" si="12">+SUM(C17,C30)</f>
        <v>0</v>
      </c>
      <c r="D42" s="38">
        <f t="shared" si="12"/>
        <v>0</v>
      </c>
      <c r="E42" s="38">
        <f t="shared" si="12"/>
        <v>0</v>
      </c>
      <c r="F42" s="38">
        <f t="shared" si="12"/>
        <v>0</v>
      </c>
      <c r="G42" s="38">
        <f t="shared" si="12"/>
        <v>0</v>
      </c>
      <c r="H42" s="38">
        <f t="shared" si="12"/>
        <v>0</v>
      </c>
      <c r="I42" s="38">
        <f t="shared" si="12"/>
        <v>0</v>
      </c>
      <c r="J42" s="38">
        <f t="shared" si="12"/>
        <v>0</v>
      </c>
      <c r="K42" s="40">
        <f t="shared" si="12"/>
        <v>0</v>
      </c>
      <c r="L42" s="71">
        <v>0</v>
      </c>
      <c r="M42" s="72"/>
      <c r="N42" s="73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 x14ac:dyDescent="0.25">
      <c r="A43" s="15"/>
      <c r="B43" s="74" t="s">
        <v>13</v>
      </c>
      <c r="C43" s="75">
        <v>0</v>
      </c>
      <c r="D43" s="75">
        <v>0</v>
      </c>
      <c r="E43" s="76">
        <v>0</v>
      </c>
      <c r="F43" s="75">
        <v>0</v>
      </c>
      <c r="G43" s="75">
        <v>0</v>
      </c>
      <c r="H43" s="75">
        <v>0</v>
      </c>
      <c r="I43" s="54"/>
      <c r="J43" s="54"/>
      <c r="K43" s="54"/>
      <c r="L43" s="55"/>
      <c r="M43" s="55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 x14ac:dyDescent="0.25">
      <c r="A44" s="54"/>
      <c r="B44" s="53" t="s">
        <v>14</v>
      </c>
      <c r="C44" s="15">
        <f t="shared" ref="C44:G44" si="13">C42-C43</f>
        <v>0</v>
      </c>
      <c r="D44" s="15">
        <f t="shared" si="13"/>
        <v>0</v>
      </c>
      <c r="E44" s="15">
        <f t="shared" si="13"/>
        <v>0</v>
      </c>
      <c r="F44" s="15">
        <f t="shared" si="13"/>
        <v>0</v>
      </c>
      <c r="G44" s="15">
        <f t="shared" si="13"/>
        <v>0</v>
      </c>
      <c r="H44" s="15">
        <f>H42-H43</f>
        <v>0</v>
      </c>
      <c r="I44" s="54"/>
      <c r="J44" s="54"/>
      <c r="K44" s="4"/>
      <c r="L44" s="54"/>
      <c r="M44" s="5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 x14ac:dyDescent="0.25">
      <c r="F45" s="54"/>
    </row>
    <row r="46" spans="1:25" ht="15.75" customHeight="1" x14ac:dyDescent="0.25">
      <c r="F46" s="54"/>
      <c r="W46" s="4" t="s">
        <v>51</v>
      </c>
    </row>
    <row r="47" spans="1:25" ht="15.75" customHeight="1" x14ac:dyDescent="0.25">
      <c r="F47" s="54"/>
    </row>
    <row r="48" spans="1:25" ht="15.75" customHeight="1" x14ac:dyDescent="0.25">
      <c r="F48" s="54"/>
    </row>
    <row r="49" spans="6:6" ht="15.75" customHeight="1" x14ac:dyDescent="0.25">
      <c r="F49" s="54"/>
    </row>
    <row r="50" spans="6:6" ht="15.75" customHeight="1" x14ac:dyDescent="0.25">
      <c r="F50" s="54"/>
    </row>
    <row r="51" spans="6:6" ht="15.75" customHeight="1" x14ac:dyDescent="0.25">
      <c r="F51" s="54"/>
    </row>
    <row r="52" spans="6:6" ht="15.75" customHeight="1" x14ac:dyDescent="0.25">
      <c r="F52" s="54"/>
    </row>
    <row r="53" spans="6:6" ht="15.75" customHeight="1" x14ac:dyDescent="0.25">
      <c r="F53" s="54"/>
    </row>
    <row r="54" spans="6:6" ht="15.75" customHeight="1" x14ac:dyDescent="0.25">
      <c r="F54" s="54"/>
    </row>
    <row r="55" spans="6:6" ht="15.75" customHeight="1" x14ac:dyDescent="0.25">
      <c r="F55" s="54"/>
    </row>
    <row r="56" spans="6:6" ht="15.75" customHeight="1" x14ac:dyDescent="0.25">
      <c r="F56" s="54"/>
    </row>
    <row r="57" spans="6:6" ht="15.75" customHeight="1" x14ac:dyDescent="0.25">
      <c r="F57" s="54"/>
    </row>
    <row r="58" spans="6:6" ht="15.75" customHeight="1" x14ac:dyDescent="0.25">
      <c r="F58" s="54"/>
    </row>
    <row r="59" spans="6:6" ht="15.75" customHeight="1" x14ac:dyDescent="0.25">
      <c r="F59" s="54"/>
    </row>
    <row r="60" spans="6:6" ht="15.75" customHeight="1" x14ac:dyDescent="0.25">
      <c r="F60" s="54"/>
    </row>
    <row r="61" spans="6:6" ht="15.75" customHeight="1" x14ac:dyDescent="0.25">
      <c r="F61" s="54"/>
    </row>
    <row r="62" spans="6:6" ht="15.75" customHeight="1" x14ac:dyDescent="0.25">
      <c r="F62" s="54"/>
    </row>
    <row r="63" spans="6:6" ht="15.75" customHeight="1" x14ac:dyDescent="0.25">
      <c r="F63" s="54"/>
    </row>
    <row r="64" spans="6:6" ht="15.75" customHeight="1" x14ac:dyDescent="0.25">
      <c r="F64" s="54"/>
    </row>
    <row r="65" spans="6:6" ht="15.75" customHeight="1" x14ac:dyDescent="0.25">
      <c r="F65" s="54"/>
    </row>
    <row r="66" spans="6:6" ht="15.75" customHeight="1" x14ac:dyDescent="0.25">
      <c r="F66" s="54"/>
    </row>
    <row r="67" spans="6:6" ht="15.75" customHeight="1" x14ac:dyDescent="0.25">
      <c r="F67" s="54"/>
    </row>
    <row r="68" spans="6:6" ht="15.75" customHeight="1" x14ac:dyDescent="0.25">
      <c r="F68" s="54"/>
    </row>
    <row r="69" spans="6:6" ht="15.75" customHeight="1" x14ac:dyDescent="0.25">
      <c r="F69" s="54"/>
    </row>
    <row r="70" spans="6:6" ht="15.75" customHeight="1" x14ac:dyDescent="0.25">
      <c r="F70" s="54"/>
    </row>
    <row r="71" spans="6:6" ht="15.75" customHeight="1" x14ac:dyDescent="0.25">
      <c r="F71" s="54"/>
    </row>
    <row r="72" spans="6:6" ht="15.75" customHeight="1" x14ac:dyDescent="0.25">
      <c r="F72" s="54"/>
    </row>
    <row r="73" spans="6:6" ht="15.75" customHeight="1" x14ac:dyDescent="0.25">
      <c r="F73" s="54"/>
    </row>
    <row r="74" spans="6:6" ht="15.75" customHeight="1" x14ac:dyDescent="0.25">
      <c r="F74" s="54"/>
    </row>
    <row r="75" spans="6:6" ht="15.75" customHeight="1" x14ac:dyDescent="0.25">
      <c r="F75" s="54"/>
    </row>
    <row r="76" spans="6:6" ht="15.75" customHeight="1" x14ac:dyDescent="0.25">
      <c r="F76" s="54"/>
    </row>
    <row r="77" spans="6:6" ht="15.75" customHeight="1" x14ac:dyDescent="0.25">
      <c r="F77" s="54"/>
    </row>
    <row r="78" spans="6:6" ht="15.75" customHeight="1" x14ac:dyDescent="0.25">
      <c r="F78" s="54"/>
    </row>
    <row r="79" spans="6:6" ht="15.75" customHeight="1" x14ac:dyDescent="0.25">
      <c r="F79" s="54"/>
    </row>
    <row r="80" spans="6:6" ht="15.75" customHeight="1" x14ac:dyDescent="0.25">
      <c r="F80" s="54"/>
    </row>
    <row r="81" spans="6:6" ht="15.75" customHeight="1" x14ac:dyDescent="0.25">
      <c r="F81" s="54"/>
    </row>
    <row r="82" spans="6:6" ht="15.75" customHeight="1" x14ac:dyDescent="0.25">
      <c r="F82" s="54"/>
    </row>
    <row r="83" spans="6:6" ht="15.75" customHeight="1" x14ac:dyDescent="0.25">
      <c r="F83" s="54"/>
    </row>
    <row r="84" spans="6:6" ht="15.75" customHeight="1" x14ac:dyDescent="0.25">
      <c r="F84" s="54"/>
    </row>
    <row r="85" spans="6:6" ht="15.75" customHeight="1" x14ac:dyDescent="0.25">
      <c r="F85" s="54"/>
    </row>
    <row r="86" spans="6:6" ht="15.75" customHeight="1" x14ac:dyDescent="0.25">
      <c r="F86" s="54"/>
    </row>
    <row r="87" spans="6:6" ht="15.75" customHeight="1" x14ac:dyDescent="0.25">
      <c r="F87" s="54"/>
    </row>
    <row r="88" spans="6:6" ht="15.75" customHeight="1" x14ac:dyDescent="0.25">
      <c r="F88" s="54"/>
    </row>
    <row r="89" spans="6:6" ht="15.75" customHeight="1" x14ac:dyDescent="0.25">
      <c r="F89" s="54"/>
    </row>
    <row r="90" spans="6:6" ht="15.75" customHeight="1" x14ac:dyDescent="0.25">
      <c r="F90" s="54"/>
    </row>
    <row r="91" spans="6:6" ht="15.75" customHeight="1" x14ac:dyDescent="0.25">
      <c r="F91" s="54"/>
    </row>
    <row r="92" spans="6:6" ht="15.75" customHeight="1" x14ac:dyDescent="0.25">
      <c r="F92" s="54"/>
    </row>
    <row r="93" spans="6:6" ht="15.75" customHeight="1" x14ac:dyDescent="0.25">
      <c r="F93" s="54"/>
    </row>
    <row r="94" spans="6:6" ht="15.75" customHeight="1" x14ac:dyDescent="0.25">
      <c r="F94" s="54"/>
    </row>
    <row r="95" spans="6:6" ht="15.75" customHeight="1" x14ac:dyDescent="0.25">
      <c r="F95" s="54"/>
    </row>
    <row r="96" spans="6:6" ht="15.75" customHeight="1" x14ac:dyDescent="0.25">
      <c r="F96" s="54"/>
    </row>
    <row r="97" spans="6:6" ht="15.75" customHeight="1" x14ac:dyDescent="0.25">
      <c r="F97" s="54"/>
    </row>
    <row r="98" spans="6:6" ht="15.75" customHeight="1" x14ac:dyDescent="0.25">
      <c r="F98" s="54"/>
    </row>
    <row r="99" spans="6:6" ht="15.75" customHeight="1" x14ac:dyDescent="0.25">
      <c r="F99" s="54"/>
    </row>
    <row r="100" spans="6:6" ht="15.75" customHeight="1" x14ac:dyDescent="0.25">
      <c r="F100" s="54"/>
    </row>
    <row r="101" spans="6:6" ht="15.75" customHeight="1" x14ac:dyDescent="0.25">
      <c r="F101" s="54"/>
    </row>
    <row r="102" spans="6:6" ht="15.75" customHeight="1" x14ac:dyDescent="0.25">
      <c r="F102" s="54"/>
    </row>
    <row r="103" spans="6:6" ht="15.75" customHeight="1" x14ac:dyDescent="0.25">
      <c r="F103" s="54"/>
    </row>
    <row r="104" spans="6:6" ht="15.75" customHeight="1" x14ac:dyDescent="0.25">
      <c r="F104" s="54"/>
    </row>
    <row r="105" spans="6:6" ht="15.75" customHeight="1" x14ac:dyDescent="0.25">
      <c r="F105" s="54"/>
    </row>
    <row r="106" spans="6:6" ht="15.75" customHeight="1" x14ac:dyDescent="0.25">
      <c r="F106" s="54"/>
    </row>
    <row r="107" spans="6:6" ht="15.75" customHeight="1" x14ac:dyDescent="0.25">
      <c r="F107" s="54"/>
    </row>
    <row r="108" spans="6:6" ht="15.75" customHeight="1" x14ac:dyDescent="0.25">
      <c r="F108" s="54"/>
    </row>
    <row r="109" spans="6:6" ht="15.75" customHeight="1" x14ac:dyDescent="0.25">
      <c r="F109" s="54"/>
    </row>
    <row r="110" spans="6:6" ht="15.75" customHeight="1" x14ac:dyDescent="0.25">
      <c r="F110" s="54"/>
    </row>
    <row r="111" spans="6:6" ht="15.75" customHeight="1" x14ac:dyDescent="0.25">
      <c r="F111" s="54"/>
    </row>
    <row r="112" spans="6:6" ht="15.75" customHeight="1" x14ac:dyDescent="0.25">
      <c r="F112" s="54"/>
    </row>
    <row r="113" spans="6:6" ht="15.75" customHeight="1" x14ac:dyDescent="0.25">
      <c r="F113" s="54"/>
    </row>
    <row r="114" spans="6:6" ht="15.75" customHeight="1" x14ac:dyDescent="0.25">
      <c r="F114" s="54"/>
    </row>
    <row r="115" spans="6:6" ht="15.75" customHeight="1" x14ac:dyDescent="0.25">
      <c r="F115" s="54"/>
    </row>
    <row r="116" spans="6:6" ht="15.75" customHeight="1" x14ac:dyDescent="0.25">
      <c r="F116" s="54"/>
    </row>
    <row r="117" spans="6:6" ht="15.75" customHeight="1" x14ac:dyDescent="0.25">
      <c r="F117" s="54"/>
    </row>
    <row r="118" spans="6:6" ht="15.75" customHeight="1" x14ac:dyDescent="0.25">
      <c r="F118" s="54"/>
    </row>
    <row r="119" spans="6:6" ht="15.75" customHeight="1" x14ac:dyDescent="0.25">
      <c r="F119" s="54"/>
    </row>
    <row r="120" spans="6:6" ht="15.75" customHeight="1" x14ac:dyDescent="0.25">
      <c r="F120" s="54"/>
    </row>
    <row r="121" spans="6:6" ht="15.75" customHeight="1" x14ac:dyDescent="0.25">
      <c r="F121" s="54"/>
    </row>
    <row r="122" spans="6:6" ht="15.75" customHeight="1" x14ac:dyDescent="0.25">
      <c r="F122" s="54"/>
    </row>
    <row r="123" spans="6:6" ht="15.75" customHeight="1" x14ac:dyDescent="0.25">
      <c r="F123" s="54"/>
    </row>
    <row r="124" spans="6:6" ht="15.75" customHeight="1" x14ac:dyDescent="0.25">
      <c r="F124" s="54"/>
    </row>
    <row r="125" spans="6:6" ht="15.75" customHeight="1" x14ac:dyDescent="0.25">
      <c r="F125" s="54"/>
    </row>
    <row r="126" spans="6:6" ht="15.75" customHeight="1" x14ac:dyDescent="0.25">
      <c r="F126" s="54"/>
    </row>
    <row r="127" spans="6:6" ht="15.75" customHeight="1" x14ac:dyDescent="0.25">
      <c r="F127" s="54"/>
    </row>
    <row r="128" spans="6:6" ht="15.75" customHeight="1" x14ac:dyDescent="0.25">
      <c r="F128" s="54"/>
    </row>
    <row r="129" spans="6:6" ht="15.75" customHeight="1" x14ac:dyDescent="0.25">
      <c r="F129" s="54"/>
    </row>
    <row r="130" spans="6:6" ht="15.75" customHeight="1" x14ac:dyDescent="0.25">
      <c r="F130" s="54"/>
    </row>
    <row r="131" spans="6:6" ht="15.75" customHeight="1" x14ac:dyDescent="0.25">
      <c r="F131" s="54"/>
    </row>
    <row r="132" spans="6:6" ht="15.75" customHeight="1" x14ac:dyDescent="0.25">
      <c r="F132" s="54"/>
    </row>
    <row r="133" spans="6:6" ht="15.75" customHeight="1" x14ac:dyDescent="0.25">
      <c r="F133" s="54"/>
    </row>
    <row r="134" spans="6:6" ht="15.75" customHeight="1" x14ac:dyDescent="0.25">
      <c r="F134" s="54"/>
    </row>
    <row r="135" spans="6:6" ht="15.75" customHeight="1" x14ac:dyDescent="0.25">
      <c r="F135" s="54"/>
    </row>
    <row r="136" spans="6:6" ht="15.75" customHeight="1" x14ac:dyDescent="0.25">
      <c r="F136" s="54"/>
    </row>
    <row r="137" spans="6:6" ht="15.75" customHeight="1" x14ac:dyDescent="0.25">
      <c r="F137" s="54"/>
    </row>
    <row r="138" spans="6:6" ht="15.75" customHeight="1" x14ac:dyDescent="0.25">
      <c r="F138" s="54"/>
    </row>
    <row r="139" spans="6:6" ht="15.75" customHeight="1" x14ac:dyDescent="0.25">
      <c r="F139" s="54"/>
    </row>
    <row r="140" spans="6:6" ht="15.75" customHeight="1" x14ac:dyDescent="0.25">
      <c r="F140" s="54"/>
    </row>
    <row r="141" spans="6:6" ht="15.75" customHeight="1" x14ac:dyDescent="0.25">
      <c r="F141" s="54"/>
    </row>
    <row r="142" spans="6:6" ht="15.75" customHeight="1" x14ac:dyDescent="0.25">
      <c r="F142" s="54"/>
    </row>
    <row r="143" spans="6:6" ht="15.75" customHeight="1" x14ac:dyDescent="0.25">
      <c r="F143" s="54"/>
    </row>
    <row r="144" spans="6:6" ht="15.75" customHeight="1" x14ac:dyDescent="0.25">
      <c r="F144" s="54"/>
    </row>
    <row r="145" spans="6:6" ht="15.75" customHeight="1" x14ac:dyDescent="0.25">
      <c r="F145" s="54"/>
    </row>
    <row r="146" spans="6:6" ht="15.75" customHeight="1" x14ac:dyDescent="0.25">
      <c r="F146" s="54"/>
    </row>
    <row r="147" spans="6:6" ht="15.75" customHeight="1" x14ac:dyDescent="0.25">
      <c r="F147" s="54"/>
    </row>
    <row r="148" spans="6:6" ht="15.75" customHeight="1" x14ac:dyDescent="0.25">
      <c r="F148" s="54"/>
    </row>
    <row r="149" spans="6:6" ht="15.75" customHeight="1" x14ac:dyDescent="0.25">
      <c r="F149" s="54"/>
    </row>
    <row r="150" spans="6:6" ht="15.75" customHeight="1" x14ac:dyDescent="0.25">
      <c r="F150" s="54"/>
    </row>
    <row r="151" spans="6:6" ht="15.75" customHeight="1" x14ac:dyDescent="0.25">
      <c r="F151" s="54"/>
    </row>
    <row r="152" spans="6:6" ht="15.75" customHeight="1" x14ac:dyDescent="0.25">
      <c r="F152" s="54"/>
    </row>
    <row r="153" spans="6:6" ht="15.75" customHeight="1" x14ac:dyDescent="0.25">
      <c r="F153" s="54"/>
    </row>
    <row r="154" spans="6:6" ht="15.75" customHeight="1" x14ac:dyDescent="0.25">
      <c r="F154" s="54"/>
    </row>
    <row r="155" spans="6:6" ht="15.75" customHeight="1" x14ac:dyDescent="0.25">
      <c r="F155" s="54"/>
    </row>
    <row r="156" spans="6:6" ht="15.75" customHeight="1" x14ac:dyDescent="0.25">
      <c r="F156" s="54"/>
    </row>
    <row r="157" spans="6:6" ht="15.75" customHeight="1" x14ac:dyDescent="0.25">
      <c r="F157" s="54"/>
    </row>
    <row r="158" spans="6:6" ht="15.75" customHeight="1" x14ac:dyDescent="0.25">
      <c r="F158" s="54"/>
    </row>
    <row r="159" spans="6:6" ht="15.75" customHeight="1" x14ac:dyDescent="0.25">
      <c r="F159" s="54"/>
    </row>
    <row r="160" spans="6:6" ht="15.75" customHeight="1" x14ac:dyDescent="0.25">
      <c r="F160" s="54"/>
    </row>
    <row r="161" spans="6:6" ht="15.75" customHeight="1" x14ac:dyDescent="0.25">
      <c r="F161" s="54"/>
    </row>
    <row r="162" spans="6:6" ht="15.75" customHeight="1" x14ac:dyDescent="0.25">
      <c r="F162" s="54"/>
    </row>
    <row r="163" spans="6:6" ht="15.75" customHeight="1" x14ac:dyDescent="0.25">
      <c r="F163" s="54"/>
    </row>
    <row r="164" spans="6:6" ht="15.75" customHeight="1" x14ac:dyDescent="0.25">
      <c r="F164" s="54"/>
    </row>
    <row r="165" spans="6:6" ht="15.75" customHeight="1" x14ac:dyDescent="0.25">
      <c r="F165" s="54"/>
    </row>
    <row r="166" spans="6:6" ht="15.75" customHeight="1" x14ac:dyDescent="0.25">
      <c r="F166" s="54"/>
    </row>
    <row r="167" spans="6:6" ht="15.75" customHeight="1" x14ac:dyDescent="0.25">
      <c r="F167" s="54"/>
    </row>
    <row r="168" spans="6:6" ht="15.75" customHeight="1" x14ac:dyDescent="0.25">
      <c r="F168" s="54"/>
    </row>
    <row r="169" spans="6:6" ht="15.75" customHeight="1" x14ac:dyDescent="0.25">
      <c r="F169" s="54"/>
    </row>
    <row r="170" spans="6:6" ht="15.75" customHeight="1" x14ac:dyDescent="0.25">
      <c r="F170" s="54"/>
    </row>
    <row r="171" spans="6:6" ht="15.75" customHeight="1" x14ac:dyDescent="0.25">
      <c r="F171" s="54"/>
    </row>
    <row r="172" spans="6:6" ht="15.75" customHeight="1" x14ac:dyDescent="0.25">
      <c r="F172" s="54"/>
    </row>
    <row r="173" spans="6:6" ht="15.75" customHeight="1" x14ac:dyDescent="0.25">
      <c r="F173" s="54"/>
    </row>
    <row r="174" spans="6:6" ht="15.75" customHeight="1" x14ac:dyDescent="0.25">
      <c r="F174" s="54"/>
    </row>
    <row r="175" spans="6:6" ht="15.75" customHeight="1" x14ac:dyDescent="0.25">
      <c r="F175" s="54"/>
    </row>
    <row r="176" spans="6:6" ht="15.75" customHeight="1" x14ac:dyDescent="0.25">
      <c r="F176" s="54"/>
    </row>
    <row r="177" spans="6:6" ht="15.75" customHeight="1" x14ac:dyDescent="0.25">
      <c r="F177" s="54"/>
    </row>
    <row r="178" spans="6:6" ht="15.75" customHeight="1" x14ac:dyDescent="0.25">
      <c r="F178" s="54"/>
    </row>
    <row r="179" spans="6:6" ht="15.75" customHeight="1" x14ac:dyDescent="0.25">
      <c r="F179" s="54"/>
    </row>
    <row r="180" spans="6:6" ht="15.75" customHeight="1" x14ac:dyDescent="0.25">
      <c r="F180" s="54"/>
    </row>
    <row r="181" spans="6:6" ht="15.75" customHeight="1" x14ac:dyDescent="0.25">
      <c r="F181" s="54"/>
    </row>
    <row r="182" spans="6:6" ht="15.75" customHeight="1" x14ac:dyDescent="0.25">
      <c r="F182" s="54"/>
    </row>
    <row r="183" spans="6:6" ht="15.75" customHeight="1" x14ac:dyDescent="0.25">
      <c r="F183" s="54"/>
    </row>
    <row r="184" spans="6:6" ht="15.75" customHeight="1" x14ac:dyDescent="0.25">
      <c r="F184" s="54"/>
    </row>
    <row r="185" spans="6:6" ht="15.75" customHeight="1" x14ac:dyDescent="0.25">
      <c r="F185" s="54"/>
    </row>
    <row r="186" spans="6:6" ht="15.75" customHeight="1" x14ac:dyDescent="0.25">
      <c r="F186" s="54"/>
    </row>
    <row r="187" spans="6:6" ht="15.75" customHeight="1" x14ac:dyDescent="0.25">
      <c r="F187" s="54"/>
    </row>
    <row r="188" spans="6:6" ht="15.75" customHeight="1" x14ac:dyDescent="0.25">
      <c r="F188" s="54"/>
    </row>
    <row r="189" spans="6:6" ht="15.75" customHeight="1" x14ac:dyDescent="0.25">
      <c r="F189" s="54"/>
    </row>
    <row r="190" spans="6:6" ht="15.75" customHeight="1" x14ac:dyDescent="0.25">
      <c r="F190" s="54"/>
    </row>
    <row r="191" spans="6:6" ht="15.75" customHeight="1" x14ac:dyDescent="0.25">
      <c r="F191" s="54"/>
    </row>
    <row r="192" spans="6:6" ht="15.75" customHeight="1" x14ac:dyDescent="0.25">
      <c r="F192" s="54"/>
    </row>
    <row r="193" spans="6:6" ht="15.75" customHeight="1" x14ac:dyDescent="0.25">
      <c r="F193" s="54"/>
    </row>
    <row r="194" spans="6:6" ht="15.75" customHeight="1" x14ac:dyDescent="0.25">
      <c r="F194" s="54"/>
    </row>
    <row r="195" spans="6:6" ht="15.75" customHeight="1" x14ac:dyDescent="0.25">
      <c r="F195" s="54"/>
    </row>
    <row r="196" spans="6:6" ht="15.75" customHeight="1" x14ac:dyDescent="0.25">
      <c r="F196" s="54"/>
    </row>
    <row r="197" spans="6:6" ht="15.75" customHeight="1" x14ac:dyDescent="0.25">
      <c r="F197" s="54"/>
    </row>
    <row r="198" spans="6:6" ht="15.75" customHeight="1" x14ac:dyDescent="0.25">
      <c r="F198" s="54"/>
    </row>
    <row r="199" spans="6:6" ht="15.75" customHeight="1" x14ac:dyDescent="0.25">
      <c r="F199" s="54"/>
    </row>
    <row r="200" spans="6:6" ht="15.75" customHeight="1" x14ac:dyDescent="0.25">
      <c r="F200" s="54"/>
    </row>
    <row r="201" spans="6:6" ht="15.75" customHeight="1" x14ac:dyDescent="0.25">
      <c r="F201" s="54"/>
    </row>
    <row r="202" spans="6:6" ht="15.75" customHeight="1" x14ac:dyDescent="0.25">
      <c r="F202" s="54"/>
    </row>
    <row r="203" spans="6:6" ht="15.75" customHeight="1" x14ac:dyDescent="0.25">
      <c r="F203" s="54"/>
    </row>
    <row r="204" spans="6:6" ht="15.75" customHeight="1" x14ac:dyDescent="0.25">
      <c r="F204" s="54"/>
    </row>
    <row r="205" spans="6:6" ht="15.75" customHeight="1" x14ac:dyDescent="0.25">
      <c r="F205" s="54"/>
    </row>
    <row r="206" spans="6:6" ht="15.75" customHeight="1" x14ac:dyDescent="0.25">
      <c r="F206" s="54"/>
    </row>
    <row r="207" spans="6:6" ht="15.75" customHeight="1" x14ac:dyDescent="0.25">
      <c r="F207" s="54"/>
    </row>
    <row r="208" spans="6:6" ht="15.75" customHeight="1" x14ac:dyDescent="0.25">
      <c r="F208" s="54"/>
    </row>
    <row r="209" spans="6:6" ht="15.75" customHeight="1" x14ac:dyDescent="0.25">
      <c r="F209" s="54"/>
    </row>
    <row r="210" spans="6:6" ht="15.75" customHeight="1" x14ac:dyDescent="0.25">
      <c r="F210" s="54"/>
    </row>
    <row r="211" spans="6:6" ht="15.75" customHeight="1" x14ac:dyDescent="0.25">
      <c r="F211" s="54"/>
    </row>
    <row r="212" spans="6:6" ht="15.75" customHeight="1" x14ac:dyDescent="0.25">
      <c r="F212" s="54"/>
    </row>
    <row r="213" spans="6:6" ht="15.75" customHeight="1" x14ac:dyDescent="0.25">
      <c r="F213" s="54"/>
    </row>
    <row r="214" spans="6:6" ht="15.75" customHeight="1" x14ac:dyDescent="0.25">
      <c r="F214" s="54"/>
    </row>
    <row r="215" spans="6:6" ht="15.75" customHeight="1" x14ac:dyDescent="0.25">
      <c r="F215" s="54"/>
    </row>
    <row r="216" spans="6:6" ht="15.75" customHeight="1" x14ac:dyDescent="0.25">
      <c r="F216" s="54"/>
    </row>
    <row r="217" spans="6:6" ht="15.75" customHeight="1" x14ac:dyDescent="0.25">
      <c r="F217" s="54"/>
    </row>
    <row r="218" spans="6:6" ht="15.75" customHeight="1" x14ac:dyDescent="0.25">
      <c r="F218" s="54"/>
    </row>
    <row r="219" spans="6:6" ht="15.75" customHeight="1" x14ac:dyDescent="0.25">
      <c r="F219" s="54"/>
    </row>
    <row r="220" spans="6:6" ht="15.75" customHeight="1" x14ac:dyDescent="0.25">
      <c r="F220" s="54"/>
    </row>
    <row r="221" spans="6:6" ht="15.75" customHeight="1" x14ac:dyDescent="0.25">
      <c r="F221" s="54"/>
    </row>
    <row r="222" spans="6:6" ht="15.75" customHeight="1" x14ac:dyDescent="0.25">
      <c r="F222" s="54"/>
    </row>
    <row r="223" spans="6:6" ht="15.75" customHeight="1" x14ac:dyDescent="0.25">
      <c r="F223" s="54"/>
    </row>
    <row r="224" spans="6:6" ht="15.75" customHeight="1" x14ac:dyDescent="0.25">
      <c r="F224" s="54"/>
    </row>
    <row r="225" spans="6:6" ht="15.75" customHeight="1" x14ac:dyDescent="0.25">
      <c r="F225" s="54"/>
    </row>
    <row r="226" spans="6:6" ht="15.75" customHeight="1" x14ac:dyDescent="0.25">
      <c r="F226" s="54"/>
    </row>
    <row r="227" spans="6:6" ht="15.75" customHeight="1" x14ac:dyDescent="0.25">
      <c r="F227" s="54"/>
    </row>
    <row r="228" spans="6:6" ht="15.75" customHeight="1" x14ac:dyDescent="0.25">
      <c r="F228" s="54"/>
    </row>
    <row r="229" spans="6:6" ht="15.75" customHeight="1" x14ac:dyDescent="0.25">
      <c r="F229" s="54"/>
    </row>
    <row r="230" spans="6:6" ht="15.75" customHeight="1" x14ac:dyDescent="0.25">
      <c r="F230" s="54"/>
    </row>
    <row r="231" spans="6:6" ht="15.75" customHeight="1" x14ac:dyDescent="0.25">
      <c r="F231" s="54"/>
    </row>
    <row r="232" spans="6:6" ht="15.75" customHeight="1" x14ac:dyDescent="0.25">
      <c r="F232" s="54"/>
    </row>
    <row r="233" spans="6:6" ht="15.75" customHeight="1" x14ac:dyDescent="0.25">
      <c r="F233" s="54"/>
    </row>
    <row r="234" spans="6:6" ht="15.75" customHeight="1" x14ac:dyDescent="0.25">
      <c r="F234" s="54"/>
    </row>
    <row r="235" spans="6:6" ht="15.75" customHeight="1" x14ac:dyDescent="0.25">
      <c r="F235" s="54"/>
    </row>
    <row r="236" spans="6:6" ht="15.75" customHeight="1" x14ac:dyDescent="0.25">
      <c r="F236" s="54"/>
    </row>
    <row r="237" spans="6:6" ht="15.75" customHeight="1" x14ac:dyDescent="0.25">
      <c r="F237" s="54"/>
    </row>
    <row r="238" spans="6:6" ht="15.75" customHeight="1" x14ac:dyDescent="0.25">
      <c r="F238" s="54"/>
    </row>
    <row r="239" spans="6:6" ht="15.75" customHeight="1" x14ac:dyDescent="0.25">
      <c r="F239" s="54"/>
    </row>
    <row r="240" spans="6:6" ht="15.75" customHeight="1" x14ac:dyDescent="0.25">
      <c r="F240" s="54"/>
    </row>
    <row r="241" spans="6:6" ht="15.75" customHeight="1" x14ac:dyDescent="0.25">
      <c r="F241" s="54"/>
    </row>
    <row r="242" spans="6:6" ht="15.75" customHeight="1" x14ac:dyDescent="0.25">
      <c r="F242" s="54"/>
    </row>
    <row r="243" spans="6:6" ht="15.75" customHeight="1" x14ac:dyDescent="0.25">
      <c r="F243" s="54"/>
    </row>
    <row r="244" spans="6:6" ht="15.75" customHeight="1" x14ac:dyDescent="0.25">
      <c r="F244" s="54"/>
    </row>
    <row r="245" spans="6:6" ht="15.75" customHeight="1" x14ac:dyDescent="0.25">
      <c r="F245" s="54"/>
    </row>
    <row r="246" spans="6:6" ht="15.75" customHeight="1" x14ac:dyDescent="0.25">
      <c r="F246" s="54"/>
    </row>
    <row r="247" spans="6:6" ht="15.75" customHeight="1" x14ac:dyDescent="0.25">
      <c r="F247" s="54"/>
    </row>
    <row r="248" spans="6:6" ht="15.75" customHeight="1" x14ac:dyDescent="0.25">
      <c r="F248" s="54"/>
    </row>
    <row r="249" spans="6:6" ht="15.75" customHeight="1" x14ac:dyDescent="0.25">
      <c r="F249" s="54"/>
    </row>
    <row r="250" spans="6:6" ht="15.75" customHeight="1" x14ac:dyDescent="0.25">
      <c r="F250" s="54"/>
    </row>
    <row r="251" spans="6:6" ht="15.75" customHeight="1" x14ac:dyDescent="0.25">
      <c r="F251" s="54"/>
    </row>
    <row r="252" spans="6:6" ht="15.75" customHeight="1" x14ac:dyDescent="0.25">
      <c r="F252" s="54"/>
    </row>
    <row r="253" spans="6:6" ht="15.75" customHeight="1" x14ac:dyDescent="0.25">
      <c r="F253" s="54"/>
    </row>
    <row r="254" spans="6:6" ht="15.75" customHeight="1" x14ac:dyDescent="0.25">
      <c r="F254" s="54"/>
    </row>
    <row r="255" spans="6:6" ht="15.75" customHeight="1" x14ac:dyDescent="0.25">
      <c r="F255" s="54"/>
    </row>
    <row r="256" spans="6:6" ht="15.75" customHeight="1" x14ac:dyDescent="0.25">
      <c r="F256" s="54"/>
    </row>
    <row r="257" spans="6:6" ht="15.75" customHeight="1" x14ac:dyDescent="0.25">
      <c r="F257" s="54"/>
    </row>
    <row r="258" spans="6:6" ht="15.75" customHeight="1" x14ac:dyDescent="0.25">
      <c r="F258" s="54"/>
    </row>
    <row r="259" spans="6:6" ht="15.75" customHeight="1" x14ac:dyDescent="0.25">
      <c r="F259" s="54"/>
    </row>
    <row r="260" spans="6:6" ht="15.75" customHeight="1" x14ac:dyDescent="0.25">
      <c r="F260" s="54"/>
    </row>
    <row r="261" spans="6:6" ht="15.75" customHeight="1" x14ac:dyDescent="0.25">
      <c r="F261" s="54"/>
    </row>
    <row r="262" spans="6:6" ht="15.75" customHeight="1" x14ac:dyDescent="0.25">
      <c r="F262" s="54"/>
    </row>
    <row r="263" spans="6:6" ht="15.75" customHeight="1" x14ac:dyDescent="0.25">
      <c r="F263" s="54"/>
    </row>
    <row r="264" spans="6:6" ht="15.75" customHeight="1" x14ac:dyDescent="0.25">
      <c r="F264" s="54"/>
    </row>
    <row r="265" spans="6:6" ht="15.75" customHeight="1" x14ac:dyDescent="0.25">
      <c r="F265" s="54"/>
    </row>
    <row r="266" spans="6:6" ht="15.75" customHeight="1" x14ac:dyDescent="0.25">
      <c r="F266" s="54"/>
    </row>
    <row r="267" spans="6:6" ht="15.75" customHeight="1" x14ac:dyDescent="0.25">
      <c r="F267" s="54"/>
    </row>
    <row r="268" spans="6:6" ht="15.75" customHeight="1" x14ac:dyDescent="0.25">
      <c r="F268" s="54"/>
    </row>
    <row r="269" spans="6:6" ht="15.75" customHeight="1" x14ac:dyDescent="0.25">
      <c r="F269" s="54"/>
    </row>
    <row r="270" spans="6:6" ht="15.75" customHeight="1" x14ac:dyDescent="0.25">
      <c r="F270" s="54"/>
    </row>
    <row r="271" spans="6:6" ht="15.75" customHeight="1" x14ac:dyDescent="0.25">
      <c r="F271" s="54"/>
    </row>
    <row r="272" spans="6:6" ht="15.75" customHeight="1" x14ac:dyDescent="0.25">
      <c r="F272" s="54"/>
    </row>
    <row r="273" spans="6:6" ht="15.75" customHeight="1" x14ac:dyDescent="0.25">
      <c r="F273" s="54"/>
    </row>
    <row r="274" spans="6:6" ht="15.75" customHeight="1" x14ac:dyDescent="0.25">
      <c r="F274" s="54"/>
    </row>
    <row r="275" spans="6:6" ht="15.75" customHeight="1" x14ac:dyDescent="0.25">
      <c r="F275" s="54"/>
    </row>
    <row r="276" spans="6:6" ht="15.75" customHeight="1" x14ac:dyDescent="0.25">
      <c r="F276" s="54"/>
    </row>
    <row r="277" spans="6:6" ht="15.75" customHeight="1" x14ac:dyDescent="0.25">
      <c r="F277" s="54"/>
    </row>
    <row r="278" spans="6:6" ht="15.75" customHeight="1" x14ac:dyDescent="0.25">
      <c r="F278" s="54"/>
    </row>
    <row r="279" spans="6:6" ht="15.75" customHeight="1" x14ac:dyDescent="0.25">
      <c r="F279" s="54"/>
    </row>
    <row r="280" spans="6:6" ht="15.75" customHeight="1" x14ac:dyDescent="0.25">
      <c r="F280" s="54"/>
    </row>
    <row r="281" spans="6:6" ht="15.75" customHeight="1" x14ac:dyDescent="0.25">
      <c r="F281" s="54"/>
    </row>
    <row r="282" spans="6:6" ht="15.75" customHeight="1" x14ac:dyDescent="0.25">
      <c r="F282" s="54"/>
    </row>
    <row r="283" spans="6:6" ht="15.75" customHeight="1" x14ac:dyDescent="0.25">
      <c r="F283" s="54"/>
    </row>
    <row r="284" spans="6:6" ht="15.75" customHeight="1" x14ac:dyDescent="0.25">
      <c r="F284" s="54"/>
    </row>
    <row r="285" spans="6:6" ht="15.75" customHeight="1" x14ac:dyDescent="0.25">
      <c r="F285" s="54"/>
    </row>
    <row r="286" spans="6:6" ht="15.75" customHeight="1" x14ac:dyDescent="0.25">
      <c r="F286" s="54"/>
    </row>
    <row r="287" spans="6:6" ht="15.75" customHeight="1" x14ac:dyDescent="0.25">
      <c r="F287" s="54"/>
    </row>
    <row r="288" spans="6:6" ht="15.75" customHeight="1" x14ac:dyDescent="0.25">
      <c r="F288" s="54"/>
    </row>
    <row r="289" spans="6:6" ht="15.75" customHeight="1" x14ac:dyDescent="0.25">
      <c r="F289" s="54"/>
    </row>
    <row r="290" spans="6:6" ht="15.75" customHeight="1" x14ac:dyDescent="0.25">
      <c r="F290" s="54"/>
    </row>
    <row r="291" spans="6:6" ht="15.75" customHeight="1" x14ac:dyDescent="0.25">
      <c r="F291" s="54"/>
    </row>
    <row r="292" spans="6:6" ht="15.75" customHeight="1" x14ac:dyDescent="0.25">
      <c r="F292" s="54"/>
    </row>
    <row r="293" spans="6:6" ht="15.75" customHeight="1" x14ac:dyDescent="0.25">
      <c r="F293" s="54"/>
    </row>
    <row r="294" spans="6:6" ht="15.75" customHeight="1" x14ac:dyDescent="0.25">
      <c r="F294" s="54"/>
    </row>
    <row r="295" spans="6:6" ht="15.75" customHeight="1" x14ac:dyDescent="0.25">
      <c r="F295" s="54"/>
    </row>
    <row r="296" spans="6:6" ht="15.75" customHeight="1" x14ac:dyDescent="0.25">
      <c r="F296" s="54"/>
    </row>
    <row r="297" spans="6:6" ht="15.75" customHeight="1" x14ac:dyDescent="0.25">
      <c r="F297" s="54"/>
    </row>
    <row r="298" spans="6:6" ht="15.75" customHeight="1" x14ac:dyDescent="0.25">
      <c r="F298" s="54"/>
    </row>
    <row r="299" spans="6:6" ht="15.75" customHeight="1" x14ac:dyDescent="0.25">
      <c r="F299" s="54"/>
    </row>
    <row r="300" spans="6:6" ht="15.75" customHeight="1" x14ac:dyDescent="0.25">
      <c r="F300" s="54"/>
    </row>
    <row r="301" spans="6:6" ht="15.75" customHeight="1" x14ac:dyDescent="0.25">
      <c r="F301" s="54"/>
    </row>
    <row r="302" spans="6:6" ht="15.75" customHeight="1" x14ac:dyDescent="0.25">
      <c r="F302" s="54"/>
    </row>
    <row r="303" spans="6:6" ht="15.75" customHeight="1" x14ac:dyDescent="0.25">
      <c r="F303" s="54"/>
    </row>
    <row r="304" spans="6:6" ht="15.75" customHeight="1" x14ac:dyDescent="0.25">
      <c r="F304" s="54"/>
    </row>
    <row r="305" spans="6:6" ht="15.75" customHeight="1" x14ac:dyDescent="0.25">
      <c r="F305" s="54"/>
    </row>
    <row r="306" spans="6:6" ht="15.75" customHeight="1" x14ac:dyDescent="0.25">
      <c r="F306" s="54"/>
    </row>
    <row r="307" spans="6:6" ht="15.75" customHeight="1" x14ac:dyDescent="0.25">
      <c r="F307" s="54"/>
    </row>
    <row r="308" spans="6:6" ht="15.75" customHeight="1" x14ac:dyDescent="0.25">
      <c r="F308" s="54"/>
    </row>
    <row r="309" spans="6:6" ht="15.75" customHeight="1" x14ac:dyDescent="0.25">
      <c r="F309" s="54"/>
    </row>
    <row r="310" spans="6:6" ht="15.75" customHeight="1" x14ac:dyDescent="0.25">
      <c r="F310" s="54"/>
    </row>
    <row r="311" spans="6:6" ht="15.75" customHeight="1" x14ac:dyDescent="0.25">
      <c r="F311" s="54"/>
    </row>
    <row r="312" spans="6:6" ht="15.75" customHeight="1" x14ac:dyDescent="0.25">
      <c r="F312" s="54"/>
    </row>
    <row r="313" spans="6:6" ht="15.75" customHeight="1" x14ac:dyDescent="0.25">
      <c r="F313" s="54"/>
    </row>
    <row r="314" spans="6:6" ht="15.75" customHeight="1" x14ac:dyDescent="0.25">
      <c r="F314" s="54"/>
    </row>
    <row r="315" spans="6:6" ht="15.75" customHeight="1" x14ac:dyDescent="0.25">
      <c r="F315" s="54"/>
    </row>
    <row r="316" spans="6:6" ht="15.75" customHeight="1" x14ac:dyDescent="0.25">
      <c r="F316" s="54"/>
    </row>
    <row r="317" spans="6:6" ht="15.75" customHeight="1" x14ac:dyDescent="0.25">
      <c r="F317" s="54"/>
    </row>
    <row r="318" spans="6:6" ht="15.75" customHeight="1" x14ac:dyDescent="0.25">
      <c r="F318" s="54"/>
    </row>
    <row r="319" spans="6:6" ht="15.75" customHeight="1" x14ac:dyDescent="0.25">
      <c r="F319" s="54"/>
    </row>
    <row r="320" spans="6:6" ht="15.75" customHeight="1" x14ac:dyDescent="0.25">
      <c r="F320" s="54"/>
    </row>
    <row r="321" spans="6:6" ht="15.75" customHeight="1" x14ac:dyDescent="0.25">
      <c r="F321" s="54"/>
    </row>
    <row r="322" spans="6:6" ht="15.75" customHeight="1" x14ac:dyDescent="0.25">
      <c r="F322" s="54"/>
    </row>
    <row r="323" spans="6:6" ht="15.75" customHeight="1" x14ac:dyDescent="0.25">
      <c r="F323" s="54"/>
    </row>
    <row r="324" spans="6:6" ht="15.75" customHeight="1" x14ac:dyDescent="0.25">
      <c r="F324" s="54"/>
    </row>
    <row r="325" spans="6:6" ht="15.75" customHeight="1" x14ac:dyDescent="0.25">
      <c r="F325" s="54"/>
    </row>
    <row r="326" spans="6:6" ht="15.75" customHeight="1" x14ac:dyDescent="0.25">
      <c r="F326" s="54"/>
    </row>
    <row r="327" spans="6:6" ht="15.75" customHeight="1" x14ac:dyDescent="0.25">
      <c r="F327" s="54"/>
    </row>
    <row r="328" spans="6:6" ht="15.75" customHeight="1" x14ac:dyDescent="0.25">
      <c r="F328" s="54"/>
    </row>
    <row r="329" spans="6:6" ht="15.75" customHeight="1" x14ac:dyDescent="0.25">
      <c r="F329" s="54"/>
    </row>
    <row r="330" spans="6:6" ht="15.75" customHeight="1" x14ac:dyDescent="0.25">
      <c r="F330" s="54"/>
    </row>
    <row r="331" spans="6:6" ht="15.75" customHeight="1" x14ac:dyDescent="0.25">
      <c r="F331" s="54"/>
    </row>
    <row r="332" spans="6:6" ht="15.75" customHeight="1" x14ac:dyDescent="0.25">
      <c r="F332" s="54"/>
    </row>
    <row r="333" spans="6:6" ht="15.75" customHeight="1" x14ac:dyDescent="0.25">
      <c r="F333" s="54"/>
    </row>
    <row r="334" spans="6:6" ht="15.75" customHeight="1" x14ac:dyDescent="0.25">
      <c r="F334" s="54"/>
    </row>
    <row r="335" spans="6:6" ht="15.75" customHeight="1" x14ac:dyDescent="0.25">
      <c r="F335" s="54"/>
    </row>
    <row r="336" spans="6:6" ht="15.75" customHeight="1" x14ac:dyDescent="0.25">
      <c r="F336" s="54"/>
    </row>
    <row r="337" spans="6:6" ht="15.75" customHeight="1" x14ac:dyDescent="0.25">
      <c r="F337" s="54"/>
    </row>
    <row r="338" spans="6:6" ht="15.75" customHeight="1" x14ac:dyDescent="0.25">
      <c r="F338" s="54"/>
    </row>
    <row r="339" spans="6:6" ht="15.75" customHeight="1" x14ac:dyDescent="0.25">
      <c r="F339" s="54"/>
    </row>
    <row r="340" spans="6:6" ht="15.75" customHeight="1" x14ac:dyDescent="0.25">
      <c r="F340" s="54"/>
    </row>
    <row r="341" spans="6:6" ht="15.75" customHeight="1" x14ac:dyDescent="0.25">
      <c r="F341" s="54"/>
    </row>
    <row r="342" spans="6:6" ht="15.75" customHeight="1" x14ac:dyDescent="0.25">
      <c r="F342" s="54"/>
    </row>
    <row r="343" spans="6:6" ht="15.75" customHeight="1" x14ac:dyDescent="0.25">
      <c r="F343" s="54"/>
    </row>
    <row r="344" spans="6:6" ht="15.75" customHeight="1" x14ac:dyDescent="0.25">
      <c r="F344" s="54"/>
    </row>
    <row r="345" spans="6:6" ht="15.75" customHeight="1" x14ac:dyDescent="0.25">
      <c r="F345" s="54"/>
    </row>
    <row r="346" spans="6:6" ht="15.75" customHeight="1" x14ac:dyDescent="0.25">
      <c r="F346" s="54"/>
    </row>
    <row r="347" spans="6:6" ht="15.75" customHeight="1" x14ac:dyDescent="0.25">
      <c r="F347" s="54"/>
    </row>
    <row r="348" spans="6:6" ht="15.75" customHeight="1" x14ac:dyDescent="0.25">
      <c r="F348" s="54"/>
    </row>
    <row r="349" spans="6:6" ht="15.75" customHeight="1" x14ac:dyDescent="0.25">
      <c r="F349" s="54"/>
    </row>
    <row r="350" spans="6:6" ht="15.75" customHeight="1" x14ac:dyDescent="0.25">
      <c r="F350" s="54"/>
    </row>
    <row r="351" spans="6:6" ht="15.75" customHeight="1" x14ac:dyDescent="0.25">
      <c r="F351" s="54"/>
    </row>
    <row r="352" spans="6:6" ht="15.75" customHeight="1" x14ac:dyDescent="0.25">
      <c r="F352" s="54"/>
    </row>
    <row r="353" spans="6:6" ht="15.75" customHeight="1" x14ac:dyDescent="0.25">
      <c r="F353" s="54"/>
    </row>
    <row r="354" spans="6:6" ht="15.75" customHeight="1" x14ac:dyDescent="0.25">
      <c r="F354" s="54"/>
    </row>
    <row r="355" spans="6:6" ht="15.75" customHeight="1" x14ac:dyDescent="0.25">
      <c r="F355" s="54"/>
    </row>
    <row r="356" spans="6:6" ht="15.75" customHeight="1" x14ac:dyDescent="0.25">
      <c r="F356" s="54"/>
    </row>
    <row r="357" spans="6:6" ht="15.75" customHeight="1" x14ac:dyDescent="0.25">
      <c r="F357" s="54"/>
    </row>
    <row r="358" spans="6:6" ht="15.75" customHeight="1" x14ac:dyDescent="0.25">
      <c r="F358" s="54"/>
    </row>
    <row r="359" spans="6:6" ht="15.75" customHeight="1" x14ac:dyDescent="0.25">
      <c r="F359" s="54"/>
    </row>
    <row r="360" spans="6:6" ht="15.75" customHeight="1" x14ac:dyDescent="0.25">
      <c r="F360" s="54"/>
    </row>
    <row r="361" spans="6:6" ht="15.75" customHeight="1" x14ac:dyDescent="0.25">
      <c r="F361" s="54"/>
    </row>
    <row r="362" spans="6:6" ht="15.75" customHeight="1" x14ac:dyDescent="0.25">
      <c r="F362" s="54"/>
    </row>
    <row r="363" spans="6:6" ht="15.75" customHeight="1" x14ac:dyDescent="0.25">
      <c r="F363" s="54"/>
    </row>
    <row r="364" spans="6:6" ht="15.75" customHeight="1" x14ac:dyDescent="0.25">
      <c r="F364" s="54"/>
    </row>
    <row r="365" spans="6:6" ht="15.75" customHeight="1" x14ac:dyDescent="0.25">
      <c r="F365" s="54"/>
    </row>
    <row r="366" spans="6:6" ht="15.75" customHeight="1" x14ac:dyDescent="0.25">
      <c r="F366" s="54"/>
    </row>
    <row r="367" spans="6:6" ht="15.75" customHeight="1" x14ac:dyDescent="0.25">
      <c r="F367" s="54"/>
    </row>
    <row r="368" spans="6:6" ht="15.75" customHeight="1" x14ac:dyDescent="0.25">
      <c r="F368" s="54"/>
    </row>
    <row r="369" spans="6:6" ht="15.75" customHeight="1" x14ac:dyDescent="0.25">
      <c r="F369" s="54"/>
    </row>
    <row r="370" spans="6:6" ht="15.75" customHeight="1" x14ac:dyDescent="0.25">
      <c r="F370" s="54"/>
    </row>
    <row r="371" spans="6:6" ht="15.75" customHeight="1" x14ac:dyDescent="0.25">
      <c r="F371" s="54"/>
    </row>
    <row r="372" spans="6:6" ht="15.75" customHeight="1" x14ac:dyDescent="0.25">
      <c r="F372" s="54"/>
    </row>
    <row r="373" spans="6:6" ht="15.75" customHeight="1" x14ac:dyDescent="0.25">
      <c r="F373" s="54"/>
    </row>
    <row r="374" spans="6:6" ht="15.75" customHeight="1" x14ac:dyDescent="0.25">
      <c r="F374" s="54"/>
    </row>
    <row r="375" spans="6:6" ht="15.75" customHeight="1" x14ac:dyDescent="0.25">
      <c r="F375" s="54"/>
    </row>
    <row r="376" spans="6:6" ht="15.75" customHeight="1" x14ac:dyDescent="0.25">
      <c r="F376" s="54"/>
    </row>
    <row r="377" spans="6:6" ht="15.75" customHeight="1" x14ac:dyDescent="0.25">
      <c r="F377" s="54"/>
    </row>
    <row r="378" spans="6:6" ht="15.75" customHeight="1" x14ac:dyDescent="0.25">
      <c r="F378" s="54"/>
    </row>
    <row r="379" spans="6:6" ht="15.75" customHeight="1" x14ac:dyDescent="0.25">
      <c r="F379" s="54"/>
    </row>
    <row r="380" spans="6:6" ht="15.75" customHeight="1" x14ac:dyDescent="0.25">
      <c r="F380" s="54"/>
    </row>
    <row r="381" spans="6:6" ht="15.75" customHeight="1" x14ac:dyDescent="0.25">
      <c r="F381" s="54"/>
    </row>
    <row r="382" spans="6:6" ht="15.75" customHeight="1" x14ac:dyDescent="0.25">
      <c r="F382" s="54"/>
    </row>
    <row r="383" spans="6:6" ht="15.75" customHeight="1" x14ac:dyDescent="0.25">
      <c r="F383" s="54"/>
    </row>
    <row r="384" spans="6:6" ht="15.75" customHeight="1" x14ac:dyDescent="0.25">
      <c r="F384" s="54"/>
    </row>
    <row r="385" spans="6:6" ht="15.75" customHeight="1" x14ac:dyDescent="0.25">
      <c r="F385" s="54"/>
    </row>
    <row r="386" spans="6:6" ht="15.75" customHeight="1" x14ac:dyDescent="0.25">
      <c r="F386" s="54"/>
    </row>
    <row r="387" spans="6:6" ht="15.75" customHeight="1" x14ac:dyDescent="0.25">
      <c r="F387" s="54"/>
    </row>
    <row r="388" spans="6:6" ht="15.75" customHeight="1" x14ac:dyDescent="0.25">
      <c r="F388" s="54"/>
    </row>
    <row r="389" spans="6:6" ht="15.75" customHeight="1" x14ac:dyDescent="0.25">
      <c r="F389" s="54"/>
    </row>
    <row r="390" spans="6:6" ht="15.75" customHeight="1" x14ac:dyDescent="0.25">
      <c r="F390" s="54"/>
    </row>
    <row r="391" spans="6:6" ht="15.75" customHeight="1" x14ac:dyDescent="0.25">
      <c r="F391" s="54"/>
    </row>
    <row r="392" spans="6:6" ht="15.75" customHeight="1" x14ac:dyDescent="0.25">
      <c r="F392" s="54"/>
    </row>
    <row r="393" spans="6:6" ht="15.75" customHeight="1" x14ac:dyDescent="0.25">
      <c r="F393" s="54"/>
    </row>
    <row r="394" spans="6:6" ht="15.75" customHeight="1" x14ac:dyDescent="0.25">
      <c r="F394" s="54"/>
    </row>
    <row r="395" spans="6:6" ht="15.75" customHeight="1" x14ac:dyDescent="0.25">
      <c r="F395" s="54"/>
    </row>
    <row r="396" spans="6:6" ht="15.75" customHeight="1" x14ac:dyDescent="0.25">
      <c r="F396" s="54"/>
    </row>
    <row r="397" spans="6:6" ht="15.75" customHeight="1" x14ac:dyDescent="0.25">
      <c r="F397" s="54"/>
    </row>
    <row r="398" spans="6:6" ht="15.75" customHeight="1" x14ac:dyDescent="0.25">
      <c r="F398" s="54"/>
    </row>
    <row r="399" spans="6:6" ht="15.75" customHeight="1" x14ac:dyDescent="0.25">
      <c r="F399" s="54"/>
    </row>
    <row r="400" spans="6:6" ht="15.75" customHeight="1" x14ac:dyDescent="0.25">
      <c r="F400" s="54"/>
    </row>
    <row r="401" spans="6:6" ht="15.75" customHeight="1" x14ac:dyDescent="0.25">
      <c r="F401" s="54"/>
    </row>
    <row r="402" spans="6:6" ht="15.75" customHeight="1" x14ac:dyDescent="0.25">
      <c r="F402" s="54"/>
    </row>
    <row r="403" spans="6:6" ht="15.75" customHeight="1" x14ac:dyDescent="0.25">
      <c r="F403" s="54"/>
    </row>
    <row r="404" spans="6:6" ht="15.75" customHeight="1" x14ac:dyDescent="0.25">
      <c r="F404" s="54"/>
    </row>
    <row r="405" spans="6:6" ht="15.75" customHeight="1" x14ac:dyDescent="0.25">
      <c r="F405" s="54"/>
    </row>
    <row r="406" spans="6:6" ht="15.75" customHeight="1" x14ac:dyDescent="0.25">
      <c r="F406" s="54"/>
    </row>
    <row r="407" spans="6:6" ht="15.75" customHeight="1" x14ac:dyDescent="0.25">
      <c r="F407" s="54"/>
    </row>
    <row r="408" spans="6:6" ht="15.75" customHeight="1" x14ac:dyDescent="0.25">
      <c r="F408" s="54"/>
    </row>
    <row r="409" spans="6:6" ht="15.75" customHeight="1" x14ac:dyDescent="0.25">
      <c r="F409" s="54"/>
    </row>
    <row r="410" spans="6:6" ht="15.75" customHeight="1" x14ac:dyDescent="0.25">
      <c r="F410" s="54"/>
    </row>
    <row r="411" spans="6:6" ht="15.75" customHeight="1" x14ac:dyDescent="0.25">
      <c r="F411" s="54"/>
    </row>
    <row r="412" spans="6:6" ht="15.75" customHeight="1" x14ac:dyDescent="0.25">
      <c r="F412" s="54"/>
    </row>
    <row r="413" spans="6:6" ht="15.75" customHeight="1" x14ac:dyDescent="0.25">
      <c r="F413" s="54"/>
    </row>
    <row r="414" spans="6:6" ht="15.75" customHeight="1" x14ac:dyDescent="0.25">
      <c r="F414" s="54"/>
    </row>
    <row r="415" spans="6:6" ht="15.75" customHeight="1" x14ac:dyDescent="0.25">
      <c r="F415" s="54"/>
    </row>
    <row r="416" spans="6:6" ht="15.75" customHeight="1" x14ac:dyDescent="0.25">
      <c r="F416" s="54"/>
    </row>
    <row r="417" spans="6:6" ht="15.75" customHeight="1" x14ac:dyDescent="0.25">
      <c r="F417" s="54"/>
    </row>
    <row r="418" spans="6:6" ht="15.75" customHeight="1" x14ac:dyDescent="0.25">
      <c r="F418" s="54"/>
    </row>
    <row r="419" spans="6:6" ht="15.75" customHeight="1" x14ac:dyDescent="0.25">
      <c r="F419" s="54"/>
    </row>
    <row r="420" spans="6:6" ht="15.75" customHeight="1" x14ac:dyDescent="0.25">
      <c r="F420" s="54"/>
    </row>
    <row r="421" spans="6:6" ht="15.75" customHeight="1" x14ac:dyDescent="0.25">
      <c r="F421" s="54"/>
    </row>
    <row r="422" spans="6:6" ht="15.75" customHeight="1" x14ac:dyDescent="0.25">
      <c r="F422" s="54"/>
    </row>
    <row r="423" spans="6:6" ht="15.75" customHeight="1" x14ac:dyDescent="0.25">
      <c r="F423" s="54"/>
    </row>
    <row r="424" spans="6:6" ht="15.75" customHeight="1" x14ac:dyDescent="0.25">
      <c r="F424" s="54"/>
    </row>
    <row r="425" spans="6:6" ht="15.75" customHeight="1" x14ac:dyDescent="0.25">
      <c r="F425" s="54"/>
    </row>
    <row r="426" spans="6:6" ht="15.75" customHeight="1" x14ac:dyDescent="0.25">
      <c r="F426" s="54"/>
    </row>
    <row r="427" spans="6:6" ht="15.75" customHeight="1" x14ac:dyDescent="0.25">
      <c r="F427" s="54"/>
    </row>
    <row r="428" spans="6:6" ht="15.75" customHeight="1" x14ac:dyDescent="0.25">
      <c r="F428" s="54"/>
    </row>
    <row r="429" spans="6:6" ht="15.75" customHeight="1" x14ac:dyDescent="0.25">
      <c r="F429" s="54"/>
    </row>
    <row r="430" spans="6:6" ht="15.75" customHeight="1" x14ac:dyDescent="0.25">
      <c r="F430" s="54"/>
    </row>
    <row r="431" spans="6:6" ht="15.75" customHeight="1" x14ac:dyDescent="0.25">
      <c r="F431" s="54"/>
    </row>
    <row r="432" spans="6:6" ht="15.75" customHeight="1" x14ac:dyDescent="0.25">
      <c r="F432" s="54"/>
    </row>
    <row r="433" spans="6:6" ht="15.75" customHeight="1" x14ac:dyDescent="0.25">
      <c r="F433" s="54"/>
    </row>
    <row r="434" spans="6:6" ht="15.75" customHeight="1" x14ac:dyDescent="0.25">
      <c r="F434" s="54"/>
    </row>
    <row r="435" spans="6:6" ht="15.75" customHeight="1" x14ac:dyDescent="0.25">
      <c r="F435" s="54"/>
    </row>
    <row r="436" spans="6:6" ht="15.75" customHeight="1" x14ac:dyDescent="0.25">
      <c r="F436" s="54"/>
    </row>
    <row r="437" spans="6:6" ht="15.75" customHeight="1" x14ac:dyDescent="0.25">
      <c r="F437" s="54"/>
    </row>
    <row r="438" spans="6:6" ht="15.75" customHeight="1" x14ac:dyDescent="0.25">
      <c r="F438" s="54"/>
    </row>
    <row r="439" spans="6:6" ht="15.75" customHeight="1" x14ac:dyDescent="0.25">
      <c r="F439" s="54"/>
    </row>
    <row r="440" spans="6:6" ht="15.75" customHeight="1" x14ac:dyDescent="0.25">
      <c r="F440" s="54"/>
    </row>
    <row r="441" spans="6:6" ht="15.75" customHeight="1" x14ac:dyDescent="0.25">
      <c r="F441" s="54"/>
    </row>
    <row r="442" spans="6:6" ht="15.75" customHeight="1" x14ac:dyDescent="0.25">
      <c r="F442" s="54"/>
    </row>
    <row r="443" spans="6:6" ht="15.75" customHeight="1" x14ac:dyDescent="0.25">
      <c r="F443" s="54"/>
    </row>
    <row r="444" spans="6:6" ht="15.75" customHeight="1" x14ac:dyDescent="0.25">
      <c r="F444" s="54"/>
    </row>
    <row r="445" spans="6:6" ht="15.75" customHeight="1" x14ac:dyDescent="0.25">
      <c r="F445" s="54"/>
    </row>
    <row r="446" spans="6:6" ht="15.75" customHeight="1" x14ac:dyDescent="0.25">
      <c r="F446" s="54"/>
    </row>
    <row r="447" spans="6:6" ht="15.75" customHeight="1" x14ac:dyDescent="0.25">
      <c r="F447" s="54"/>
    </row>
    <row r="448" spans="6:6" ht="15.75" customHeight="1" x14ac:dyDescent="0.25">
      <c r="F448" s="54"/>
    </row>
    <row r="449" spans="6:6" ht="15.75" customHeight="1" x14ac:dyDescent="0.25">
      <c r="F449" s="54"/>
    </row>
    <row r="450" spans="6:6" ht="15.75" customHeight="1" x14ac:dyDescent="0.25">
      <c r="F450" s="54"/>
    </row>
    <row r="451" spans="6:6" ht="15.75" customHeight="1" x14ac:dyDescent="0.25">
      <c r="F451" s="54"/>
    </row>
    <row r="452" spans="6:6" ht="15.75" customHeight="1" x14ac:dyDescent="0.25">
      <c r="F452" s="54"/>
    </row>
    <row r="453" spans="6:6" ht="15.75" customHeight="1" x14ac:dyDescent="0.25">
      <c r="F453" s="54"/>
    </row>
    <row r="454" spans="6:6" ht="15.75" customHeight="1" x14ac:dyDescent="0.25">
      <c r="F454" s="54"/>
    </row>
    <row r="455" spans="6:6" ht="15.75" customHeight="1" x14ac:dyDescent="0.25">
      <c r="F455" s="54"/>
    </row>
    <row r="456" spans="6:6" ht="15.75" customHeight="1" x14ac:dyDescent="0.25">
      <c r="F456" s="54"/>
    </row>
    <row r="457" spans="6:6" ht="15.75" customHeight="1" x14ac:dyDescent="0.25">
      <c r="F457" s="54"/>
    </row>
    <row r="458" spans="6:6" ht="15.75" customHeight="1" x14ac:dyDescent="0.25">
      <c r="F458" s="54"/>
    </row>
    <row r="459" spans="6:6" ht="15.75" customHeight="1" x14ac:dyDescent="0.25">
      <c r="F459" s="54"/>
    </row>
    <row r="460" spans="6:6" ht="15.75" customHeight="1" x14ac:dyDescent="0.25">
      <c r="F460" s="54"/>
    </row>
    <row r="461" spans="6:6" ht="15.75" customHeight="1" x14ac:dyDescent="0.25">
      <c r="F461" s="54"/>
    </row>
    <row r="462" spans="6:6" ht="15.75" customHeight="1" x14ac:dyDescent="0.25">
      <c r="F462" s="54"/>
    </row>
    <row r="463" spans="6:6" ht="15.75" customHeight="1" x14ac:dyDescent="0.25">
      <c r="F463" s="54"/>
    </row>
    <row r="464" spans="6:6" ht="15.75" customHeight="1" x14ac:dyDescent="0.25">
      <c r="F464" s="54"/>
    </row>
    <row r="465" spans="6:6" ht="15.75" customHeight="1" x14ac:dyDescent="0.25">
      <c r="F465" s="54"/>
    </row>
    <row r="466" spans="6:6" ht="15.75" customHeight="1" x14ac:dyDescent="0.25">
      <c r="F466" s="54"/>
    </row>
    <row r="467" spans="6:6" ht="15.75" customHeight="1" x14ac:dyDescent="0.25">
      <c r="F467" s="54"/>
    </row>
    <row r="468" spans="6:6" ht="15.75" customHeight="1" x14ac:dyDescent="0.25">
      <c r="F468" s="54"/>
    </row>
    <row r="469" spans="6:6" ht="15.75" customHeight="1" x14ac:dyDescent="0.25">
      <c r="F469" s="54"/>
    </row>
    <row r="470" spans="6:6" ht="15.75" customHeight="1" x14ac:dyDescent="0.25">
      <c r="F470" s="54"/>
    </row>
    <row r="471" spans="6:6" ht="15.75" customHeight="1" x14ac:dyDescent="0.25">
      <c r="F471" s="54"/>
    </row>
    <row r="472" spans="6:6" ht="15.75" customHeight="1" x14ac:dyDescent="0.25">
      <c r="F472" s="54"/>
    </row>
    <row r="473" spans="6:6" ht="15.75" customHeight="1" x14ac:dyDescent="0.25">
      <c r="F473" s="54"/>
    </row>
    <row r="474" spans="6:6" ht="15.75" customHeight="1" x14ac:dyDescent="0.25">
      <c r="F474" s="54"/>
    </row>
    <row r="475" spans="6:6" ht="15.75" customHeight="1" x14ac:dyDescent="0.25">
      <c r="F475" s="54"/>
    </row>
    <row r="476" spans="6:6" ht="15.75" customHeight="1" x14ac:dyDescent="0.25">
      <c r="F476" s="54"/>
    </row>
    <row r="477" spans="6:6" ht="15.75" customHeight="1" x14ac:dyDescent="0.25">
      <c r="F477" s="54"/>
    </row>
    <row r="478" spans="6:6" ht="15.75" customHeight="1" x14ac:dyDescent="0.25">
      <c r="F478" s="54"/>
    </row>
    <row r="479" spans="6:6" ht="15.75" customHeight="1" x14ac:dyDescent="0.25">
      <c r="F479" s="54"/>
    </row>
    <row r="480" spans="6:6" ht="15.75" customHeight="1" x14ac:dyDescent="0.25">
      <c r="F480" s="54"/>
    </row>
    <row r="481" spans="6:6" ht="15.75" customHeight="1" x14ac:dyDescent="0.25">
      <c r="F481" s="54"/>
    </row>
    <row r="482" spans="6:6" ht="15.75" customHeight="1" x14ac:dyDescent="0.25">
      <c r="F482" s="54"/>
    </row>
    <row r="483" spans="6:6" ht="15.75" customHeight="1" x14ac:dyDescent="0.25">
      <c r="F483" s="54"/>
    </row>
    <row r="484" spans="6:6" ht="15.75" customHeight="1" x14ac:dyDescent="0.25">
      <c r="F484" s="54"/>
    </row>
    <row r="485" spans="6:6" ht="15.75" customHeight="1" x14ac:dyDescent="0.25">
      <c r="F485" s="54"/>
    </row>
    <row r="486" spans="6:6" ht="15.75" customHeight="1" x14ac:dyDescent="0.25">
      <c r="F486" s="54"/>
    </row>
    <row r="487" spans="6:6" ht="15.75" customHeight="1" x14ac:dyDescent="0.25">
      <c r="F487" s="54"/>
    </row>
    <row r="488" spans="6:6" ht="15.75" customHeight="1" x14ac:dyDescent="0.25">
      <c r="F488" s="54"/>
    </row>
    <row r="489" spans="6:6" ht="15.75" customHeight="1" x14ac:dyDescent="0.25">
      <c r="F489" s="54"/>
    </row>
    <row r="490" spans="6:6" ht="15.75" customHeight="1" x14ac:dyDescent="0.25">
      <c r="F490" s="54"/>
    </row>
    <row r="491" spans="6:6" ht="15.75" customHeight="1" x14ac:dyDescent="0.25">
      <c r="F491" s="54"/>
    </row>
    <row r="492" spans="6:6" ht="15.75" customHeight="1" x14ac:dyDescent="0.25">
      <c r="F492" s="54"/>
    </row>
    <row r="493" spans="6:6" ht="15.75" customHeight="1" x14ac:dyDescent="0.25">
      <c r="F493" s="54"/>
    </row>
    <row r="494" spans="6:6" ht="15.75" customHeight="1" x14ac:dyDescent="0.25">
      <c r="F494" s="54"/>
    </row>
    <row r="495" spans="6:6" ht="15.75" customHeight="1" x14ac:dyDescent="0.25">
      <c r="F495" s="54"/>
    </row>
    <row r="496" spans="6:6" ht="15.75" customHeight="1" x14ac:dyDescent="0.25">
      <c r="F496" s="54"/>
    </row>
    <row r="497" spans="6:6" ht="15.75" customHeight="1" x14ac:dyDescent="0.25">
      <c r="F497" s="54"/>
    </row>
    <row r="498" spans="6:6" ht="15.75" customHeight="1" x14ac:dyDescent="0.25">
      <c r="F498" s="54"/>
    </row>
    <row r="499" spans="6:6" ht="15.75" customHeight="1" x14ac:dyDescent="0.25">
      <c r="F499" s="54"/>
    </row>
    <row r="500" spans="6:6" ht="15.75" customHeight="1" x14ac:dyDescent="0.25">
      <c r="F500" s="54"/>
    </row>
    <row r="501" spans="6:6" ht="15.75" customHeight="1" x14ac:dyDescent="0.25">
      <c r="F501" s="54"/>
    </row>
    <row r="502" spans="6:6" ht="15.75" customHeight="1" x14ac:dyDescent="0.25">
      <c r="F502" s="54"/>
    </row>
    <row r="503" spans="6:6" ht="15.75" customHeight="1" x14ac:dyDescent="0.25">
      <c r="F503" s="54"/>
    </row>
    <row r="504" spans="6:6" ht="15.75" customHeight="1" x14ac:dyDescent="0.25">
      <c r="F504" s="54"/>
    </row>
    <row r="505" spans="6:6" ht="15.75" customHeight="1" x14ac:dyDescent="0.25">
      <c r="F505" s="54"/>
    </row>
    <row r="506" spans="6:6" ht="15.75" customHeight="1" x14ac:dyDescent="0.25">
      <c r="F506" s="54"/>
    </row>
    <row r="507" spans="6:6" ht="15.75" customHeight="1" x14ac:dyDescent="0.25">
      <c r="F507" s="54"/>
    </row>
    <row r="508" spans="6:6" ht="15.75" customHeight="1" x14ac:dyDescent="0.25">
      <c r="F508" s="54"/>
    </row>
    <row r="509" spans="6:6" ht="15.75" customHeight="1" x14ac:dyDescent="0.25">
      <c r="F509" s="54"/>
    </row>
    <row r="510" spans="6:6" ht="15.75" customHeight="1" x14ac:dyDescent="0.25">
      <c r="F510" s="54"/>
    </row>
    <row r="511" spans="6:6" ht="15.75" customHeight="1" x14ac:dyDescent="0.25">
      <c r="F511" s="54"/>
    </row>
    <row r="512" spans="6:6" ht="15.75" customHeight="1" x14ac:dyDescent="0.25">
      <c r="F512" s="54"/>
    </row>
    <row r="513" spans="6:6" ht="15.75" customHeight="1" x14ac:dyDescent="0.25">
      <c r="F513" s="54"/>
    </row>
    <row r="514" spans="6:6" ht="15.75" customHeight="1" x14ac:dyDescent="0.25">
      <c r="F514" s="54"/>
    </row>
    <row r="515" spans="6:6" ht="15.75" customHeight="1" x14ac:dyDescent="0.25">
      <c r="F515" s="54"/>
    </row>
    <row r="516" spans="6:6" ht="15.75" customHeight="1" x14ac:dyDescent="0.25">
      <c r="F516" s="54"/>
    </row>
    <row r="517" spans="6:6" ht="15.75" customHeight="1" x14ac:dyDescent="0.25">
      <c r="F517" s="54"/>
    </row>
    <row r="518" spans="6:6" ht="15.75" customHeight="1" x14ac:dyDescent="0.25">
      <c r="F518" s="54"/>
    </row>
    <row r="519" spans="6:6" ht="15.75" customHeight="1" x14ac:dyDescent="0.25">
      <c r="F519" s="54"/>
    </row>
    <row r="520" spans="6:6" ht="15.75" customHeight="1" x14ac:dyDescent="0.25">
      <c r="F520" s="54"/>
    </row>
    <row r="521" spans="6:6" ht="15.75" customHeight="1" x14ac:dyDescent="0.25">
      <c r="F521" s="54"/>
    </row>
    <row r="522" spans="6:6" ht="15.75" customHeight="1" x14ac:dyDescent="0.25">
      <c r="F522" s="54"/>
    </row>
    <row r="523" spans="6:6" ht="15.75" customHeight="1" x14ac:dyDescent="0.25">
      <c r="F523" s="54"/>
    </row>
    <row r="524" spans="6:6" ht="15.75" customHeight="1" x14ac:dyDescent="0.25">
      <c r="F524" s="54"/>
    </row>
    <row r="525" spans="6:6" ht="15.75" customHeight="1" x14ac:dyDescent="0.25">
      <c r="F525" s="54"/>
    </row>
    <row r="526" spans="6:6" ht="15.75" customHeight="1" x14ac:dyDescent="0.25">
      <c r="F526" s="54"/>
    </row>
    <row r="527" spans="6:6" ht="15.75" customHeight="1" x14ac:dyDescent="0.25">
      <c r="F527" s="54"/>
    </row>
    <row r="528" spans="6:6" ht="15.75" customHeight="1" x14ac:dyDescent="0.25">
      <c r="F528" s="54"/>
    </row>
    <row r="529" spans="6:6" ht="15.75" customHeight="1" x14ac:dyDescent="0.25">
      <c r="F529" s="54"/>
    </row>
    <row r="530" spans="6:6" ht="15.75" customHeight="1" x14ac:dyDescent="0.25">
      <c r="F530" s="54"/>
    </row>
    <row r="531" spans="6:6" ht="15.75" customHeight="1" x14ac:dyDescent="0.25">
      <c r="F531" s="54"/>
    </row>
    <row r="532" spans="6:6" ht="15.75" customHeight="1" x14ac:dyDescent="0.25">
      <c r="F532" s="54"/>
    </row>
    <row r="533" spans="6:6" ht="15.75" customHeight="1" x14ac:dyDescent="0.25">
      <c r="F533" s="54"/>
    </row>
    <row r="534" spans="6:6" ht="15.75" customHeight="1" x14ac:dyDescent="0.25">
      <c r="F534" s="54"/>
    </row>
    <row r="535" spans="6:6" ht="15.75" customHeight="1" x14ac:dyDescent="0.25">
      <c r="F535" s="54"/>
    </row>
    <row r="536" spans="6:6" ht="15.75" customHeight="1" x14ac:dyDescent="0.25">
      <c r="F536" s="54"/>
    </row>
    <row r="537" spans="6:6" ht="15.75" customHeight="1" x14ac:dyDescent="0.25">
      <c r="F537" s="54"/>
    </row>
    <row r="538" spans="6:6" ht="15.75" customHeight="1" x14ac:dyDescent="0.25">
      <c r="F538" s="54"/>
    </row>
    <row r="539" spans="6:6" ht="15.75" customHeight="1" x14ac:dyDescent="0.25">
      <c r="F539" s="54"/>
    </row>
    <row r="540" spans="6:6" ht="15.75" customHeight="1" x14ac:dyDescent="0.25">
      <c r="F540" s="54"/>
    </row>
    <row r="541" spans="6:6" ht="15.75" customHeight="1" x14ac:dyDescent="0.25">
      <c r="F541" s="54"/>
    </row>
    <row r="542" spans="6:6" ht="15.75" customHeight="1" x14ac:dyDescent="0.25">
      <c r="F542" s="54"/>
    </row>
    <row r="543" spans="6:6" ht="15.75" customHeight="1" x14ac:dyDescent="0.25">
      <c r="F543" s="54"/>
    </row>
    <row r="544" spans="6:6" ht="15.75" customHeight="1" x14ac:dyDescent="0.25">
      <c r="F544" s="54"/>
    </row>
    <row r="545" spans="6:6" ht="15.75" customHeight="1" x14ac:dyDescent="0.25">
      <c r="F545" s="54"/>
    </row>
    <row r="546" spans="6:6" ht="15.75" customHeight="1" x14ac:dyDescent="0.25">
      <c r="F546" s="54"/>
    </row>
    <row r="547" spans="6:6" ht="15.75" customHeight="1" x14ac:dyDescent="0.25">
      <c r="F547" s="54"/>
    </row>
    <row r="548" spans="6:6" ht="15.75" customHeight="1" x14ac:dyDescent="0.25">
      <c r="F548" s="54"/>
    </row>
    <row r="549" spans="6:6" ht="15.75" customHeight="1" x14ac:dyDescent="0.25">
      <c r="F549" s="54"/>
    </row>
    <row r="550" spans="6:6" ht="15.75" customHeight="1" x14ac:dyDescent="0.25">
      <c r="F550" s="54"/>
    </row>
    <row r="551" spans="6:6" ht="15.75" customHeight="1" x14ac:dyDescent="0.25">
      <c r="F551" s="54"/>
    </row>
    <row r="552" spans="6:6" ht="15.75" customHeight="1" x14ac:dyDescent="0.25">
      <c r="F552" s="54"/>
    </row>
    <row r="553" spans="6:6" ht="15.75" customHeight="1" x14ac:dyDescent="0.25">
      <c r="F553" s="54"/>
    </row>
    <row r="554" spans="6:6" ht="15.75" customHeight="1" x14ac:dyDescent="0.25">
      <c r="F554" s="54"/>
    </row>
    <row r="555" spans="6:6" ht="15.75" customHeight="1" x14ac:dyDescent="0.25">
      <c r="F555" s="54"/>
    </row>
    <row r="556" spans="6:6" ht="15.75" customHeight="1" x14ac:dyDescent="0.25">
      <c r="F556" s="54"/>
    </row>
    <row r="557" spans="6:6" ht="15.75" customHeight="1" x14ac:dyDescent="0.25">
      <c r="F557" s="54"/>
    </row>
    <row r="558" spans="6:6" ht="15.75" customHeight="1" x14ac:dyDescent="0.25">
      <c r="F558" s="54"/>
    </row>
    <row r="559" spans="6:6" ht="15.75" customHeight="1" x14ac:dyDescent="0.25">
      <c r="F559" s="54"/>
    </row>
    <row r="560" spans="6:6" ht="15.75" customHeight="1" x14ac:dyDescent="0.25">
      <c r="F560" s="54"/>
    </row>
    <row r="561" spans="6:6" ht="15.75" customHeight="1" x14ac:dyDescent="0.25">
      <c r="F561" s="54"/>
    </row>
    <row r="562" spans="6:6" ht="15.75" customHeight="1" x14ac:dyDescent="0.25">
      <c r="F562" s="54"/>
    </row>
    <row r="563" spans="6:6" ht="15.75" customHeight="1" x14ac:dyDescent="0.25">
      <c r="F563" s="54"/>
    </row>
    <row r="564" spans="6:6" ht="15.75" customHeight="1" x14ac:dyDescent="0.25">
      <c r="F564" s="54"/>
    </row>
    <row r="565" spans="6:6" ht="15.75" customHeight="1" x14ac:dyDescent="0.25">
      <c r="F565" s="54"/>
    </row>
    <row r="566" spans="6:6" ht="15.75" customHeight="1" x14ac:dyDescent="0.25">
      <c r="F566" s="54"/>
    </row>
    <row r="567" spans="6:6" ht="15.75" customHeight="1" x14ac:dyDescent="0.25">
      <c r="F567" s="54"/>
    </row>
    <row r="568" spans="6:6" ht="15.75" customHeight="1" x14ac:dyDescent="0.25">
      <c r="F568" s="54"/>
    </row>
    <row r="569" spans="6:6" ht="15.75" customHeight="1" x14ac:dyDescent="0.25">
      <c r="F569" s="54"/>
    </row>
    <row r="570" spans="6:6" ht="15.75" customHeight="1" x14ac:dyDescent="0.25">
      <c r="F570" s="54"/>
    </row>
    <row r="571" spans="6:6" ht="15.75" customHeight="1" x14ac:dyDescent="0.25">
      <c r="F571" s="54"/>
    </row>
    <row r="572" spans="6:6" ht="15.75" customHeight="1" x14ac:dyDescent="0.25">
      <c r="F572" s="54"/>
    </row>
    <row r="573" spans="6:6" ht="15.75" customHeight="1" x14ac:dyDescent="0.25">
      <c r="F573" s="54"/>
    </row>
    <row r="574" spans="6:6" ht="15.75" customHeight="1" x14ac:dyDescent="0.25">
      <c r="F574" s="54"/>
    </row>
    <row r="575" spans="6:6" ht="15.75" customHeight="1" x14ac:dyDescent="0.25">
      <c r="F575" s="54"/>
    </row>
    <row r="576" spans="6:6" ht="15.75" customHeight="1" x14ac:dyDescent="0.25">
      <c r="F576" s="54"/>
    </row>
    <row r="577" spans="6:6" ht="15.75" customHeight="1" x14ac:dyDescent="0.25">
      <c r="F577" s="54"/>
    </row>
    <row r="578" spans="6:6" ht="15.75" customHeight="1" x14ac:dyDescent="0.25">
      <c r="F578" s="54"/>
    </row>
    <row r="579" spans="6:6" ht="15.75" customHeight="1" x14ac:dyDescent="0.25">
      <c r="F579" s="54"/>
    </row>
    <row r="580" spans="6:6" ht="15.75" customHeight="1" x14ac:dyDescent="0.25">
      <c r="F580" s="54"/>
    </row>
    <row r="581" spans="6:6" ht="15.75" customHeight="1" x14ac:dyDescent="0.25">
      <c r="F581" s="54"/>
    </row>
    <row r="582" spans="6:6" ht="15.75" customHeight="1" x14ac:dyDescent="0.25">
      <c r="F582" s="54"/>
    </row>
    <row r="583" spans="6:6" ht="15.75" customHeight="1" x14ac:dyDescent="0.25">
      <c r="F583" s="54"/>
    </row>
    <row r="584" spans="6:6" ht="15.75" customHeight="1" x14ac:dyDescent="0.25">
      <c r="F584" s="54"/>
    </row>
    <row r="585" spans="6:6" ht="15.75" customHeight="1" x14ac:dyDescent="0.25">
      <c r="F585" s="54"/>
    </row>
    <row r="586" spans="6:6" ht="15.75" customHeight="1" x14ac:dyDescent="0.25">
      <c r="F586" s="54"/>
    </row>
    <row r="587" spans="6:6" ht="15.75" customHeight="1" x14ac:dyDescent="0.25">
      <c r="F587" s="54"/>
    </row>
    <row r="588" spans="6:6" ht="15.75" customHeight="1" x14ac:dyDescent="0.25">
      <c r="F588" s="54"/>
    </row>
    <row r="589" spans="6:6" ht="15.75" customHeight="1" x14ac:dyDescent="0.25">
      <c r="F589" s="54"/>
    </row>
    <row r="590" spans="6:6" ht="15.75" customHeight="1" x14ac:dyDescent="0.25">
      <c r="F590" s="54"/>
    </row>
    <row r="591" spans="6:6" ht="15.75" customHeight="1" x14ac:dyDescent="0.25">
      <c r="F591" s="54"/>
    </row>
    <row r="592" spans="6:6" ht="15.75" customHeight="1" x14ac:dyDescent="0.25">
      <c r="F592" s="54"/>
    </row>
    <row r="593" spans="6:6" ht="15.75" customHeight="1" x14ac:dyDescent="0.25">
      <c r="F593" s="54"/>
    </row>
    <row r="594" spans="6:6" ht="15.75" customHeight="1" x14ac:dyDescent="0.25">
      <c r="F594" s="54"/>
    </row>
    <row r="595" spans="6:6" ht="15.75" customHeight="1" x14ac:dyDescent="0.25">
      <c r="F595" s="54"/>
    </row>
    <row r="596" spans="6:6" ht="15.75" customHeight="1" x14ac:dyDescent="0.25">
      <c r="F596" s="54"/>
    </row>
    <row r="597" spans="6:6" ht="15.75" customHeight="1" x14ac:dyDescent="0.25">
      <c r="F597" s="54"/>
    </row>
    <row r="598" spans="6:6" ht="15.75" customHeight="1" x14ac:dyDescent="0.25">
      <c r="F598" s="54"/>
    </row>
    <row r="599" spans="6:6" ht="15.75" customHeight="1" x14ac:dyDescent="0.25">
      <c r="F599" s="54"/>
    </row>
    <row r="600" spans="6:6" ht="15.75" customHeight="1" x14ac:dyDescent="0.25">
      <c r="F600" s="54"/>
    </row>
    <row r="601" spans="6:6" ht="15.75" customHeight="1" x14ac:dyDescent="0.25">
      <c r="F601" s="54"/>
    </row>
    <row r="602" spans="6:6" ht="15.75" customHeight="1" x14ac:dyDescent="0.25">
      <c r="F602" s="54"/>
    </row>
    <row r="603" spans="6:6" ht="15.75" customHeight="1" x14ac:dyDescent="0.25">
      <c r="F603" s="54"/>
    </row>
    <row r="604" spans="6:6" ht="15.75" customHeight="1" x14ac:dyDescent="0.25">
      <c r="F604" s="54"/>
    </row>
    <row r="605" spans="6:6" ht="15.75" customHeight="1" x14ac:dyDescent="0.25">
      <c r="F605" s="54"/>
    </row>
    <row r="606" spans="6:6" ht="15.75" customHeight="1" x14ac:dyDescent="0.25">
      <c r="F606" s="54"/>
    </row>
    <row r="607" spans="6:6" ht="15.75" customHeight="1" x14ac:dyDescent="0.25">
      <c r="F607" s="54"/>
    </row>
    <row r="608" spans="6:6" ht="15.75" customHeight="1" x14ac:dyDescent="0.25">
      <c r="F608" s="54"/>
    </row>
    <row r="609" spans="6:6" ht="15.75" customHeight="1" x14ac:dyDescent="0.25">
      <c r="F609" s="54"/>
    </row>
    <row r="610" spans="6:6" ht="15.75" customHeight="1" x14ac:dyDescent="0.25">
      <c r="F610" s="54"/>
    </row>
    <row r="611" spans="6:6" ht="15.75" customHeight="1" x14ac:dyDescent="0.25">
      <c r="F611" s="54"/>
    </row>
    <row r="612" spans="6:6" ht="15.75" customHeight="1" x14ac:dyDescent="0.25">
      <c r="F612" s="54"/>
    </row>
    <row r="613" spans="6:6" ht="15.75" customHeight="1" x14ac:dyDescent="0.25">
      <c r="F613" s="54"/>
    </row>
    <row r="614" spans="6:6" ht="15.75" customHeight="1" x14ac:dyDescent="0.25">
      <c r="F614" s="54"/>
    </row>
    <row r="615" spans="6:6" ht="15.75" customHeight="1" x14ac:dyDescent="0.25">
      <c r="F615" s="54"/>
    </row>
    <row r="616" spans="6:6" ht="15.75" customHeight="1" x14ac:dyDescent="0.25">
      <c r="F616" s="54"/>
    </row>
    <row r="617" spans="6:6" ht="15.75" customHeight="1" x14ac:dyDescent="0.25">
      <c r="F617" s="54"/>
    </row>
    <row r="618" spans="6:6" ht="15.75" customHeight="1" x14ac:dyDescent="0.25">
      <c r="F618" s="54"/>
    </row>
    <row r="619" spans="6:6" ht="15.75" customHeight="1" x14ac:dyDescent="0.25">
      <c r="F619" s="54"/>
    </row>
    <row r="620" spans="6:6" ht="15.75" customHeight="1" x14ac:dyDescent="0.25">
      <c r="F620" s="54"/>
    </row>
    <row r="621" spans="6:6" ht="15.75" customHeight="1" x14ac:dyDescent="0.25">
      <c r="F621" s="54"/>
    </row>
    <row r="622" spans="6:6" ht="15.75" customHeight="1" x14ac:dyDescent="0.25">
      <c r="F622" s="54"/>
    </row>
    <row r="623" spans="6:6" ht="15.75" customHeight="1" x14ac:dyDescent="0.25">
      <c r="F623" s="54"/>
    </row>
    <row r="624" spans="6:6" ht="15.75" customHeight="1" x14ac:dyDescent="0.25">
      <c r="F624" s="54"/>
    </row>
    <row r="625" spans="6:6" ht="15.75" customHeight="1" x14ac:dyDescent="0.25">
      <c r="F625" s="54"/>
    </row>
    <row r="626" spans="6:6" ht="15.75" customHeight="1" x14ac:dyDescent="0.25">
      <c r="F626" s="54"/>
    </row>
    <row r="627" spans="6:6" ht="15.75" customHeight="1" x14ac:dyDescent="0.25">
      <c r="F627" s="54"/>
    </row>
    <row r="628" spans="6:6" ht="15.75" customHeight="1" x14ac:dyDescent="0.25">
      <c r="F628" s="54"/>
    </row>
    <row r="629" spans="6:6" ht="15.75" customHeight="1" x14ac:dyDescent="0.25">
      <c r="F629" s="54"/>
    </row>
    <row r="630" spans="6:6" ht="15.75" customHeight="1" x14ac:dyDescent="0.25">
      <c r="F630" s="54"/>
    </row>
    <row r="631" spans="6:6" ht="15.75" customHeight="1" x14ac:dyDescent="0.25">
      <c r="F631" s="54"/>
    </row>
    <row r="632" spans="6:6" ht="15.75" customHeight="1" x14ac:dyDescent="0.25">
      <c r="F632" s="54"/>
    </row>
    <row r="633" spans="6:6" ht="15.75" customHeight="1" x14ac:dyDescent="0.25">
      <c r="F633" s="54"/>
    </row>
    <row r="634" spans="6:6" ht="15.75" customHeight="1" x14ac:dyDescent="0.25">
      <c r="F634" s="54"/>
    </row>
    <row r="635" spans="6:6" ht="15.75" customHeight="1" x14ac:dyDescent="0.25">
      <c r="F635" s="54"/>
    </row>
    <row r="636" spans="6:6" ht="15.75" customHeight="1" x14ac:dyDescent="0.25">
      <c r="F636" s="54"/>
    </row>
    <row r="637" spans="6:6" ht="15.75" customHeight="1" x14ac:dyDescent="0.25">
      <c r="F637" s="54"/>
    </row>
    <row r="638" spans="6:6" ht="15.75" customHeight="1" x14ac:dyDescent="0.25">
      <c r="F638" s="54"/>
    </row>
    <row r="639" spans="6:6" ht="15.75" customHeight="1" x14ac:dyDescent="0.25">
      <c r="F639" s="54"/>
    </row>
    <row r="640" spans="6:6" ht="15.75" customHeight="1" x14ac:dyDescent="0.25">
      <c r="F640" s="54"/>
    </row>
    <row r="641" spans="6:6" ht="15.75" customHeight="1" x14ac:dyDescent="0.25">
      <c r="F641" s="54"/>
    </row>
    <row r="642" spans="6:6" ht="15.75" customHeight="1" x14ac:dyDescent="0.25">
      <c r="F642" s="54"/>
    </row>
    <row r="643" spans="6:6" ht="15.75" customHeight="1" x14ac:dyDescent="0.25">
      <c r="F643" s="54"/>
    </row>
    <row r="644" spans="6:6" ht="15.75" customHeight="1" x14ac:dyDescent="0.25">
      <c r="F644" s="54"/>
    </row>
    <row r="645" spans="6:6" ht="15.75" customHeight="1" x14ac:dyDescent="0.25">
      <c r="F645" s="54"/>
    </row>
    <row r="646" spans="6:6" ht="15.75" customHeight="1" x14ac:dyDescent="0.25">
      <c r="F646" s="54"/>
    </row>
    <row r="647" spans="6:6" ht="15.75" customHeight="1" x14ac:dyDescent="0.25">
      <c r="F647" s="54"/>
    </row>
    <row r="648" spans="6:6" ht="15.75" customHeight="1" x14ac:dyDescent="0.25">
      <c r="F648" s="54"/>
    </row>
    <row r="649" spans="6:6" ht="15.75" customHeight="1" x14ac:dyDescent="0.25">
      <c r="F649" s="54"/>
    </row>
    <row r="650" spans="6:6" ht="15.75" customHeight="1" x14ac:dyDescent="0.25">
      <c r="F650" s="54"/>
    </row>
    <row r="651" spans="6:6" ht="15.75" customHeight="1" x14ac:dyDescent="0.25">
      <c r="F651" s="54"/>
    </row>
    <row r="652" spans="6:6" ht="15.75" customHeight="1" x14ac:dyDescent="0.25">
      <c r="F652" s="54"/>
    </row>
    <row r="653" spans="6:6" ht="15.75" customHeight="1" x14ac:dyDescent="0.25">
      <c r="F653" s="54"/>
    </row>
    <row r="654" spans="6:6" ht="15.75" customHeight="1" x14ac:dyDescent="0.25">
      <c r="F654" s="54"/>
    </row>
    <row r="655" spans="6:6" ht="15.75" customHeight="1" x14ac:dyDescent="0.25">
      <c r="F655" s="54"/>
    </row>
    <row r="656" spans="6:6" ht="15.75" customHeight="1" x14ac:dyDescent="0.25">
      <c r="F656" s="54"/>
    </row>
    <row r="657" spans="6:6" ht="15.75" customHeight="1" x14ac:dyDescent="0.25">
      <c r="F657" s="54"/>
    </row>
    <row r="658" spans="6:6" ht="15.75" customHeight="1" x14ac:dyDescent="0.25">
      <c r="F658" s="54"/>
    </row>
    <row r="659" spans="6:6" ht="15.75" customHeight="1" x14ac:dyDescent="0.25">
      <c r="F659" s="54"/>
    </row>
    <row r="660" spans="6:6" ht="15.75" customHeight="1" x14ac:dyDescent="0.25">
      <c r="F660" s="54"/>
    </row>
    <row r="661" spans="6:6" ht="15.75" customHeight="1" x14ac:dyDescent="0.25">
      <c r="F661" s="54"/>
    </row>
    <row r="662" spans="6:6" ht="15.75" customHeight="1" x14ac:dyDescent="0.25">
      <c r="F662" s="54"/>
    </row>
    <row r="663" spans="6:6" ht="15.75" customHeight="1" x14ac:dyDescent="0.25">
      <c r="F663" s="54"/>
    </row>
    <row r="664" spans="6:6" ht="15.75" customHeight="1" x14ac:dyDescent="0.25">
      <c r="F664" s="54"/>
    </row>
    <row r="665" spans="6:6" ht="15.75" customHeight="1" x14ac:dyDescent="0.25">
      <c r="F665" s="54"/>
    </row>
    <row r="666" spans="6:6" ht="15.75" customHeight="1" x14ac:dyDescent="0.25">
      <c r="F666" s="54"/>
    </row>
    <row r="667" spans="6:6" ht="15.75" customHeight="1" x14ac:dyDescent="0.25">
      <c r="F667" s="54"/>
    </row>
    <row r="668" spans="6:6" ht="15.75" customHeight="1" x14ac:dyDescent="0.25">
      <c r="F668" s="54"/>
    </row>
    <row r="669" spans="6:6" ht="15.75" customHeight="1" x14ac:dyDescent="0.25">
      <c r="F669" s="54"/>
    </row>
    <row r="670" spans="6:6" ht="15.75" customHeight="1" x14ac:dyDescent="0.25">
      <c r="F670" s="54"/>
    </row>
    <row r="671" spans="6:6" ht="15.75" customHeight="1" x14ac:dyDescent="0.25">
      <c r="F671" s="54"/>
    </row>
    <row r="672" spans="6:6" ht="15.75" customHeight="1" x14ac:dyDescent="0.25">
      <c r="F672" s="54"/>
    </row>
    <row r="673" spans="6:6" ht="15.75" customHeight="1" x14ac:dyDescent="0.25">
      <c r="F673" s="54"/>
    </row>
    <row r="674" spans="6:6" ht="15.75" customHeight="1" x14ac:dyDescent="0.25">
      <c r="F674" s="54"/>
    </row>
    <row r="675" spans="6:6" ht="15.75" customHeight="1" x14ac:dyDescent="0.25">
      <c r="F675" s="54"/>
    </row>
    <row r="676" spans="6:6" ht="15.75" customHeight="1" x14ac:dyDescent="0.25">
      <c r="F676" s="54"/>
    </row>
    <row r="677" spans="6:6" ht="15.75" customHeight="1" x14ac:dyDescent="0.25">
      <c r="F677" s="54"/>
    </row>
    <row r="678" spans="6:6" ht="15.75" customHeight="1" x14ac:dyDescent="0.25">
      <c r="F678" s="54"/>
    </row>
    <row r="679" spans="6:6" ht="15.75" customHeight="1" x14ac:dyDescent="0.25">
      <c r="F679" s="54"/>
    </row>
    <row r="680" spans="6:6" ht="15.75" customHeight="1" x14ac:dyDescent="0.25">
      <c r="F680" s="54"/>
    </row>
    <row r="681" spans="6:6" ht="15.75" customHeight="1" x14ac:dyDescent="0.25">
      <c r="F681" s="54"/>
    </row>
    <row r="682" spans="6:6" ht="15.75" customHeight="1" x14ac:dyDescent="0.25">
      <c r="F682" s="54"/>
    </row>
    <row r="683" spans="6:6" ht="15.75" customHeight="1" x14ac:dyDescent="0.25">
      <c r="F683" s="54"/>
    </row>
    <row r="684" spans="6:6" ht="15.75" customHeight="1" x14ac:dyDescent="0.25">
      <c r="F684" s="54"/>
    </row>
    <row r="685" spans="6:6" ht="15.75" customHeight="1" x14ac:dyDescent="0.25">
      <c r="F685" s="54"/>
    </row>
    <row r="686" spans="6:6" ht="15.75" customHeight="1" x14ac:dyDescent="0.25">
      <c r="F686" s="54"/>
    </row>
    <row r="687" spans="6:6" ht="15.75" customHeight="1" x14ac:dyDescent="0.25">
      <c r="F687" s="54"/>
    </row>
    <row r="688" spans="6:6" ht="15.75" customHeight="1" x14ac:dyDescent="0.25">
      <c r="F688" s="54"/>
    </row>
    <row r="689" spans="6:6" ht="15.75" customHeight="1" x14ac:dyDescent="0.25">
      <c r="F689" s="54"/>
    </row>
    <row r="690" spans="6:6" ht="15.75" customHeight="1" x14ac:dyDescent="0.25">
      <c r="F690" s="54"/>
    </row>
    <row r="691" spans="6:6" ht="15.75" customHeight="1" x14ac:dyDescent="0.25">
      <c r="F691" s="54"/>
    </row>
    <row r="692" spans="6:6" ht="15.75" customHeight="1" x14ac:dyDescent="0.25">
      <c r="F692" s="54"/>
    </row>
    <row r="693" spans="6:6" ht="15.75" customHeight="1" x14ac:dyDescent="0.25">
      <c r="F693" s="54"/>
    </row>
    <row r="694" spans="6:6" ht="15.75" customHeight="1" x14ac:dyDescent="0.25">
      <c r="F694" s="54"/>
    </row>
    <row r="695" spans="6:6" ht="15.75" customHeight="1" x14ac:dyDescent="0.25">
      <c r="F695" s="54"/>
    </row>
    <row r="696" spans="6:6" ht="15.75" customHeight="1" x14ac:dyDescent="0.25">
      <c r="F696" s="54"/>
    </row>
    <row r="697" spans="6:6" ht="15.75" customHeight="1" x14ac:dyDescent="0.25">
      <c r="F697" s="54"/>
    </row>
    <row r="698" spans="6:6" ht="15.75" customHeight="1" x14ac:dyDescent="0.25">
      <c r="F698" s="54"/>
    </row>
    <row r="699" spans="6:6" ht="15.75" customHeight="1" x14ac:dyDescent="0.25">
      <c r="F699" s="54"/>
    </row>
    <row r="700" spans="6:6" ht="15.75" customHeight="1" x14ac:dyDescent="0.25">
      <c r="F700" s="54"/>
    </row>
    <row r="701" spans="6:6" ht="15.75" customHeight="1" x14ac:dyDescent="0.25">
      <c r="F701" s="54"/>
    </row>
    <row r="702" spans="6:6" ht="15.75" customHeight="1" x14ac:dyDescent="0.25">
      <c r="F702" s="54"/>
    </row>
    <row r="703" spans="6:6" ht="15.75" customHeight="1" x14ac:dyDescent="0.25">
      <c r="F703" s="54"/>
    </row>
    <row r="704" spans="6:6" ht="15.75" customHeight="1" x14ac:dyDescent="0.25">
      <c r="F704" s="54"/>
    </row>
    <row r="705" spans="6:6" ht="15.75" customHeight="1" x14ac:dyDescent="0.25">
      <c r="F705" s="54"/>
    </row>
    <row r="706" spans="6:6" ht="15.75" customHeight="1" x14ac:dyDescent="0.25">
      <c r="F706" s="54"/>
    </row>
    <row r="707" spans="6:6" ht="15.75" customHeight="1" x14ac:dyDescent="0.25">
      <c r="F707" s="54"/>
    </row>
    <row r="708" spans="6:6" ht="15.75" customHeight="1" x14ac:dyDescent="0.25">
      <c r="F708" s="54"/>
    </row>
    <row r="709" spans="6:6" ht="15.75" customHeight="1" x14ac:dyDescent="0.25">
      <c r="F709" s="54"/>
    </row>
    <row r="710" spans="6:6" ht="15.75" customHeight="1" x14ac:dyDescent="0.25">
      <c r="F710" s="54"/>
    </row>
    <row r="711" spans="6:6" ht="15.75" customHeight="1" x14ac:dyDescent="0.25">
      <c r="F711" s="54"/>
    </row>
    <row r="712" spans="6:6" ht="15.75" customHeight="1" x14ac:dyDescent="0.25">
      <c r="F712" s="54"/>
    </row>
    <row r="713" spans="6:6" ht="15.75" customHeight="1" x14ac:dyDescent="0.25">
      <c r="F713" s="54"/>
    </row>
    <row r="714" spans="6:6" ht="15.75" customHeight="1" x14ac:dyDescent="0.25">
      <c r="F714" s="54"/>
    </row>
    <row r="715" spans="6:6" ht="15.75" customHeight="1" x14ac:dyDescent="0.25">
      <c r="F715" s="54"/>
    </row>
    <row r="716" spans="6:6" ht="15.75" customHeight="1" x14ac:dyDescent="0.25">
      <c r="F716" s="54"/>
    </row>
    <row r="717" spans="6:6" ht="15.75" customHeight="1" x14ac:dyDescent="0.25">
      <c r="F717" s="54"/>
    </row>
    <row r="718" spans="6:6" ht="15.75" customHeight="1" x14ac:dyDescent="0.25">
      <c r="F718" s="54"/>
    </row>
    <row r="719" spans="6:6" ht="15.75" customHeight="1" x14ac:dyDescent="0.25">
      <c r="F719" s="54"/>
    </row>
    <row r="720" spans="6:6" ht="15.75" customHeight="1" x14ac:dyDescent="0.25">
      <c r="F720" s="54"/>
    </row>
    <row r="721" spans="6:6" ht="15.75" customHeight="1" x14ac:dyDescent="0.25">
      <c r="F721" s="54"/>
    </row>
    <row r="722" spans="6:6" ht="15.75" customHeight="1" x14ac:dyDescent="0.25">
      <c r="F722" s="54"/>
    </row>
    <row r="723" spans="6:6" ht="15.75" customHeight="1" x14ac:dyDescent="0.25">
      <c r="F723" s="54"/>
    </row>
    <row r="724" spans="6:6" ht="15.75" customHeight="1" x14ac:dyDescent="0.25">
      <c r="F724" s="54"/>
    </row>
    <row r="725" spans="6:6" ht="15.75" customHeight="1" x14ac:dyDescent="0.25">
      <c r="F725" s="54"/>
    </row>
    <row r="726" spans="6:6" ht="15.75" customHeight="1" x14ac:dyDescent="0.25">
      <c r="F726" s="54"/>
    </row>
    <row r="727" spans="6:6" ht="15.75" customHeight="1" x14ac:dyDescent="0.25">
      <c r="F727" s="54"/>
    </row>
    <row r="728" spans="6:6" ht="15.75" customHeight="1" x14ac:dyDescent="0.25">
      <c r="F728" s="54"/>
    </row>
    <row r="729" spans="6:6" ht="15.75" customHeight="1" x14ac:dyDescent="0.25">
      <c r="F729" s="54"/>
    </row>
    <row r="730" spans="6:6" ht="15.75" customHeight="1" x14ac:dyDescent="0.25">
      <c r="F730" s="54"/>
    </row>
    <row r="731" spans="6:6" ht="15.75" customHeight="1" x14ac:dyDescent="0.25">
      <c r="F731" s="54"/>
    </row>
    <row r="732" spans="6:6" ht="15.75" customHeight="1" x14ac:dyDescent="0.25">
      <c r="F732" s="54"/>
    </row>
    <row r="733" spans="6:6" ht="15.75" customHeight="1" x14ac:dyDescent="0.25">
      <c r="F733" s="54"/>
    </row>
    <row r="734" spans="6:6" ht="15.75" customHeight="1" x14ac:dyDescent="0.25">
      <c r="F734" s="54"/>
    </row>
    <row r="735" spans="6:6" ht="15.75" customHeight="1" x14ac:dyDescent="0.25">
      <c r="F735" s="54"/>
    </row>
    <row r="736" spans="6:6" ht="15.75" customHeight="1" x14ac:dyDescent="0.25">
      <c r="F736" s="54"/>
    </row>
    <row r="737" spans="6:6" ht="15.75" customHeight="1" x14ac:dyDescent="0.25">
      <c r="F737" s="54"/>
    </row>
    <row r="738" spans="6:6" ht="15.75" customHeight="1" x14ac:dyDescent="0.25">
      <c r="F738" s="54"/>
    </row>
    <row r="739" spans="6:6" ht="15.75" customHeight="1" x14ac:dyDescent="0.25">
      <c r="F739" s="54"/>
    </row>
    <row r="740" spans="6:6" ht="15.75" customHeight="1" x14ac:dyDescent="0.25">
      <c r="F740" s="54"/>
    </row>
    <row r="741" spans="6:6" ht="15.75" customHeight="1" x14ac:dyDescent="0.25">
      <c r="F741" s="54"/>
    </row>
    <row r="742" spans="6:6" ht="15.75" customHeight="1" x14ac:dyDescent="0.25">
      <c r="F742" s="54"/>
    </row>
    <row r="743" spans="6:6" ht="15.75" customHeight="1" x14ac:dyDescent="0.25">
      <c r="F743" s="54"/>
    </row>
    <row r="744" spans="6:6" ht="15.75" customHeight="1" x14ac:dyDescent="0.25">
      <c r="F744" s="54"/>
    </row>
    <row r="745" spans="6:6" ht="15.75" customHeight="1" x14ac:dyDescent="0.25">
      <c r="F745" s="54"/>
    </row>
    <row r="746" spans="6:6" ht="15.75" customHeight="1" x14ac:dyDescent="0.25">
      <c r="F746" s="54"/>
    </row>
    <row r="747" spans="6:6" ht="15.75" customHeight="1" x14ac:dyDescent="0.25">
      <c r="F747" s="54"/>
    </row>
    <row r="748" spans="6:6" ht="15.75" customHeight="1" x14ac:dyDescent="0.25">
      <c r="F748" s="54"/>
    </row>
    <row r="749" spans="6:6" ht="15.75" customHeight="1" x14ac:dyDescent="0.25">
      <c r="F749" s="54"/>
    </row>
    <row r="750" spans="6:6" ht="15.75" customHeight="1" x14ac:dyDescent="0.25">
      <c r="F750" s="54"/>
    </row>
    <row r="751" spans="6:6" ht="15.75" customHeight="1" x14ac:dyDescent="0.25">
      <c r="F751" s="54"/>
    </row>
    <row r="752" spans="6:6" ht="15.75" customHeight="1" x14ac:dyDescent="0.25">
      <c r="F752" s="54"/>
    </row>
    <row r="753" spans="6:6" ht="15.75" customHeight="1" x14ac:dyDescent="0.25">
      <c r="F753" s="54"/>
    </row>
    <row r="754" spans="6:6" ht="15.75" customHeight="1" x14ac:dyDescent="0.25">
      <c r="F754" s="54"/>
    </row>
    <row r="755" spans="6:6" ht="15.75" customHeight="1" x14ac:dyDescent="0.25">
      <c r="F755" s="54"/>
    </row>
    <row r="756" spans="6:6" ht="15.75" customHeight="1" x14ac:dyDescent="0.25">
      <c r="F756" s="54"/>
    </row>
    <row r="757" spans="6:6" ht="15.75" customHeight="1" x14ac:dyDescent="0.25">
      <c r="F757" s="54"/>
    </row>
    <row r="758" spans="6:6" ht="15.75" customHeight="1" x14ac:dyDescent="0.25">
      <c r="F758" s="54"/>
    </row>
    <row r="759" spans="6:6" ht="15.75" customHeight="1" x14ac:dyDescent="0.25">
      <c r="F759" s="54"/>
    </row>
    <row r="760" spans="6:6" ht="15.75" customHeight="1" x14ac:dyDescent="0.25">
      <c r="F760" s="54"/>
    </row>
    <row r="761" spans="6:6" ht="15.75" customHeight="1" x14ac:dyDescent="0.25">
      <c r="F761" s="54"/>
    </row>
    <row r="762" spans="6:6" ht="15.75" customHeight="1" x14ac:dyDescent="0.25">
      <c r="F762" s="54"/>
    </row>
    <row r="763" spans="6:6" ht="15.75" customHeight="1" x14ac:dyDescent="0.25">
      <c r="F763" s="54"/>
    </row>
    <row r="764" spans="6:6" ht="15.75" customHeight="1" x14ac:dyDescent="0.25">
      <c r="F764" s="54"/>
    </row>
    <row r="765" spans="6:6" ht="15.75" customHeight="1" x14ac:dyDescent="0.25">
      <c r="F765" s="54"/>
    </row>
    <row r="766" spans="6:6" ht="15.75" customHeight="1" x14ac:dyDescent="0.25">
      <c r="F766" s="54"/>
    </row>
    <row r="767" spans="6:6" ht="15.75" customHeight="1" x14ac:dyDescent="0.25">
      <c r="F767" s="54"/>
    </row>
    <row r="768" spans="6:6" ht="15.75" customHeight="1" x14ac:dyDescent="0.25">
      <c r="F768" s="54"/>
    </row>
    <row r="769" spans="6:6" ht="15.75" customHeight="1" x14ac:dyDescent="0.25">
      <c r="F769" s="54"/>
    </row>
    <row r="770" spans="6:6" ht="15.75" customHeight="1" x14ac:dyDescent="0.25">
      <c r="F770" s="54"/>
    </row>
    <row r="771" spans="6:6" ht="15.75" customHeight="1" x14ac:dyDescent="0.25">
      <c r="F771" s="54"/>
    </row>
    <row r="772" spans="6:6" ht="15.75" customHeight="1" x14ac:dyDescent="0.25">
      <c r="F772" s="54"/>
    </row>
    <row r="773" spans="6:6" ht="15.75" customHeight="1" x14ac:dyDescent="0.25">
      <c r="F773" s="54"/>
    </row>
    <row r="774" spans="6:6" ht="15.75" customHeight="1" x14ac:dyDescent="0.25">
      <c r="F774" s="54"/>
    </row>
    <row r="775" spans="6:6" ht="15.75" customHeight="1" x14ac:dyDescent="0.25">
      <c r="F775" s="54"/>
    </row>
    <row r="776" spans="6:6" ht="15.75" customHeight="1" x14ac:dyDescent="0.25">
      <c r="F776" s="54"/>
    </row>
    <row r="777" spans="6:6" ht="15.75" customHeight="1" x14ac:dyDescent="0.25">
      <c r="F777" s="54"/>
    </row>
    <row r="778" spans="6:6" ht="15.75" customHeight="1" x14ac:dyDescent="0.25">
      <c r="F778" s="54"/>
    </row>
    <row r="779" spans="6:6" ht="15.75" customHeight="1" x14ac:dyDescent="0.25">
      <c r="F779" s="54"/>
    </row>
    <row r="780" spans="6:6" ht="15.75" customHeight="1" x14ac:dyDescent="0.25">
      <c r="F780" s="54"/>
    </row>
    <row r="781" spans="6:6" ht="15.75" customHeight="1" x14ac:dyDescent="0.25">
      <c r="F781" s="54"/>
    </row>
    <row r="782" spans="6:6" ht="15.75" customHeight="1" x14ac:dyDescent="0.25">
      <c r="F782" s="54"/>
    </row>
    <row r="783" spans="6:6" ht="15.75" customHeight="1" x14ac:dyDescent="0.25">
      <c r="F783" s="54"/>
    </row>
    <row r="784" spans="6:6" ht="15.75" customHeight="1" x14ac:dyDescent="0.25">
      <c r="F784" s="54"/>
    </row>
    <row r="785" spans="6:6" ht="15.75" customHeight="1" x14ac:dyDescent="0.25">
      <c r="F785" s="54"/>
    </row>
    <row r="786" spans="6:6" ht="15.75" customHeight="1" x14ac:dyDescent="0.25">
      <c r="F786" s="54"/>
    </row>
    <row r="787" spans="6:6" ht="15.75" customHeight="1" x14ac:dyDescent="0.25">
      <c r="F787" s="54"/>
    </row>
    <row r="788" spans="6:6" ht="15.75" customHeight="1" x14ac:dyDescent="0.25">
      <c r="F788" s="54"/>
    </row>
    <row r="789" spans="6:6" ht="15.75" customHeight="1" x14ac:dyDescent="0.25">
      <c r="F789" s="54"/>
    </row>
    <row r="790" spans="6:6" ht="15.75" customHeight="1" x14ac:dyDescent="0.25">
      <c r="F790" s="54"/>
    </row>
    <row r="791" spans="6:6" ht="15.75" customHeight="1" x14ac:dyDescent="0.25">
      <c r="F791" s="54"/>
    </row>
    <row r="792" spans="6:6" ht="15.75" customHeight="1" x14ac:dyDescent="0.25">
      <c r="F792" s="54"/>
    </row>
    <row r="793" spans="6:6" ht="15.75" customHeight="1" x14ac:dyDescent="0.25">
      <c r="F793" s="54"/>
    </row>
    <row r="794" spans="6:6" ht="15.75" customHeight="1" x14ac:dyDescent="0.25">
      <c r="F794" s="54"/>
    </row>
    <row r="795" spans="6:6" ht="15.75" customHeight="1" x14ac:dyDescent="0.25">
      <c r="F795" s="54"/>
    </row>
    <row r="796" spans="6:6" ht="15.75" customHeight="1" x14ac:dyDescent="0.25">
      <c r="F796" s="54"/>
    </row>
    <row r="797" spans="6:6" ht="15.75" customHeight="1" x14ac:dyDescent="0.25">
      <c r="F797" s="54"/>
    </row>
    <row r="798" spans="6:6" ht="15.75" customHeight="1" x14ac:dyDescent="0.25">
      <c r="F798" s="54"/>
    </row>
    <row r="799" spans="6:6" ht="15.75" customHeight="1" x14ac:dyDescent="0.25">
      <c r="F799" s="54"/>
    </row>
    <row r="800" spans="6:6" ht="15.75" customHeight="1" x14ac:dyDescent="0.25">
      <c r="F800" s="54"/>
    </row>
    <row r="801" spans="6:6" ht="15.75" customHeight="1" x14ac:dyDescent="0.25">
      <c r="F801" s="54"/>
    </row>
    <row r="802" spans="6:6" ht="15.75" customHeight="1" x14ac:dyDescent="0.25">
      <c r="F802" s="54"/>
    </row>
    <row r="803" spans="6:6" ht="15.75" customHeight="1" x14ac:dyDescent="0.25">
      <c r="F803" s="54"/>
    </row>
    <row r="804" spans="6:6" ht="15.75" customHeight="1" x14ac:dyDescent="0.25">
      <c r="F804" s="54"/>
    </row>
    <row r="805" spans="6:6" ht="15.75" customHeight="1" x14ac:dyDescent="0.25">
      <c r="F805" s="54"/>
    </row>
    <row r="806" spans="6:6" ht="15.75" customHeight="1" x14ac:dyDescent="0.25">
      <c r="F806" s="54"/>
    </row>
    <row r="807" spans="6:6" ht="15.75" customHeight="1" x14ac:dyDescent="0.25">
      <c r="F807" s="54"/>
    </row>
    <row r="808" spans="6:6" ht="15.75" customHeight="1" x14ac:dyDescent="0.25">
      <c r="F808" s="54"/>
    </row>
    <row r="809" spans="6:6" ht="15.75" customHeight="1" x14ac:dyDescent="0.25">
      <c r="F809" s="54"/>
    </row>
    <row r="810" spans="6:6" ht="15.75" customHeight="1" x14ac:dyDescent="0.25">
      <c r="F810" s="54"/>
    </row>
    <row r="811" spans="6:6" ht="15.75" customHeight="1" x14ac:dyDescent="0.25">
      <c r="F811" s="54"/>
    </row>
    <row r="812" spans="6:6" ht="15.75" customHeight="1" x14ac:dyDescent="0.25">
      <c r="F812" s="54"/>
    </row>
    <row r="813" spans="6:6" ht="15.75" customHeight="1" x14ac:dyDescent="0.25">
      <c r="F813" s="54"/>
    </row>
    <row r="814" spans="6:6" ht="15.75" customHeight="1" x14ac:dyDescent="0.25">
      <c r="F814" s="54"/>
    </row>
    <row r="815" spans="6:6" ht="15.75" customHeight="1" x14ac:dyDescent="0.25">
      <c r="F815" s="54"/>
    </row>
    <row r="816" spans="6:6" ht="15.75" customHeight="1" x14ac:dyDescent="0.25">
      <c r="F816" s="54"/>
    </row>
    <row r="817" spans="6:6" ht="15.75" customHeight="1" x14ac:dyDescent="0.25">
      <c r="F817" s="54"/>
    </row>
    <row r="818" spans="6:6" ht="15.75" customHeight="1" x14ac:dyDescent="0.25">
      <c r="F818" s="54"/>
    </row>
    <row r="819" spans="6:6" ht="15.75" customHeight="1" x14ac:dyDescent="0.25">
      <c r="F819" s="54"/>
    </row>
    <row r="820" spans="6:6" ht="15.75" customHeight="1" x14ac:dyDescent="0.25">
      <c r="F820" s="54"/>
    </row>
    <row r="821" spans="6:6" ht="15.75" customHeight="1" x14ac:dyDescent="0.25">
      <c r="F821" s="54"/>
    </row>
    <row r="822" spans="6:6" ht="15.75" customHeight="1" x14ac:dyDescent="0.25">
      <c r="F822" s="54"/>
    </row>
    <row r="823" spans="6:6" ht="15.75" customHeight="1" x14ac:dyDescent="0.25">
      <c r="F823" s="54"/>
    </row>
    <row r="824" spans="6:6" ht="15.75" customHeight="1" x14ac:dyDescent="0.25">
      <c r="F824" s="54"/>
    </row>
    <row r="825" spans="6:6" ht="15.75" customHeight="1" x14ac:dyDescent="0.25">
      <c r="F825" s="54"/>
    </row>
    <row r="826" spans="6:6" ht="15.75" customHeight="1" x14ac:dyDescent="0.25">
      <c r="F826" s="54"/>
    </row>
    <row r="827" spans="6:6" ht="15.75" customHeight="1" x14ac:dyDescent="0.25">
      <c r="F827" s="54"/>
    </row>
    <row r="828" spans="6:6" ht="15.75" customHeight="1" x14ac:dyDescent="0.25">
      <c r="F828" s="54"/>
    </row>
    <row r="829" spans="6:6" ht="15.75" customHeight="1" x14ac:dyDescent="0.25">
      <c r="F829" s="54"/>
    </row>
    <row r="830" spans="6:6" ht="15.75" customHeight="1" x14ac:dyDescent="0.25">
      <c r="F830" s="54"/>
    </row>
    <row r="831" spans="6:6" ht="15.75" customHeight="1" x14ac:dyDescent="0.25">
      <c r="F831" s="54"/>
    </row>
    <row r="832" spans="6:6" ht="15.75" customHeight="1" x14ac:dyDescent="0.25">
      <c r="F832" s="54"/>
    </row>
    <row r="833" spans="6:6" ht="15.75" customHeight="1" x14ac:dyDescent="0.25">
      <c r="F833" s="54"/>
    </row>
    <row r="834" spans="6:6" ht="15.75" customHeight="1" x14ac:dyDescent="0.25">
      <c r="F834" s="54"/>
    </row>
    <row r="835" spans="6:6" ht="15.75" customHeight="1" x14ac:dyDescent="0.25">
      <c r="F835" s="54"/>
    </row>
    <row r="836" spans="6:6" ht="15.75" customHeight="1" x14ac:dyDescent="0.25">
      <c r="F836" s="54"/>
    </row>
    <row r="837" spans="6:6" ht="15.75" customHeight="1" x14ac:dyDescent="0.25">
      <c r="F837" s="54"/>
    </row>
    <row r="838" spans="6:6" ht="15.75" customHeight="1" x14ac:dyDescent="0.25">
      <c r="F838" s="54"/>
    </row>
    <row r="839" spans="6:6" ht="15.75" customHeight="1" x14ac:dyDescent="0.25">
      <c r="F839" s="54"/>
    </row>
    <row r="840" spans="6:6" ht="15.75" customHeight="1" x14ac:dyDescent="0.25">
      <c r="F840" s="54"/>
    </row>
    <row r="841" spans="6:6" ht="15.75" customHeight="1" x14ac:dyDescent="0.25">
      <c r="F841" s="54"/>
    </row>
    <row r="842" spans="6:6" ht="15.75" customHeight="1" x14ac:dyDescent="0.25">
      <c r="F842" s="54"/>
    </row>
    <row r="843" spans="6:6" ht="15.75" customHeight="1" x14ac:dyDescent="0.25">
      <c r="F843" s="54"/>
    </row>
    <row r="844" spans="6:6" ht="15.75" customHeight="1" x14ac:dyDescent="0.25">
      <c r="F844" s="54"/>
    </row>
    <row r="845" spans="6:6" ht="15.75" customHeight="1" x14ac:dyDescent="0.25">
      <c r="F845" s="54"/>
    </row>
    <row r="846" spans="6:6" ht="15.75" customHeight="1" x14ac:dyDescent="0.25">
      <c r="F846" s="54"/>
    </row>
    <row r="847" spans="6:6" ht="15.75" customHeight="1" x14ac:dyDescent="0.25">
      <c r="F847" s="54"/>
    </row>
    <row r="848" spans="6:6" ht="15.75" customHeight="1" x14ac:dyDescent="0.25">
      <c r="F848" s="54"/>
    </row>
    <row r="849" spans="6:6" ht="15.75" customHeight="1" x14ac:dyDescent="0.25">
      <c r="F849" s="54"/>
    </row>
    <row r="850" spans="6:6" ht="15.75" customHeight="1" x14ac:dyDescent="0.25">
      <c r="F850" s="54"/>
    </row>
    <row r="851" spans="6:6" ht="15.75" customHeight="1" x14ac:dyDescent="0.25">
      <c r="F851" s="54"/>
    </row>
    <row r="852" spans="6:6" ht="15.75" customHeight="1" x14ac:dyDescent="0.25">
      <c r="F852" s="54"/>
    </row>
    <row r="853" spans="6:6" ht="15.75" customHeight="1" x14ac:dyDescent="0.25">
      <c r="F853" s="54"/>
    </row>
    <row r="854" spans="6:6" ht="15.75" customHeight="1" x14ac:dyDescent="0.25">
      <c r="F854" s="54"/>
    </row>
    <row r="855" spans="6:6" ht="15.75" customHeight="1" x14ac:dyDescent="0.25">
      <c r="F855" s="54"/>
    </row>
    <row r="856" spans="6:6" ht="15.75" customHeight="1" x14ac:dyDescent="0.25">
      <c r="F856" s="54"/>
    </row>
    <row r="857" spans="6:6" ht="15.75" customHeight="1" x14ac:dyDescent="0.25">
      <c r="F857" s="54"/>
    </row>
    <row r="858" spans="6:6" ht="15.75" customHeight="1" x14ac:dyDescent="0.25">
      <c r="F858" s="54"/>
    </row>
    <row r="859" spans="6:6" ht="15.75" customHeight="1" x14ac:dyDescent="0.25">
      <c r="F859" s="54"/>
    </row>
    <row r="860" spans="6:6" ht="15.75" customHeight="1" x14ac:dyDescent="0.25">
      <c r="F860" s="54"/>
    </row>
    <row r="861" spans="6:6" ht="15.75" customHeight="1" x14ac:dyDescent="0.25">
      <c r="F861" s="54"/>
    </row>
    <row r="862" spans="6:6" ht="15.75" customHeight="1" x14ac:dyDescent="0.25">
      <c r="F862" s="54"/>
    </row>
    <row r="863" spans="6:6" ht="15.75" customHeight="1" x14ac:dyDescent="0.25">
      <c r="F863" s="54"/>
    </row>
    <row r="864" spans="6:6" ht="15.75" customHeight="1" x14ac:dyDescent="0.25">
      <c r="F864" s="54"/>
    </row>
    <row r="865" spans="6:6" ht="15.75" customHeight="1" x14ac:dyDescent="0.25">
      <c r="F865" s="54"/>
    </row>
    <row r="866" spans="6:6" ht="15.75" customHeight="1" x14ac:dyDescent="0.25">
      <c r="F866" s="54"/>
    </row>
    <row r="867" spans="6:6" ht="15.75" customHeight="1" x14ac:dyDescent="0.25">
      <c r="F867" s="54"/>
    </row>
    <row r="868" spans="6:6" ht="15.75" customHeight="1" x14ac:dyDescent="0.25">
      <c r="F868" s="54"/>
    </row>
    <row r="869" spans="6:6" ht="15.75" customHeight="1" x14ac:dyDescent="0.25">
      <c r="F869" s="54"/>
    </row>
    <row r="870" spans="6:6" ht="15.75" customHeight="1" x14ac:dyDescent="0.25">
      <c r="F870" s="54"/>
    </row>
    <row r="871" spans="6:6" ht="15.75" customHeight="1" x14ac:dyDescent="0.25">
      <c r="F871" s="54"/>
    </row>
    <row r="872" spans="6:6" ht="15.75" customHeight="1" x14ac:dyDescent="0.25">
      <c r="F872" s="54"/>
    </row>
    <row r="873" spans="6:6" ht="15.75" customHeight="1" x14ac:dyDescent="0.25">
      <c r="F873" s="54"/>
    </row>
    <row r="874" spans="6:6" ht="15.75" customHeight="1" x14ac:dyDescent="0.25">
      <c r="F874" s="54"/>
    </row>
    <row r="875" spans="6:6" ht="15.75" customHeight="1" x14ac:dyDescent="0.25">
      <c r="F875" s="54"/>
    </row>
    <row r="876" spans="6:6" ht="15.75" customHeight="1" x14ac:dyDescent="0.25">
      <c r="F876" s="54"/>
    </row>
    <row r="877" spans="6:6" ht="15.75" customHeight="1" x14ac:dyDescent="0.25">
      <c r="F877" s="54"/>
    </row>
    <row r="878" spans="6:6" ht="15.75" customHeight="1" x14ac:dyDescent="0.25">
      <c r="F878" s="54"/>
    </row>
    <row r="879" spans="6:6" ht="15.75" customHeight="1" x14ac:dyDescent="0.25">
      <c r="F879" s="54"/>
    </row>
    <row r="880" spans="6:6" ht="15.75" customHeight="1" x14ac:dyDescent="0.25">
      <c r="F880" s="54"/>
    </row>
    <row r="881" spans="6:6" ht="15.75" customHeight="1" x14ac:dyDescent="0.25">
      <c r="F881" s="54"/>
    </row>
    <row r="882" spans="6:6" ht="15.75" customHeight="1" x14ac:dyDescent="0.25">
      <c r="F882" s="54"/>
    </row>
    <row r="883" spans="6:6" ht="15.75" customHeight="1" x14ac:dyDescent="0.25">
      <c r="F883" s="54"/>
    </row>
    <row r="884" spans="6:6" ht="15.75" customHeight="1" x14ac:dyDescent="0.25">
      <c r="F884" s="54"/>
    </row>
    <row r="885" spans="6:6" ht="15.75" customHeight="1" x14ac:dyDescent="0.25">
      <c r="F885" s="54"/>
    </row>
    <row r="886" spans="6:6" ht="15.75" customHeight="1" x14ac:dyDescent="0.25">
      <c r="F886" s="54"/>
    </row>
    <row r="887" spans="6:6" ht="15.75" customHeight="1" x14ac:dyDescent="0.25">
      <c r="F887" s="54"/>
    </row>
    <row r="888" spans="6:6" ht="15.75" customHeight="1" x14ac:dyDescent="0.25">
      <c r="F888" s="54"/>
    </row>
    <row r="889" spans="6:6" ht="15.75" customHeight="1" x14ac:dyDescent="0.25">
      <c r="F889" s="54"/>
    </row>
    <row r="890" spans="6:6" ht="15.75" customHeight="1" x14ac:dyDescent="0.25">
      <c r="F890" s="54"/>
    </row>
    <row r="891" spans="6:6" ht="15.75" customHeight="1" x14ac:dyDescent="0.25">
      <c r="F891" s="54"/>
    </row>
    <row r="892" spans="6:6" ht="15.75" customHeight="1" x14ac:dyDescent="0.25">
      <c r="F892" s="54"/>
    </row>
    <row r="893" spans="6:6" ht="15.75" customHeight="1" x14ac:dyDescent="0.25">
      <c r="F893" s="54"/>
    </row>
    <row r="894" spans="6:6" ht="15.75" customHeight="1" x14ac:dyDescent="0.25">
      <c r="F894" s="54"/>
    </row>
    <row r="895" spans="6:6" ht="15.75" customHeight="1" x14ac:dyDescent="0.25">
      <c r="F895" s="54"/>
    </row>
    <row r="896" spans="6:6" ht="15.75" customHeight="1" x14ac:dyDescent="0.25">
      <c r="F896" s="54"/>
    </row>
    <row r="897" spans="6:6" ht="15.75" customHeight="1" x14ac:dyDescent="0.25">
      <c r="F897" s="54"/>
    </row>
    <row r="898" spans="6:6" ht="15.75" customHeight="1" x14ac:dyDescent="0.25">
      <c r="F898" s="54"/>
    </row>
    <row r="899" spans="6:6" ht="15.75" customHeight="1" x14ac:dyDescent="0.25">
      <c r="F899" s="54"/>
    </row>
    <row r="900" spans="6:6" ht="15.75" customHeight="1" x14ac:dyDescent="0.25">
      <c r="F900" s="54"/>
    </row>
    <row r="901" spans="6:6" ht="15.75" customHeight="1" x14ac:dyDescent="0.25">
      <c r="F901" s="54"/>
    </row>
    <row r="902" spans="6:6" ht="15.75" customHeight="1" x14ac:dyDescent="0.25">
      <c r="F902" s="54"/>
    </row>
    <row r="903" spans="6:6" ht="15.75" customHeight="1" x14ac:dyDescent="0.25">
      <c r="F903" s="54"/>
    </row>
    <row r="904" spans="6:6" ht="15.75" customHeight="1" x14ac:dyDescent="0.25">
      <c r="F904" s="54"/>
    </row>
    <row r="905" spans="6:6" ht="15.75" customHeight="1" x14ac:dyDescent="0.25">
      <c r="F905" s="54"/>
    </row>
    <row r="906" spans="6:6" ht="15.75" customHeight="1" x14ac:dyDescent="0.25">
      <c r="F906" s="54"/>
    </row>
    <row r="907" spans="6:6" ht="15.75" customHeight="1" x14ac:dyDescent="0.25">
      <c r="F907" s="54"/>
    </row>
    <row r="908" spans="6:6" ht="15.75" customHeight="1" x14ac:dyDescent="0.25">
      <c r="F908" s="54"/>
    </row>
    <row r="909" spans="6:6" ht="15.75" customHeight="1" x14ac:dyDescent="0.25">
      <c r="F909" s="54"/>
    </row>
    <row r="910" spans="6:6" ht="15.75" customHeight="1" x14ac:dyDescent="0.25">
      <c r="F910" s="54"/>
    </row>
    <row r="911" spans="6:6" ht="15.75" customHeight="1" x14ac:dyDescent="0.25">
      <c r="F911" s="54"/>
    </row>
    <row r="912" spans="6:6" ht="15.75" customHeight="1" x14ac:dyDescent="0.25">
      <c r="F912" s="54"/>
    </row>
    <row r="913" spans="6:6" ht="15.75" customHeight="1" x14ac:dyDescent="0.25">
      <c r="F913" s="54"/>
    </row>
    <row r="914" spans="6:6" ht="15.75" customHeight="1" x14ac:dyDescent="0.25">
      <c r="F914" s="54"/>
    </row>
    <row r="915" spans="6:6" ht="15.75" customHeight="1" x14ac:dyDescent="0.25">
      <c r="F915" s="54"/>
    </row>
    <row r="916" spans="6:6" ht="15.75" customHeight="1" x14ac:dyDescent="0.25">
      <c r="F916" s="54"/>
    </row>
    <row r="917" spans="6:6" ht="15.75" customHeight="1" x14ac:dyDescent="0.25">
      <c r="F917" s="54"/>
    </row>
    <row r="918" spans="6:6" ht="15.75" customHeight="1" x14ac:dyDescent="0.25">
      <c r="F918" s="54"/>
    </row>
    <row r="919" spans="6:6" ht="15.75" customHeight="1" x14ac:dyDescent="0.25">
      <c r="F919" s="54"/>
    </row>
    <row r="920" spans="6:6" ht="15.75" customHeight="1" x14ac:dyDescent="0.25">
      <c r="F920" s="54"/>
    </row>
    <row r="921" spans="6:6" ht="15.75" customHeight="1" x14ac:dyDescent="0.25">
      <c r="F921" s="54"/>
    </row>
    <row r="922" spans="6:6" ht="15.75" customHeight="1" x14ac:dyDescent="0.25">
      <c r="F922" s="54"/>
    </row>
    <row r="923" spans="6:6" ht="15.75" customHeight="1" x14ac:dyDescent="0.25">
      <c r="F923" s="54"/>
    </row>
    <row r="924" spans="6:6" ht="15.75" customHeight="1" x14ac:dyDescent="0.25">
      <c r="F924" s="54"/>
    </row>
    <row r="925" spans="6:6" ht="15.75" customHeight="1" x14ac:dyDescent="0.25">
      <c r="F925" s="54"/>
    </row>
    <row r="926" spans="6:6" ht="15.75" customHeight="1" x14ac:dyDescent="0.25">
      <c r="F926" s="54"/>
    </row>
    <row r="927" spans="6:6" ht="15.75" customHeight="1" x14ac:dyDescent="0.25">
      <c r="F927" s="54"/>
    </row>
    <row r="928" spans="6:6" ht="15.75" customHeight="1" x14ac:dyDescent="0.25">
      <c r="F928" s="54"/>
    </row>
    <row r="929" spans="6:6" ht="15.75" customHeight="1" x14ac:dyDescent="0.25">
      <c r="F929" s="54"/>
    </row>
    <row r="930" spans="6:6" ht="15.75" customHeight="1" x14ac:dyDescent="0.25">
      <c r="F930" s="54"/>
    </row>
    <row r="931" spans="6:6" ht="15.75" customHeight="1" x14ac:dyDescent="0.25">
      <c r="F931" s="54"/>
    </row>
    <row r="932" spans="6:6" ht="15.75" customHeight="1" x14ac:dyDescent="0.25">
      <c r="F932" s="54"/>
    </row>
    <row r="933" spans="6:6" ht="15.75" customHeight="1" x14ac:dyDescent="0.25">
      <c r="F933" s="54"/>
    </row>
    <row r="934" spans="6:6" ht="15.75" customHeight="1" x14ac:dyDescent="0.25">
      <c r="F934" s="54"/>
    </row>
    <row r="935" spans="6:6" ht="15.75" customHeight="1" x14ac:dyDescent="0.25">
      <c r="F935" s="54"/>
    </row>
    <row r="936" spans="6:6" ht="15.75" customHeight="1" x14ac:dyDescent="0.25">
      <c r="F936" s="54"/>
    </row>
    <row r="937" spans="6:6" ht="15.75" customHeight="1" x14ac:dyDescent="0.25">
      <c r="F937" s="54"/>
    </row>
    <row r="938" spans="6:6" ht="15.75" customHeight="1" x14ac:dyDescent="0.25">
      <c r="F938" s="54"/>
    </row>
    <row r="939" spans="6:6" ht="15.75" customHeight="1" x14ac:dyDescent="0.25">
      <c r="F939" s="54"/>
    </row>
    <row r="940" spans="6:6" ht="15.75" customHeight="1" x14ac:dyDescent="0.25">
      <c r="F940" s="54"/>
    </row>
    <row r="941" spans="6:6" ht="15.75" customHeight="1" x14ac:dyDescent="0.25">
      <c r="F941" s="54"/>
    </row>
    <row r="942" spans="6:6" ht="15.75" customHeight="1" x14ac:dyDescent="0.25">
      <c r="F942" s="54"/>
    </row>
    <row r="943" spans="6:6" ht="15.75" customHeight="1" x14ac:dyDescent="0.25">
      <c r="F943" s="54"/>
    </row>
    <row r="944" spans="6:6" ht="15.75" customHeight="1" x14ac:dyDescent="0.25">
      <c r="F944" s="54"/>
    </row>
    <row r="945" spans="6:6" ht="15.75" customHeight="1" x14ac:dyDescent="0.25">
      <c r="F945" s="54"/>
    </row>
    <row r="946" spans="6:6" ht="15.75" customHeight="1" x14ac:dyDescent="0.25">
      <c r="F946" s="54"/>
    </row>
    <row r="947" spans="6:6" ht="15.75" customHeight="1" x14ac:dyDescent="0.25">
      <c r="F947" s="54"/>
    </row>
    <row r="948" spans="6:6" ht="15.75" customHeight="1" x14ac:dyDescent="0.25">
      <c r="F948" s="54"/>
    </row>
    <row r="949" spans="6:6" ht="15.75" customHeight="1" x14ac:dyDescent="0.25">
      <c r="F949" s="54"/>
    </row>
    <row r="950" spans="6:6" ht="15.75" customHeight="1" x14ac:dyDescent="0.25">
      <c r="F950" s="54"/>
    </row>
    <row r="951" spans="6:6" ht="15.75" customHeight="1" x14ac:dyDescent="0.25">
      <c r="F951" s="54"/>
    </row>
    <row r="952" spans="6:6" ht="15.75" customHeight="1" x14ac:dyDescent="0.25">
      <c r="F952" s="54"/>
    </row>
    <row r="953" spans="6:6" ht="15.75" customHeight="1" x14ac:dyDescent="0.25">
      <c r="F953" s="54"/>
    </row>
    <row r="954" spans="6:6" ht="15.75" customHeight="1" x14ac:dyDescent="0.25">
      <c r="F954" s="54"/>
    </row>
    <row r="955" spans="6:6" ht="15.75" customHeight="1" x14ac:dyDescent="0.25">
      <c r="F955" s="54"/>
    </row>
    <row r="956" spans="6:6" ht="15.75" customHeight="1" x14ac:dyDescent="0.25">
      <c r="F956" s="54"/>
    </row>
    <row r="957" spans="6:6" ht="15.75" customHeight="1" x14ac:dyDescent="0.25">
      <c r="F957" s="54"/>
    </row>
    <row r="958" spans="6:6" ht="15.75" customHeight="1" x14ac:dyDescent="0.25">
      <c r="F958" s="54"/>
    </row>
    <row r="959" spans="6:6" ht="15.75" customHeight="1" x14ac:dyDescent="0.25">
      <c r="F959" s="54"/>
    </row>
    <row r="960" spans="6:6" ht="15.75" customHeight="1" x14ac:dyDescent="0.25">
      <c r="F960" s="54"/>
    </row>
    <row r="961" spans="6:6" ht="15.75" customHeight="1" x14ac:dyDescent="0.25">
      <c r="F961" s="54"/>
    </row>
    <row r="962" spans="6:6" ht="15.75" customHeight="1" x14ac:dyDescent="0.25">
      <c r="F962" s="54"/>
    </row>
    <row r="963" spans="6:6" ht="15.75" customHeight="1" x14ac:dyDescent="0.25">
      <c r="F963" s="54"/>
    </row>
    <row r="964" spans="6:6" ht="15.75" customHeight="1" x14ac:dyDescent="0.25">
      <c r="F964" s="54"/>
    </row>
    <row r="965" spans="6:6" ht="15.75" customHeight="1" x14ac:dyDescent="0.25">
      <c r="F965" s="54"/>
    </row>
    <row r="966" spans="6:6" ht="15.75" customHeight="1" x14ac:dyDescent="0.25">
      <c r="F966" s="54"/>
    </row>
    <row r="967" spans="6:6" ht="15.75" customHeight="1" x14ac:dyDescent="0.25">
      <c r="F967" s="54"/>
    </row>
    <row r="968" spans="6:6" ht="15.75" customHeight="1" x14ac:dyDescent="0.25">
      <c r="F968" s="54"/>
    </row>
    <row r="969" spans="6:6" ht="15.75" customHeight="1" x14ac:dyDescent="0.25">
      <c r="F969" s="54"/>
    </row>
    <row r="970" spans="6:6" ht="15.75" customHeight="1" x14ac:dyDescent="0.25">
      <c r="F970" s="54"/>
    </row>
    <row r="971" spans="6:6" ht="15.75" customHeight="1" x14ac:dyDescent="0.25">
      <c r="F971" s="54"/>
    </row>
    <row r="972" spans="6:6" ht="15.75" customHeight="1" x14ac:dyDescent="0.25">
      <c r="F972" s="54"/>
    </row>
    <row r="973" spans="6:6" ht="15.75" customHeight="1" x14ac:dyDescent="0.25">
      <c r="F973" s="54"/>
    </row>
    <row r="974" spans="6:6" ht="15.75" customHeight="1" x14ac:dyDescent="0.25">
      <c r="F974" s="54"/>
    </row>
    <row r="975" spans="6:6" ht="15.75" customHeight="1" x14ac:dyDescent="0.25">
      <c r="F975" s="54"/>
    </row>
    <row r="976" spans="6:6" ht="15.75" customHeight="1" x14ac:dyDescent="0.25">
      <c r="F976" s="54"/>
    </row>
    <row r="977" spans="6:6" ht="15.75" customHeight="1" x14ac:dyDescent="0.25">
      <c r="F977" s="54"/>
    </row>
    <row r="978" spans="6:6" ht="15.75" customHeight="1" x14ac:dyDescent="0.25">
      <c r="F978" s="54"/>
    </row>
    <row r="979" spans="6:6" ht="15.75" customHeight="1" x14ac:dyDescent="0.25">
      <c r="F979" s="54"/>
    </row>
    <row r="980" spans="6:6" ht="15.75" customHeight="1" x14ac:dyDescent="0.25">
      <c r="F980" s="54"/>
    </row>
    <row r="981" spans="6:6" ht="15.75" customHeight="1" x14ac:dyDescent="0.25">
      <c r="F981" s="54"/>
    </row>
    <row r="982" spans="6:6" ht="15.75" customHeight="1" x14ac:dyDescent="0.25">
      <c r="F982" s="54"/>
    </row>
    <row r="983" spans="6:6" ht="15.75" customHeight="1" x14ac:dyDescent="0.25">
      <c r="F983" s="54"/>
    </row>
    <row r="984" spans="6:6" ht="15.75" customHeight="1" x14ac:dyDescent="0.25">
      <c r="F984" s="54"/>
    </row>
    <row r="985" spans="6:6" ht="15.75" customHeight="1" x14ac:dyDescent="0.25">
      <c r="F985" s="54"/>
    </row>
    <row r="986" spans="6:6" ht="15.75" customHeight="1" x14ac:dyDescent="0.25">
      <c r="F986" s="54"/>
    </row>
  </sheetData>
  <mergeCells count="1">
    <mergeCell ref="A2:M2"/>
  </mergeCells>
  <conditionalFormatting sqref="L2:L18 L20:L31 L33:L41 C44:J44">
    <cfRule type="cellIs" dxfId="4" priority="1" stopIfTrue="1" operator="equal">
      <formula>0</formula>
    </cfRule>
    <cfRule type="cellIs" dxfId="3" priority="2" stopIfTrue="1" operator="greaterThan">
      <formula>0</formula>
    </cfRule>
    <cfRule type="cellIs" dxfId="2" priority="3" stopIfTrue="1" operator="lessThan">
      <formula>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98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Y10" sqref="Y10"/>
    </sheetView>
  </sheetViews>
  <sheetFormatPr defaultColWidth="14.42578125" defaultRowHeight="15" customHeight="1" x14ac:dyDescent="0.25"/>
  <cols>
    <col min="1" max="1" width="5.85546875" customWidth="1"/>
    <col min="2" max="2" width="35.140625" bestFit="1" customWidth="1"/>
    <col min="3" max="3" width="5.140625" customWidth="1"/>
    <col min="4" max="4" width="4.28515625" customWidth="1"/>
    <col min="5" max="5" width="5.28515625" customWidth="1"/>
    <col min="6" max="6" width="4.28515625" customWidth="1"/>
    <col min="7" max="7" width="3.28515625" customWidth="1"/>
    <col min="8" max="8" width="5.140625" customWidth="1"/>
    <col min="9" max="9" width="4.28515625" customWidth="1"/>
    <col min="10" max="10" width="5.28515625" customWidth="1"/>
    <col min="11" max="11" width="4.28515625" customWidth="1"/>
    <col min="12" max="12" width="3.28515625" customWidth="1"/>
    <col min="13" max="13" width="5.140625" customWidth="1"/>
    <col min="14" max="14" width="4.28515625" customWidth="1"/>
    <col min="15" max="15" width="5.28515625" customWidth="1"/>
    <col min="16" max="16" width="4.28515625" customWidth="1"/>
    <col min="17" max="17" width="3.28515625" customWidth="1"/>
    <col min="18" max="18" width="5.140625" customWidth="1"/>
    <col min="19" max="19" width="4.28515625" customWidth="1"/>
    <col min="20" max="20" width="5.28515625" customWidth="1"/>
    <col min="21" max="21" width="4.28515625" customWidth="1"/>
    <col min="22" max="22" width="3.28515625" customWidth="1"/>
    <col min="23" max="23" width="11.28515625" customWidth="1"/>
  </cols>
  <sheetData>
    <row r="1" spans="1:23" ht="15.75" thickBot="1" x14ac:dyDescent="0.3">
      <c r="A1" s="2" t="s">
        <v>0</v>
      </c>
      <c r="B1" s="2" t="s">
        <v>1</v>
      </c>
      <c r="C1" s="109" t="s">
        <v>2</v>
      </c>
      <c r="D1" s="107"/>
      <c r="E1" s="107"/>
      <c r="F1" s="107"/>
      <c r="G1" s="107"/>
      <c r="H1" s="110" t="s">
        <v>20</v>
      </c>
      <c r="I1" s="107"/>
      <c r="J1" s="107"/>
      <c r="K1" s="107"/>
      <c r="L1" s="107"/>
      <c r="M1" s="106" t="s">
        <v>23</v>
      </c>
      <c r="N1" s="107"/>
      <c r="O1" s="107"/>
      <c r="P1" s="107"/>
      <c r="Q1" s="107"/>
      <c r="R1" s="108" t="s">
        <v>24</v>
      </c>
      <c r="S1" s="107"/>
      <c r="T1" s="107"/>
      <c r="U1" s="107"/>
      <c r="V1" s="107"/>
      <c r="W1" s="14" t="s">
        <v>25</v>
      </c>
    </row>
    <row r="2" spans="1:23" ht="15.75" thickBot="1" x14ac:dyDescent="0.3">
      <c r="A2" s="97"/>
      <c r="B2" s="97" t="s">
        <v>53</v>
      </c>
      <c r="C2" s="18" t="s">
        <v>29</v>
      </c>
      <c r="D2" s="18" t="s">
        <v>30</v>
      </c>
      <c r="E2" s="18" t="s">
        <v>31</v>
      </c>
      <c r="F2" s="18" t="s">
        <v>32</v>
      </c>
      <c r="G2" s="18" t="s">
        <v>35</v>
      </c>
      <c r="H2" s="19" t="s">
        <v>29</v>
      </c>
      <c r="I2" s="19" t="s">
        <v>30</v>
      </c>
      <c r="J2" s="19" t="s">
        <v>31</v>
      </c>
      <c r="K2" s="19" t="s">
        <v>32</v>
      </c>
      <c r="L2" s="19" t="s">
        <v>35</v>
      </c>
      <c r="M2" s="23" t="s">
        <v>29</v>
      </c>
      <c r="N2" s="23" t="s">
        <v>30</v>
      </c>
      <c r="O2" s="23" t="s">
        <v>31</v>
      </c>
      <c r="P2" s="23" t="s">
        <v>32</v>
      </c>
      <c r="Q2" s="23" t="s">
        <v>35</v>
      </c>
      <c r="R2" s="25" t="s">
        <v>29</v>
      </c>
      <c r="S2" s="25" t="s">
        <v>30</v>
      </c>
      <c r="T2" s="25" t="s">
        <v>31</v>
      </c>
      <c r="U2" s="25" t="s">
        <v>32</v>
      </c>
      <c r="V2" s="25" t="s">
        <v>35</v>
      </c>
      <c r="W2" s="27"/>
    </row>
    <row r="3" spans="1:23" ht="15.75" thickBot="1" x14ac:dyDescent="0.3">
      <c r="A3" s="29">
        <f>Commercial!A3</f>
        <v>1291</v>
      </c>
      <c r="B3" s="30" t="str">
        <f>_xlfn.XLOOKUP(A3,Commercial!A:A,Commercial!B:B)</f>
        <v>Raven Mitchell (Commercial)</v>
      </c>
      <c r="C3" s="34">
        <f>IFERROR(SUMIF('COM Winbacks'!$A:$A,$A3,'COM Winbacks'!C:C),0)</f>
        <v>0</v>
      </c>
      <c r="D3" s="35">
        <f>IFERROR(SUMIF('COM Winbacks'!$A:$A,$A3,'COM Winbacks'!D:D),0)</f>
        <v>0</v>
      </c>
      <c r="E3" s="35">
        <f>IFERROR(SUMIF('COM Winbacks'!$A:$A,$A3,'COM Winbacks'!E:E),0)</f>
        <v>0</v>
      </c>
      <c r="F3" s="35">
        <f>IFERROR(SUMIF('COM Winbacks'!$A:$A,$A3,'COM Winbacks'!F:F),0)</f>
        <v>0</v>
      </c>
      <c r="G3" s="39">
        <f>IFERROR(SUMIF('COM Winbacks'!$A:$A,$A3,'COM Winbacks'!G:G),0)</f>
        <v>0</v>
      </c>
      <c r="H3" s="50">
        <f>IFERROR(SUMIF(Residential!$A:$A,$A3,Residential!C:C),0)</f>
        <v>0</v>
      </c>
      <c r="I3" s="35">
        <f>IFERROR(SUMIF(Residential!$A:$A,$A3,Residential!D:D),0)</f>
        <v>0</v>
      </c>
      <c r="J3" s="35">
        <f>IFERROR(SUMIF(Residential!$A:$A,$A3,Residential!E:E),0)</f>
        <v>0</v>
      </c>
      <c r="K3" s="35">
        <f>IFERROR(SUMIF(Residential!$A:$A,$A3,Residential!F:F),0)</f>
        <v>0</v>
      </c>
      <c r="L3" s="39">
        <f>IFERROR(SUMIF(Residential!$A:$A,$A3,Residential!G:G),0)</f>
        <v>0</v>
      </c>
      <c r="M3" s="50">
        <f>IFERROR(SUMIF(Commercial!$A$3:$A$15,$A3,Commercial!C$3:C$15),0)</f>
        <v>0</v>
      </c>
      <c r="N3" s="35">
        <f>IFERROR(SUMIF(Commercial!$A$3:$A$15,$A3,Commercial!D$3:D$15),0)</f>
        <v>0</v>
      </c>
      <c r="O3" s="35">
        <f>IFERROR(SUMIF(Commercial!$A$3:$A$15,$A3,Commercial!E$3:E$15),0)</f>
        <v>0</v>
      </c>
      <c r="P3" s="35">
        <f>IFERROR(SUMIF(Commercial!$A$3:$A$15,$A3,Commercial!F$3:F$15),0)</f>
        <v>0</v>
      </c>
      <c r="Q3" s="39">
        <f>IFERROR(SUMIF(Commercial!$A$3:$A$15,$A3,Commercial!G$3:G$15),0)</f>
        <v>0</v>
      </c>
      <c r="R3" s="63">
        <f t="shared" ref="R3:R13" si="0">C3+H3+M3</f>
        <v>0</v>
      </c>
      <c r="S3" s="64">
        <f t="shared" ref="S3:S13" si="1">D3+I3+N3</f>
        <v>0</v>
      </c>
      <c r="T3" s="64">
        <f t="shared" ref="T3:T13" si="2">E3+J3+O3</f>
        <v>0</v>
      </c>
      <c r="U3" s="65">
        <f t="shared" ref="U3:U13" si="3">F3+K3+P3</f>
        <v>0</v>
      </c>
      <c r="V3" s="66">
        <f t="shared" ref="V3:V13" si="4">G3+L3+Q3</f>
        <v>0</v>
      </c>
      <c r="W3" s="68">
        <f t="shared" ref="W3:W13" si="5">SUM(R3:V3)</f>
        <v>0</v>
      </c>
    </row>
    <row r="4" spans="1:23" ht="15.75" thickBot="1" x14ac:dyDescent="0.3">
      <c r="A4" s="29">
        <f>Commercial!A4</f>
        <v>1292</v>
      </c>
      <c r="B4" s="30" t="str">
        <f>_xlfn.XLOOKUP(A4,Commercial!A:A,Commercial!B:B)</f>
        <v>Jakarta Hunter (Commercial)</v>
      </c>
      <c r="C4" s="34">
        <f>IFERROR(SUMIF('COM Winbacks'!$A:$A,$A4,'COM Winbacks'!C:C),0)</f>
        <v>0</v>
      </c>
      <c r="D4" s="35">
        <f>IFERROR(SUMIF('COM Winbacks'!$A:$A,$A4,'COM Winbacks'!D:D),0)</f>
        <v>0</v>
      </c>
      <c r="E4" s="35">
        <f>IFERROR(SUMIF('COM Winbacks'!$A:$A,$A4,'COM Winbacks'!E:E),0)</f>
        <v>0</v>
      </c>
      <c r="F4" s="35">
        <f>IFERROR(SUMIF('COM Winbacks'!$A:$A,$A4,'COM Winbacks'!F:F),0)</f>
        <v>0</v>
      </c>
      <c r="G4" s="39">
        <f>IFERROR(SUMIF('COM Winbacks'!$A:$A,$A4,'COM Winbacks'!G:G),0)</f>
        <v>0</v>
      </c>
      <c r="H4" s="50">
        <f>IFERROR(SUMIF(Residential!$A:$A,$A4,Residential!C:C),0)</f>
        <v>0</v>
      </c>
      <c r="I4" s="35">
        <f>IFERROR(SUMIF(Residential!$A:$A,$A4,Residential!D:D),0)</f>
        <v>0</v>
      </c>
      <c r="J4" s="35">
        <f>IFERROR(SUMIF(Residential!$A:$A,$A4,Residential!E:E),0)</f>
        <v>0</v>
      </c>
      <c r="K4" s="35">
        <f>IFERROR(SUMIF(Residential!$A:$A,$A4,Residential!F:F),0)</f>
        <v>0</v>
      </c>
      <c r="L4" s="39">
        <f>IFERROR(SUMIF(Residential!$A:$A,$A4,Residential!G:G),0)</f>
        <v>0</v>
      </c>
      <c r="M4" s="50">
        <f>IFERROR(SUMIF(Commercial!$A$3:$A$15,$A4,Commercial!C$3:C$15),0)</f>
        <v>1</v>
      </c>
      <c r="N4" s="35">
        <f>IFERROR(SUMIF(Commercial!$A$3:$A$15,$A4,Commercial!D$3:D$15),0)</f>
        <v>0</v>
      </c>
      <c r="O4" s="35">
        <f>IFERROR(SUMIF(Commercial!$A$3:$A$15,$A4,Commercial!E$3:E$15),0)</f>
        <v>0</v>
      </c>
      <c r="P4" s="35">
        <f>IFERROR(SUMIF(Commercial!$A$3:$A$15,$A4,Commercial!F$3:F$15),0)</f>
        <v>0</v>
      </c>
      <c r="Q4" s="39">
        <f>IFERROR(SUMIF(Commercial!$A$3:$A$15,$A4,Commercial!G$3:G$15),0)</f>
        <v>0</v>
      </c>
      <c r="R4" s="63">
        <f t="shared" si="0"/>
        <v>1</v>
      </c>
      <c r="S4" s="64">
        <f t="shared" si="1"/>
        <v>0</v>
      </c>
      <c r="T4" s="64">
        <f t="shared" si="2"/>
        <v>0</v>
      </c>
      <c r="U4" s="65">
        <f t="shared" si="3"/>
        <v>0</v>
      </c>
      <c r="V4" s="66">
        <f t="shared" si="4"/>
        <v>0</v>
      </c>
      <c r="W4" s="68">
        <f t="shared" si="5"/>
        <v>1</v>
      </c>
    </row>
    <row r="5" spans="1:23" ht="15.75" thickBot="1" x14ac:dyDescent="0.3">
      <c r="A5" s="29">
        <f>Commercial!A5</f>
        <v>1295</v>
      </c>
      <c r="B5" s="30" t="str">
        <f>_xlfn.XLOOKUP(A5,Commercial!A:A,Commercial!B:B)</f>
        <v>Luis Buitrago (Commercial)</v>
      </c>
      <c r="C5" s="34">
        <f>IFERROR(SUMIF('COM Winbacks'!$A:$A,$A5,'COM Winbacks'!C:C),0)</f>
        <v>0</v>
      </c>
      <c r="D5" s="35">
        <f>IFERROR(SUMIF('COM Winbacks'!$A:$A,$A5,'COM Winbacks'!D:D),0)</f>
        <v>0</v>
      </c>
      <c r="E5" s="35">
        <f>IFERROR(SUMIF('COM Winbacks'!$A:$A,$A5,'COM Winbacks'!E:E),0)</f>
        <v>0</v>
      </c>
      <c r="F5" s="35">
        <f>IFERROR(SUMIF('COM Winbacks'!$A:$A,$A5,'COM Winbacks'!F:F),0)</f>
        <v>0</v>
      </c>
      <c r="G5" s="39">
        <f>IFERROR(SUMIF('COM Winbacks'!$A:$A,$A5,'COM Winbacks'!G:G),0)</f>
        <v>0</v>
      </c>
      <c r="H5" s="50">
        <f>IFERROR(SUMIF(Residential!$A:$A,$A5,Residential!C:C),0)</f>
        <v>0</v>
      </c>
      <c r="I5" s="35">
        <f>IFERROR(SUMIF(Residential!$A:$A,$A5,Residential!D:D),0)</f>
        <v>0</v>
      </c>
      <c r="J5" s="35">
        <f>IFERROR(SUMIF(Residential!$A:$A,$A5,Residential!E:E),0)</f>
        <v>0</v>
      </c>
      <c r="K5" s="35">
        <f>IFERROR(SUMIF(Residential!$A:$A,$A5,Residential!F:F),0)</f>
        <v>0</v>
      </c>
      <c r="L5" s="39">
        <f>IFERROR(SUMIF(Residential!$A:$A,$A5,Residential!G:G),0)</f>
        <v>0</v>
      </c>
      <c r="M5" s="50">
        <f>IFERROR(SUMIF(Commercial!$A$3:$A$15,$A5,Commercial!C$3:C$15),0)</f>
        <v>0</v>
      </c>
      <c r="N5" s="35">
        <f>IFERROR(SUMIF(Commercial!$A$3:$A$15,$A5,Commercial!D$3:D$15),0)</f>
        <v>0</v>
      </c>
      <c r="O5" s="35">
        <f>IFERROR(SUMIF(Commercial!$A$3:$A$15,$A5,Commercial!E$3:E$15),0)</f>
        <v>0</v>
      </c>
      <c r="P5" s="35">
        <f>IFERROR(SUMIF(Commercial!$A$3:$A$15,$A5,Commercial!F$3:F$15),0)</f>
        <v>0</v>
      </c>
      <c r="Q5" s="39">
        <f>IFERROR(SUMIF(Commercial!$A$3:$A$15,$A5,Commercial!G$3:G$15),0)</f>
        <v>0</v>
      </c>
      <c r="R5" s="63">
        <f t="shared" si="0"/>
        <v>0</v>
      </c>
      <c r="S5" s="64">
        <f t="shared" si="1"/>
        <v>0</v>
      </c>
      <c r="T5" s="64">
        <f t="shared" si="2"/>
        <v>0</v>
      </c>
      <c r="U5" s="65">
        <f t="shared" si="3"/>
        <v>0</v>
      </c>
      <c r="V5" s="66">
        <f t="shared" si="4"/>
        <v>0</v>
      </c>
      <c r="W5" s="68">
        <f t="shared" si="5"/>
        <v>0</v>
      </c>
    </row>
    <row r="6" spans="1:23" ht="15.75" thickBot="1" x14ac:dyDescent="0.3">
      <c r="A6" s="29">
        <f>Commercial!A6</f>
        <v>1290</v>
      </c>
      <c r="B6" s="30" t="str">
        <f>_xlfn.XLOOKUP(A6,Commercial!A:A,Commercial!B:B)</f>
        <v>Abigail Gambino (Commercial-Closer)</v>
      </c>
      <c r="C6" s="34">
        <f>IFERROR(SUMIF('COM Winbacks'!$A:$A,$A6,'COM Winbacks'!C:C),0)</f>
        <v>0</v>
      </c>
      <c r="D6" s="35">
        <f>IFERROR(SUMIF('COM Winbacks'!$A:$A,$A6,'COM Winbacks'!D:D),0)</f>
        <v>0</v>
      </c>
      <c r="E6" s="35">
        <f>IFERROR(SUMIF('COM Winbacks'!$A:$A,$A6,'COM Winbacks'!E:E),0)</f>
        <v>0</v>
      </c>
      <c r="F6" s="35">
        <f>IFERROR(SUMIF('COM Winbacks'!$A:$A,$A6,'COM Winbacks'!F:F),0)</f>
        <v>0</v>
      </c>
      <c r="G6" s="39">
        <f>IFERROR(SUMIF('COM Winbacks'!$A:$A,$A6,'COM Winbacks'!G:G),0)</f>
        <v>0</v>
      </c>
      <c r="H6" s="50">
        <f>IFERROR(SUMIF(Residential!$A:$A,$A6,Residential!C:C),0)</f>
        <v>0</v>
      </c>
      <c r="I6" s="35">
        <f>IFERROR(SUMIF(Residential!$A:$A,$A6,Residential!D:D),0)</f>
        <v>0</v>
      </c>
      <c r="J6" s="35">
        <f>IFERROR(SUMIF(Residential!$A:$A,$A6,Residential!E:E),0)</f>
        <v>0</v>
      </c>
      <c r="K6" s="35">
        <f>IFERROR(SUMIF(Residential!$A:$A,$A6,Residential!F:F),0)</f>
        <v>0</v>
      </c>
      <c r="L6" s="39">
        <f>IFERROR(SUMIF(Residential!$A:$A,$A6,Residential!G:G),0)</f>
        <v>0</v>
      </c>
      <c r="M6" s="50">
        <f>IFERROR(SUMIF(Commercial!$A$3:$A$15,$A6,Commercial!C$3:C$15),0)</f>
        <v>0</v>
      </c>
      <c r="N6" s="35">
        <f>IFERROR(SUMIF(Commercial!$A$3:$A$15,$A6,Commercial!D$3:D$15),0)</f>
        <v>0</v>
      </c>
      <c r="O6" s="35">
        <f>IFERROR(SUMIF(Commercial!$A$3:$A$15,$A6,Commercial!E$3:E$15),0)</f>
        <v>0</v>
      </c>
      <c r="P6" s="35">
        <f>IFERROR(SUMIF(Commercial!$A$3:$A$15,$A6,Commercial!F$3:F$15),0)</f>
        <v>0</v>
      </c>
      <c r="Q6" s="39">
        <f>IFERROR(SUMIF(Commercial!$A$3:$A$15,$A6,Commercial!G$3:G$15),0)</f>
        <v>0</v>
      </c>
      <c r="R6" s="63">
        <f t="shared" si="0"/>
        <v>0</v>
      </c>
      <c r="S6" s="64">
        <f t="shared" si="1"/>
        <v>0</v>
      </c>
      <c r="T6" s="64">
        <f t="shared" si="2"/>
        <v>0</v>
      </c>
      <c r="U6" s="65">
        <f t="shared" si="3"/>
        <v>0</v>
      </c>
      <c r="V6" s="66">
        <f t="shared" si="4"/>
        <v>0</v>
      </c>
      <c r="W6" s="68">
        <f t="shared" si="5"/>
        <v>0</v>
      </c>
    </row>
    <row r="7" spans="1:23" ht="15.75" thickBot="1" x14ac:dyDescent="0.3">
      <c r="A7" s="29">
        <f>Commercial!A7</f>
        <v>1288</v>
      </c>
      <c r="B7" s="30" t="str">
        <f>_xlfn.XLOOKUP(A7,Commercial!A:A,Commercial!B:B)</f>
        <v>Allen Alberts(Commercial-Closer)</v>
      </c>
      <c r="C7" s="34">
        <f>IFERROR(SUMIF('COM Winbacks'!$A:$A,$A7,'COM Winbacks'!C:C),0)</f>
        <v>0</v>
      </c>
      <c r="D7" s="35">
        <f>IFERROR(SUMIF('COM Winbacks'!$A:$A,$A7,'COM Winbacks'!D:D),0)</f>
        <v>0</v>
      </c>
      <c r="E7" s="35">
        <f>IFERROR(SUMIF('COM Winbacks'!$A:$A,$A7,'COM Winbacks'!E:E),0)</f>
        <v>0</v>
      </c>
      <c r="F7" s="35">
        <f>IFERROR(SUMIF('COM Winbacks'!$A:$A,$A7,'COM Winbacks'!F:F),0)</f>
        <v>0</v>
      </c>
      <c r="G7" s="39">
        <f>IFERROR(SUMIF('COM Winbacks'!$A:$A,$A7,'COM Winbacks'!G:G),0)</f>
        <v>0</v>
      </c>
      <c r="H7" s="50">
        <f>IFERROR(SUMIF(Residential!$A:$A,$A7,Residential!C:C),0)</f>
        <v>0</v>
      </c>
      <c r="I7" s="35">
        <f>IFERROR(SUMIF(Residential!$A:$A,$A7,Residential!D:D),0)</f>
        <v>0</v>
      </c>
      <c r="J7" s="35">
        <f>IFERROR(SUMIF(Residential!$A:$A,$A7,Residential!E:E),0)</f>
        <v>0</v>
      </c>
      <c r="K7" s="35">
        <f>IFERROR(SUMIF(Residential!$A:$A,$A7,Residential!F:F),0)</f>
        <v>0</v>
      </c>
      <c r="L7" s="39">
        <f>IFERROR(SUMIF(Residential!$A:$A,$A7,Residential!G:G),0)</f>
        <v>0</v>
      </c>
      <c r="M7" s="50">
        <f>IFERROR(SUMIF(Commercial!$A$3:$A$15,$A7,Commercial!C$3:C$15),0)</f>
        <v>0</v>
      </c>
      <c r="N7" s="35">
        <f>IFERROR(SUMIF(Commercial!$A$3:$A$15,$A7,Commercial!D$3:D$15),0)</f>
        <v>0</v>
      </c>
      <c r="O7" s="35">
        <f>IFERROR(SUMIF(Commercial!$A$3:$A$15,$A7,Commercial!E$3:E$15),0)</f>
        <v>0</v>
      </c>
      <c r="P7" s="35">
        <f>IFERROR(SUMIF(Commercial!$A$3:$A$15,$A7,Commercial!F$3:F$15),0)</f>
        <v>0</v>
      </c>
      <c r="Q7" s="39">
        <f>IFERROR(SUMIF(Commercial!$A$3:$A$15,$A7,Commercial!G$3:G$15),0)</f>
        <v>0</v>
      </c>
      <c r="R7" s="63">
        <f t="shared" si="0"/>
        <v>0</v>
      </c>
      <c r="S7" s="64">
        <f t="shared" si="1"/>
        <v>0</v>
      </c>
      <c r="T7" s="64">
        <f t="shared" si="2"/>
        <v>0</v>
      </c>
      <c r="U7" s="65">
        <f t="shared" si="3"/>
        <v>0</v>
      </c>
      <c r="V7" s="66">
        <f t="shared" si="4"/>
        <v>0</v>
      </c>
      <c r="W7" s="68">
        <f t="shared" si="5"/>
        <v>0</v>
      </c>
    </row>
    <row r="8" spans="1:23" ht="15.75" thickBot="1" x14ac:dyDescent="0.3">
      <c r="A8" s="29">
        <f>Commercial!A8</f>
        <v>1175</v>
      </c>
      <c r="B8" s="30" t="str">
        <f>_xlfn.XLOOKUP(A8,Commercial!A:A,Commercial!B:B)</f>
        <v>Kenticka Tate (Remote)(Commercial)</v>
      </c>
      <c r="C8" s="34">
        <f>IFERROR(SUMIF('COM Winbacks'!$A:$A,$A8,'COM Winbacks'!C:C),0)</f>
        <v>0</v>
      </c>
      <c r="D8" s="35">
        <f>IFERROR(SUMIF('COM Winbacks'!$A:$A,$A8,'COM Winbacks'!D:D),0)</f>
        <v>0</v>
      </c>
      <c r="E8" s="35">
        <f>IFERROR(SUMIF('COM Winbacks'!$A:$A,$A8,'COM Winbacks'!E:E),0)</f>
        <v>0</v>
      </c>
      <c r="F8" s="35">
        <f>IFERROR(SUMIF('COM Winbacks'!$A:$A,$A8,'COM Winbacks'!F:F),0)</f>
        <v>0</v>
      </c>
      <c r="G8" s="39">
        <f>IFERROR(SUMIF('COM Winbacks'!$A:$A,$A8,'COM Winbacks'!G:G),0)</f>
        <v>0</v>
      </c>
      <c r="H8" s="50">
        <f>IFERROR(SUMIF(Residential!$A:$A,$A8,Residential!C:C),0)</f>
        <v>0</v>
      </c>
      <c r="I8" s="35">
        <f>IFERROR(SUMIF(Residential!$A:$A,$A8,Residential!D:D),0)</f>
        <v>0</v>
      </c>
      <c r="J8" s="35">
        <f>IFERROR(SUMIF(Residential!$A:$A,$A8,Residential!E:E),0)</f>
        <v>0</v>
      </c>
      <c r="K8" s="35">
        <f>IFERROR(SUMIF(Residential!$A:$A,$A8,Residential!F:F),0)</f>
        <v>0</v>
      </c>
      <c r="L8" s="39">
        <f>IFERROR(SUMIF(Residential!$A:$A,$A8,Residential!G:G),0)</f>
        <v>0</v>
      </c>
      <c r="M8" s="50">
        <f>IFERROR(SUMIF(Commercial!$A$3:$A$15,$A8,Commercial!C$3:C$15),0)</f>
        <v>2</v>
      </c>
      <c r="N8" s="35">
        <f>IFERROR(SUMIF(Commercial!$A$3:$A$15,$A8,Commercial!D$3:D$15),0)</f>
        <v>0</v>
      </c>
      <c r="O8" s="35">
        <f>IFERROR(SUMIF(Commercial!$A$3:$A$15,$A8,Commercial!E$3:E$15),0)</f>
        <v>0</v>
      </c>
      <c r="P8" s="35">
        <f>IFERROR(SUMIF(Commercial!$A$3:$A$15,$A8,Commercial!F$3:F$15),0)</f>
        <v>0</v>
      </c>
      <c r="Q8" s="39">
        <f>IFERROR(SUMIF(Commercial!$A$3:$A$15,$A8,Commercial!G$3:G$15),0)</f>
        <v>0</v>
      </c>
      <c r="R8" s="63">
        <f t="shared" si="0"/>
        <v>2</v>
      </c>
      <c r="S8" s="64">
        <f t="shared" si="1"/>
        <v>0</v>
      </c>
      <c r="T8" s="64">
        <f t="shared" si="2"/>
        <v>0</v>
      </c>
      <c r="U8" s="65">
        <f t="shared" si="3"/>
        <v>0</v>
      </c>
      <c r="V8" s="66">
        <f t="shared" si="4"/>
        <v>0</v>
      </c>
      <c r="W8" s="68">
        <f t="shared" si="5"/>
        <v>2</v>
      </c>
    </row>
    <row r="9" spans="1:23" ht="15.75" thickBot="1" x14ac:dyDescent="0.3">
      <c r="A9" s="29">
        <f>Commercial!A9</f>
        <v>1294</v>
      </c>
      <c r="B9" s="30" t="str">
        <f>_xlfn.XLOOKUP(A9,Commercial!A:A,Commercial!B:B)</f>
        <v>Brandy Paton (Commercial)</v>
      </c>
      <c r="C9" s="34">
        <f>IFERROR(SUMIF('COM Winbacks'!$A:$A,$A9,'COM Winbacks'!C:C),0)</f>
        <v>0</v>
      </c>
      <c r="D9" s="35">
        <f>IFERROR(SUMIF('COM Winbacks'!$A:$A,$A9,'COM Winbacks'!D:D),0)</f>
        <v>0</v>
      </c>
      <c r="E9" s="35">
        <f>IFERROR(SUMIF('COM Winbacks'!$A:$A,$A9,'COM Winbacks'!E:E),0)</f>
        <v>0</v>
      </c>
      <c r="F9" s="35">
        <f>IFERROR(SUMIF('COM Winbacks'!$A:$A,$A9,'COM Winbacks'!F:F),0)</f>
        <v>0</v>
      </c>
      <c r="G9" s="39">
        <f>IFERROR(SUMIF('COM Winbacks'!$A:$A,$A9,'COM Winbacks'!G:G),0)</f>
        <v>0</v>
      </c>
      <c r="H9" s="50">
        <f>IFERROR(SUMIF(Residential!$A:$A,$A9,Residential!C:C),0)</f>
        <v>0</v>
      </c>
      <c r="I9" s="35">
        <f>IFERROR(SUMIF(Residential!$A:$A,$A9,Residential!D:D),0)</f>
        <v>0</v>
      </c>
      <c r="J9" s="35">
        <f>IFERROR(SUMIF(Residential!$A:$A,$A9,Residential!E:E),0)</f>
        <v>0</v>
      </c>
      <c r="K9" s="35">
        <f>IFERROR(SUMIF(Residential!$A:$A,$A9,Residential!F:F),0)</f>
        <v>0</v>
      </c>
      <c r="L9" s="39">
        <f>IFERROR(SUMIF(Residential!$A:$A,$A9,Residential!G:G),0)</f>
        <v>0</v>
      </c>
      <c r="M9" s="50">
        <f>IFERROR(SUMIF(Commercial!$A$3:$A$15,$A9,Commercial!C$3:C$15),0)</f>
        <v>0</v>
      </c>
      <c r="N9" s="35">
        <f>IFERROR(SUMIF(Commercial!$A$3:$A$15,$A9,Commercial!D$3:D$15),0)</f>
        <v>0</v>
      </c>
      <c r="O9" s="35">
        <f>IFERROR(SUMIF(Commercial!$A$3:$A$15,$A9,Commercial!E$3:E$15),0)</f>
        <v>0</v>
      </c>
      <c r="P9" s="35">
        <f>IFERROR(SUMIF(Commercial!$A$3:$A$15,$A9,Commercial!F$3:F$15),0)</f>
        <v>0</v>
      </c>
      <c r="Q9" s="39">
        <f>IFERROR(SUMIF(Commercial!$A$3:$A$15,$A9,Commercial!G$3:G$15),0)</f>
        <v>0</v>
      </c>
      <c r="R9" s="63">
        <f t="shared" si="0"/>
        <v>0</v>
      </c>
      <c r="S9" s="64">
        <f t="shared" si="1"/>
        <v>0</v>
      </c>
      <c r="T9" s="64">
        <f t="shared" si="2"/>
        <v>0</v>
      </c>
      <c r="U9" s="65">
        <f t="shared" si="3"/>
        <v>0</v>
      </c>
      <c r="V9" s="66">
        <f t="shared" si="4"/>
        <v>0</v>
      </c>
      <c r="W9" s="68">
        <f t="shared" si="5"/>
        <v>0</v>
      </c>
    </row>
    <row r="10" spans="1:23" ht="15.75" thickBot="1" x14ac:dyDescent="0.3">
      <c r="A10" s="29">
        <f>Commercial!A10</f>
        <v>1280</v>
      </c>
      <c r="B10" s="30" t="str">
        <f>_xlfn.XLOOKUP(A10,Commercial!A:A,Commercial!B:B)</f>
        <v>Ashlee Franks (Commercial)</v>
      </c>
      <c r="C10" s="34">
        <f>IFERROR(SUMIF('COM Winbacks'!$A:$A,$A10,'COM Winbacks'!C:C),0)</f>
        <v>0</v>
      </c>
      <c r="D10" s="35">
        <f>IFERROR(SUMIF('COM Winbacks'!$A:$A,$A10,'COM Winbacks'!D:D),0)</f>
        <v>0</v>
      </c>
      <c r="E10" s="35">
        <f>IFERROR(SUMIF('COM Winbacks'!$A:$A,$A10,'COM Winbacks'!E:E),0)</f>
        <v>0</v>
      </c>
      <c r="F10" s="35">
        <f>IFERROR(SUMIF('COM Winbacks'!$A:$A,$A10,'COM Winbacks'!F:F),0)</f>
        <v>0</v>
      </c>
      <c r="G10" s="39">
        <f>IFERROR(SUMIF('COM Winbacks'!$A:$A,$A10,'COM Winbacks'!G:G),0)</f>
        <v>0</v>
      </c>
      <c r="H10" s="50">
        <f>IFERROR(SUMIF(Residential!$A:$A,$A10,Residential!C:C),0)</f>
        <v>0</v>
      </c>
      <c r="I10" s="35">
        <f>IFERROR(SUMIF(Residential!$A:$A,$A10,Residential!D:D),0)</f>
        <v>0</v>
      </c>
      <c r="J10" s="35">
        <f>IFERROR(SUMIF(Residential!$A:$A,$A10,Residential!E:E),0)</f>
        <v>0</v>
      </c>
      <c r="K10" s="35">
        <f>IFERROR(SUMIF(Residential!$A:$A,$A10,Residential!F:F),0)</f>
        <v>0</v>
      </c>
      <c r="L10" s="39">
        <f>IFERROR(SUMIF(Residential!$A:$A,$A10,Residential!G:G),0)</f>
        <v>0</v>
      </c>
      <c r="M10" s="50">
        <f>IFERROR(SUMIF(Commercial!$A$3:$A$15,$A10,Commercial!C$3:C$15),0)</f>
        <v>0</v>
      </c>
      <c r="N10" s="35">
        <f>IFERROR(SUMIF(Commercial!$A$3:$A$15,$A10,Commercial!D$3:D$15),0)</f>
        <v>0</v>
      </c>
      <c r="O10" s="35">
        <f>IFERROR(SUMIF(Commercial!$A$3:$A$15,$A10,Commercial!E$3:E$15),0)</f>
        <v>0</v>
      </c>
      <c r="P10" s="35">
        <f>IFERROR(SUMIF(Commercial!$A$3:$A$15,$A10,Commercial!F$3:F$15),0)</f>
        <v>0</v>
      </c>
      <c r="Q10" s="39">
        <f>IFERROR(SUMIF(Commercial!$A$3:$A$15,$A10,Commercial!G$3:G$15),0)</f>
        <v>0</v>
      </c>
      <c r="R10" s="63">
        <f t="shared" si="0"/>
        <v>0</v>
      </c>
      <c r="S10" s="64">
        <f t="shared" si="1"/>
        <v>0</v>
      </c>
      <c r="T10" s="64">
        <f t="shared" si="2"/>
        <v>0</v>
      </c>
      <c r="U10" s="65">
        <f t="shared" si="3"/>
        <v>0</v>
      </c>
      <c r="V10" s="66">
        <f t="shared" si="4"/>
        <v>0</v>
      </c>
      <c r="W10" s="68">
        <f t="shared" si="5"/>
        <v>0</v>
      </c>
    </row>
    <row r="11" spans="1:23" ht="15.75" thickBot="1" x14ac:dyDescent="0.3">
      <c r="A11" s="29">
        <f>Commercial!A11</f>
        <v>1298</v>
      </c>
      <c r="B11" s="30" t="str">
        <f>_xlfn.XLOOKUP(A11,Commercial!A:A,Commercial!B:B)</f>
        <v>Shelby Lewis (Commercial)</v>
      </c>
      <c r="C11" s="34">
        <f>IFERROR(SUMIF('COM Winbacks'!$A:$A,$A11,'COM Winbacks'!C:C),0)</f>
        <v>0</v>
      </c>
      <c r="D11" s="35">
        <f>IFERROR(SUMIF('COM Winbacks'!$A:$A,$A11,'COM Winbacks'!D:D),0)</f>
        <v>0</v>
      </c>
      <c r="E11" s="35">
        <f>IFERROR(SUMIF('COM Winbacks'!$A:$A,$A11,'COM Winbacks'!E:E),0)</f>
        <v>0</v>
      </c>
      <c r="F11" s="35">
        <f>IFERROR(SUMIF('COM Winbacks'!$A:$A,$A11,'COM Winbacks'!F:F),0)</f>
        <v>0</v>
      </c>
      <c r="G11" s="39">
        <f>IFERROR(SUMIF('COM Winbacks'!$A:$A,$A11,'COM Winbacks'!G:G),0)</f>
        <v>0</v>
      </c>
      <c r="H11" s="50">
        <f>IFERROR(SUMIF(Residential!$A:$A,$A11,Residential!C:C),0)</f>
        <v>0</v>
      </c>
      <c r="I11" s="35">
        <f>IFERROR(SUMIF(Residential!$A:$A,$A11,Residential!D:D),0)</f>
        <v>0</v>
      </c>
      <c r="J11" s="35">
        <f>IFERROR(SUMIF(Residential!$A:$A,$A11,Residential!E:E),0)</f>
        <v>0</v>
      </c>
      <c r="K11" s="35">
        <f>IFERROR(SUMIF(Residential!$A:$A,$A11,Residential!F:F),0)</f>
        <v>0</v>
      </c>
      <c r="L11" s="39">
        <f>IFERROR(SUMIF(Residential!$A:$A,$A11,Residential!G:G),0)</f>
        <v>0</v>
      </c>
      <c r="M11" s="50">
        <f>IFERROR(SUMIF(Commercial!$A$3:$A$15,$A11,Commercial!C$3:C$15),0)</f>
        <v>0</v>
      </c>
      <c r="N11" s="35">
        <f>IFERROR(SUMIF(Commercial!$A$3:$A$15,$A11,Commercial!D$3:D$15),0)</f>
        <v>0</v>
      </c>
      <c r="O11" s="35">
        <f>IFERROR(SUMIF(Commercial!$A$3:$A$15,$A11,Commercial!E$3:E$15),0)</f>
        <v>0</v>
      </c>
      <c r="P11" s="35">
        <f>IFERROR(SUMIF(Commercial!$A$3:$A$15,$A11,Commercial!F$3:F$15),0)</f>
        <v>0</v>
      </c>
      <c r="Q11" s="39">
        <f>IFERROR(SUMIF(Commercial!$A$3:$A$15,$A11,Commercial!G$3:G$15),0)</f>
        <v>0</v>
      </c>
      <c r="R11" s="63">
        <f t="shared" si="0"/>
        <v>0</v>
      </c>
      <c r="S11" s="64">
        <f t="shared" si="1"/>
        <v>0</v>
      </c>
      <c r="T11" s="64">
        <f t="shared" si="2"/>
        <v>0</v>
      </c>
      <c r="U11" s="65">
        <f t="shared" si="3"/>
        <v>0</v>
      </c>
      <c r="V11" s="66">
        <f t="shared" si="4"/>
        <v>0</v>
      </c>
      <c r="W11" s="68">
        <f t="shared" si="5"/>
        <v>0</v>
      </c>
    </row>
    <row r="12" spans="1:23" ht="15.75" thickBot="1" x14ac:dyDescent="0.3">
      <c r="A12" s="29">
        <f>Commercial!A12</f>
        <v>1300</v>
      </c>
      <c r="B12" s="30" t="str">
        <f>_xlfn.XLOOKUP(A12,Commercial!A:A,Commercial!B:B)</f>
        <v>Neil Singhal (Commercial)</v>
      </c>
      <c r="C12" s="34">
        <f>IFERROR(SUMIF('COM Winbacks'!$A:$A,$A12,'COM Winbacks'!C:C),0)</f>
        <v>0</v>
      </c>
      <c r="D12" s="35">
        <f>IFERROR(SUMIF('COM Winbacks'!$A:$A,$A12,'COM Winbacks'!D:D),0)</f>
        <v>0</v>
      </c>
      <c r="E12" s="35">
        <f>IFERROR(SUMIF('COM Winbacks'!$A:$A,$A12,'COM Winbacks'!E:E),0)</f>
        <v>0</v>
      </c>
      <c r="F12" s="35">
        <f>IFERROR(SUMIF('COM Winbacks'!$A:$A,$A12,'COM Winbacks'!F:F),0)</f>
        <v>0</v>
      </c>
      <c r="G12" s="39">
        <f>IFERROR(SUMIF('COM Winbacks'!$A:$A,$A12,'COM Winbacks'!G:G),0)</f>
        <v>0</v>
      </c>
      <c r="H12" s="50">
        <f>IFERROR(SUMIF(Residential!$A:$A,$A12,Residential!C:C),0)</f>
        <v>0</v>
      </c>
      <c r="I12" s="35">
        <f>IFERROR(SUMIF(Residential!$A:$A,$A12,Residential!D:D),0)</f>
        <v>0</v>
      </c>
      <c r="J12" s="35">
        <f>IFERROR(SUMIF(Residential!$A:$A,$A12,Residential!E:E),0)</f>
        <v>0</v>
      </c>
      <c r="K12" s="35">
        <f>IFERROR(SUMIF(Residential!$A:$A,$A12,Residential!F:F),0)</f>
        <v>0</v>
      </c>
      <c r="L12" s="39">
        <f>IFERROR(SUMIF(Residential!$A:$A,$A12,Residential!G:G),0)</f>
        <v>0</v>
      </c>
      <c r="M12" s="50">
        <f>IFERROR(SUMIF(Commercial!$A$3:$A$15,$A12,Commercial!C$3:C$15),0)</f>
        <v>0</v>
      </c>
      <c r="N12" s="35">
        <f>IFERROR(SUMIF(Commercial!$A$3:$A$15,$A12,Commercial!D$3:D$15),0)</f>
        <v>0</v>
      </c>
      <c r="O12" s="35">
        <f>IFERROR(SUMIF(Commercial!$A$3:$A$15,$A12,Commercial!E$3:E$15),0)</f>
        <v>0</v>
      </c>
      <c r="P12" s="35">
        <f>IFERROR(SUMIF(Commercial!$A$3:$A$15,$A12,Commercial!F$3:F$15),0)</f>
        <v>0</v>
      </c>
      <c r="Q12" s="39">
        <f>IFERROR(SUMIF(Commercial!$A$3:$A$15,$A12,Commercial!G$3:G$15),0)</f>
        <v>0</v>
      </c>
      <c r="R12" s="63">
        <f t="shared" si="0"/>
        <v>0</v>
      </c>
      <c r="S12" s="64">
        <f t="shared" si="1"/>
        <v>0</v>
      </c>
      <c r="T12" s="64">
        <f t="shared" si="2"/>
        <v>0</v>
      </c>
      <c r="U12" s="65">
        <f t="shared" si="3"/>
        <v>0</v>
      </c>
      <c r="V12" s="66">
        <f t="shared" si="4"/>
        <v>0</v>
      </c>
      <c r="W12" s="68">
        <f t="shared" si="5"/>
        <v>0</v>
      </c>
    </row>
    <row r="13" spans="1:23" ht="15.75" thickBot="1" x14ac:dyDescent="0.3">
      <c r="A13" s="29">
        <f>Commercial!A13</f>
        <v>1301</v>
      </c>
      <c r="B13" s="30" t="str">
        <f>_xlfn.XLOOKUP(A13,Commercial!A:A,Commercial!B:B)</f>
        <v>Albert Williams (Commercial)</v>
      </c>
      <c r="C13" s="34">
        <f>IFERROR(SUMIF('COM Winbacks'!$A:$A,$A13,'COM Winbacks'!C:C),0)</f>
        <v>0</v>
      </c>
      <c r="D13" s="35">
        <f>IFERROR(SUMIF('COM Winbacks'!$A:$A,$A13,'COM Winbacks'!D:D),0)</f>
        <v>0</v>
      </c>
      <c r="E13" s="35">
        <f>IFERROR(SUMIF('COM Winbacks'!$A:$A,$A13,'COM Winbacks'!E:E),0)</f>
        <v>0</v>
      </c>
      <c r="F13" s="35">
        <f>IFERROR(SUMIF('COM Winbacks'!$A:$A,$A13,'COM Winbacks'!F:F),0)</f>
        <v>0</v>
      </c>
      <c r="G13" s="39">
        <f>IFERROR(SUMIF('COM Winbacks'!$A:$A,$A13,'COM Winbacks'!G:G),0)</f>
        <v>0</v>
      </c>
      <c r="H13" s="50">
        <f>IFERROR(SUMIF(Residential!$A:$A,$A13,Residential!C:C),0)</f>
        <v>0</v>
      </c>
      <c r="I13" s="35">
        <f>IFERROR(SUMIF(Residential!$A:$A,$A13,Residential!D:D),0)</f>
        <v>0</v>
      </c>
      <c r="J13" s="35">
        <f>IFERROR(SUMIF(Residential!$A:$A,$A13,Residential!E:E),0)</f>
        <v>0</v>
      </c>
      <c r="K13" s="35">
        <f>IFERROR(SUMIF(Residential!$A:$A,$A13,Residential!F:F),0)</f>
        <v>0</v>
      </c>
      <c r="L13" s="39">
        <f>IFERROR(SUMIF(Residential!$A:$A,$A13,Residential!G:G),0)</f>
        <v>0</v>
      </c>
      <c r="M13" s="50">
        <f>IFERROR(SUMIF(Commercial!$A$3:$A$15,$A13,Commercial!C$3:C$15),0)</f>
        <v>0</v>
      </c>
      <c r="N13" s="35">
        <f>IFERROR(SUMIF(Commercial!$A$3:$A$15,$A13,Commercial!D$3:D$15),0)</f>
        <v>0</v>
      </c>
      <c r="O13" s="35">
        <f>IFERROR(SUMIF(Commercial!$A$3:$A$15,$A13,Commercial!E$3:E$15),0)</f>
        <v>0</v>
      </c>
      <c r="P13" s="35">
        <f>IFERROR(SUMIF(Commercial!$A$3:$A$15,$A13,Commercial!F$3:F$15),0)</f>
        <v>0</v>
      </c>
      <c r="Q13" s="39">
        <f>IFERROR(SUMIF(Commercial!$A$3:$A$15,$A13,Commercial!G$3:G$15),0)</f>
        <v>0</v>
      </c>
      <c r="R13" s="63">
        <f t="shared" si="0"/>
        <v>0</v>
      </c>
      <c r="S13" s="64">
        <f t="shared" si="1"/>
        <v>0</v>
      </c>
      <c r="T13" s="64">
        <f t="shared" si="2"/>
        <v>0</v>
      </c>
      <c r="U13" s="65">
        <f t="shared" si="3"/>
        <v>0</v>
      </c>
      <c r="V13" s="66">
        <f t="shared" si="4"/>
        <v>0</v>
      </c>
      <c r="W13" s="68">
        <f t="shared" si="5"/>
        <v>0</v>
      </c>
    </row>
    <row r="14" spans="1:23" ht="15.75" thickBot="1" x14ac:dyDescent="0.3">
      <c r="A14" s="29"/>
      <c r="B14" s="89"/>
      <c r="C14" s="34"/>
      <c r="D14" s="35"/>
      <c r="E14" s="35"/>
      <c r="F14" s="35"/>
      <c r="G14" s="90"/>
      <c r="H14" s="91"/>
      <c r="I14" s="35"/>
      <c r="J14" s="35"/>
      <c r="K14" s="35"/>
      <c r="L14" s="90"/>
      <c r="M14" s="91"/>
      <c r="N14" s="35"/>
      <c r="O14" s="35"/>
      <c r="P14" s="35"/>
      <c r="Q14" s="90"/>
      <c r="R14" s="63"/>
      <c r="S14" s="64"/>
      <c r="T14" s="64"/>
      <c r="U14" s="65"/>
      <c r="V14" s="66"/>
      <c r="W14" s="68"/>
    </row>
    <row r="15" spans="1:23" ht="15.75" thickBot="1" x14ac:dyDescent="0.3">
      <c r="A15" s="92"/>
      <c r="B15" s="98" t="s">
        <v>54</v>
      </c>
      <c r="C15" s="93"/>
      <c r="D15" s="94"/>
      <c r="E15" s="94"/>
      <c r="F15" s="94"/>
      <c r="G15" s="95"/>
      <c r="H15" s="96"/>
      <c r="I15" s="94"/>
      <c r="J15" s="94"/>
      <c r="K15" s="94"/>
      <c r="L15" s="95"/>
      <c r="M15" s="96"/>
      <c r="N15" s="94"/>
      <c r="O15" s="94"/>
      <c r="P15" s="94"/>
      <c r="Q15" s="95"/>
      <c r="R15" s="93"/>
      <c r="S15" s="94"/>
      <c r="T15" s="94"/>
      <c r="U15" s="95"/>
      <c r="V15" s="102"/>
      <c r="W15" s="99">
        <f>SUM(W3:W14)</f>
        <v>3</v>
      </c>
    </row>
    <row r="16" spans="1:23" ht="15.75" thickBot="1" x14ac:dyDescent="0.3">
      <c r="A16" s="29">
        <f>Commercial!A19</f>
        <v>1290</v>
      </c>
      <c r="B16" s="30" t="str">
        <f>_xlfn.XLOOKUP(A16,Commercial!A:A,Commercial!B:B)</f>
        <v>Abigail Gambino (Commercial-Closer)</v>
      </c>
      <c r="C16" s="34">
        <f>IFERROR(SUMIF('COM Winbacks'!$A:$A,$A16,'COM Winbacks'!C:C),0)</f>
        <v>0</v>
      </c>
      <c r="D16" s="35">
        <f>IFERROR(SUMIF('COM Winbacks'!$A:$A,$A16,'COM Winbacks'!D:D),0)</f>
        <v>0</v>
      </c>
      <c r="E16" s="35">
        <f>IFERROR(SUMIF('COM Winbacks'!$A:$A,$A16,'COM Winbacks'!E:E),0)</f>
        <v>0</v>
      </c>
      <c r="F16" s="35">
        <f>IFERROR(SUMIF('COM Winbacks'!$A:$A,$A16,'COM Winbacks'!F:F),0)</f>
        <v>0</v>
      </c>
      <c r="G16" s="39">
        <f>IFERROR(SUMIF('COM Winbacks'!$A:$A,$A16,'COM Winbacks'!G:G),0)</f>
        <v>0</v>
      </c>
      <c r="H16" s="50">
        <f>IFERROR(SUMIF(Residential!$A:$A,$A16,Residential!C:C),0)</f>
        <v>0</v>
      </c>
      <c r="I16" s="35">
        <f>IFERROR(SUMIF(Residential!$A:$A,$A16,Residential!D:D),0)</f>
        <v>0</v>
      </c>
      <c r="J16" s="35">
        <f>IFERROR(SUMIF(Residential!$A:$A,$A16,Residential!E:E),0)</f>
        <v>0</v>
      </c>
      <c r="K16" s="35">
        <f>IFERROR(SUMIF(Residential!$A:$A,$A16,Residential!F:F),0)</f>
        <v>0</v>
      </c>
      <c r="L16" s="39">
        <f>IFERROR(SUMIF(Residential!$A:$A,$A16,Residential!G:G),0)</f>
        <v>0</v>
      </c>
      <c r="M16" s="50">
        <f>IFERROR(SUMIF(Commercial!$A$19:$A$24,$A16,Commercial!C$19:C$24),0)</f>
        <v>0</v>
      </c>
      <c r="N16" s="35">
        <f>IFERROR(SUMIF(Commercial!$A$19:$A$24,$A16,Commercial!D$19:D$24),0)</f>
        <v>0</v>
      </c>
      <c r="O16" s="35">
        <f>IFERROR(SUMIF(Commercial!$A$19:$A$24,$A16,Commercial!E$19:E$24),0)</f>
        <v>0</v>
      </c>
      <c r="P16" s="35">
        <f>IFERROR(SUMIF(Commercial!$A$19:$A$24,$A16,Commercial!F$19:F$24),0)</f>
        <v>0</v>
      </c>
      <c r="Q16" s="39">
        <f>IFERROR(SUMIF(Commercial!$A$19:$A$24,$A16,Commercial!G$19:G$24),0)</f>
        <v>0</v>
      </c>
      <c r="R16" s="63">
        <f t="shared" ref="R16:V20" si="6">C16+H16+M16</f>
        <v>0</v>
      </c>
      <c r="S16" s="64">
        <f t="shared" si="6"/>
        <v>0</v>
      </c>
      <c r="T16" s="64">
        <f t="shared" si="6"/>
        <v>0</v>
      </c>
      <c r="U16" s="65">
        <f t="shared" si="6"/>
        <v>0</v>
      </c>
      <c r="V16" s="66">
        <f t="shared" si="6"/>
        <v>0</v>
      </c>
      <c r="W16" s="68">
        <f>SUM(R16:V16)</f>
        <v>0</v>
      </c>
    </row>
    <row r="17" spans="1:23" ht="15.75" thickBot="1" x14ac:dyDescent="0.3">
      <c r="A17" s="29">
        <f>Commercial!A20</f>
        <v>1288</v>
      </c>
      <c r="B17" s="30" t="str">
        <f>_xlfn.XLOOKUP(A17,Commercial!A:A,Commercial!B:B)</f>
        <v>Allen Alberts(Commercial-Closer)</v>
      </c>
      <c r="C17" s="34">
        <f>IFERROR(SUMIF('COM Winbacks'!$A:$A,$A17,'COM Winbacks'!C:C),0)</f>
        <v>0</v>
      </c>
      <c r="D17" s="35">
        <f>IFERROR(SUMIF('COM Winbacks'!$A:$A,$A17,'COM Winbacks'!D:D),0)</f>
        <v>0</v>
      </c>
      <c r="E17" s="35">
        <f>IFERROR(SUMIF('COM Winbacks'!$A:$A,$A17,'COM Winbacks'!E:E),0)</f>
        <v>0</v>
      </c>
      <c r="F17" s="35">
        <f>IFERROR(SUMIF('COM Winbacks'!$A:$A,$A17,'COM Winbacks'!F:F),0)</f>
        <v>0</v>
      </c>
      <c r="G17" s="39">
        <f>IFERROR(SUMIF('COM Winbacks'!$A:$A,$A17,'COM Winbacks'!G:G),0)</f>
        <v>0</v>
      </c>
      <c r="H17" s="50">
        <f>IFERROR(SUMIF(Residential!$A:$A,$A17,Residential!C:C),0)</f>
        <v>0</v>
      </c>
      <c r="I17" s="35">
        <f>IFERROR(SUMIF(Residential!$A:$A,$A17,Residential!D:D),0)</f>
        <v>0</v>
      </c>
      <c r="J17" s="35">
        <f>IFERROR(SUMIF(Residential!$A:$A,$A17,Residential!E:E),0)</f>
        <v>0</v>
      </c>
      <c r="K17" s="35">
        <f>IFERROR(SUMIF(Residential!$A:$A,$A17,Residential!F:F),0)</f>
        <v>0</v>
      </c>
      <c r="L17" s="39">
        <f>IFERROR(SUMIF(Residential!$A:$A,$A17,Residential!G:G),0)</f>
        <v>0</v>
      </c>
      <c r="M17" s="50">
        <f>IFERROR(SUMIF(Commercial!$A$19:$A$24,$A17,Commercial!C$19:C$24),0)</f>
        <v>0</v>
      </c>
      <c r="N17" s="35">
        <f>IFERROR(SUMIF(Commercial!$A$19:$A$24,$A17,Commercial!D$19:D$24),0)</f>
        <v>0</v>
      </c>
      <c r="O17" s="35">
        <f>IFERROR(SUMIF(Commercial!$A$19:$A$24,$A17,Commercial!E$19:E$24),0)</f>
        <v>0</v>
      </c>
      <c r="P17" s="35">
        <f>IFERROR(SUMIF(Commercial!$A$19:$A$24,$A17,Commercial!F$19:F$24),0)</f>
        <v>0</v>
      </c>
      <c r="Q17" s="39">
        <f>IFERROR(SUMIF(Commercial!$A$19:$A$24,$A17,Commercial!G$19:G$24),0)</f>
        <v>0</v>
      </c>
      <c r="R17" s="63">
        <f t="shared" si="6"/>
        <v>0</v>
      </c>
      <c r="S17" s="64">
        <f t="shared" si="6"/>
        <v>0</v>
      </c>
      <c r="T17" s="64">
        <f t="shared" si="6"/>
        <v>0</v>
      </c>
      <c r="U17" s="65">
        <f t="shared" si="6"/>
        <v>0</v>
      </c>
      <c r="V17" s="66">
        <f t="shared" si="6"/>
        <v>0</v>
      </c>
      <c r="W17" s="68">
        <f>SUM(R17:V17)</f>
        <v>0</v>
      </c>
    </row>
    <row r="18" spans="1:23" ht="15.75" customHeight="1" thickBot="1" x14ac:dyDescent="0.3">
      <c r="A18" s="29">
        <f>Commercial!A21</f>
        <v>1151</v>
      </c>
      <c r="B18" s="30" t="str">
        <f>_xlfn.XLOOKUP(A18,Commercial!A:A,Commercial!B:B)</f>
        <v>CJ Jackson (Manager/Closer)</v>
      </c>
      <c r="C18" s="34">
        <f>IFERROR(SUMIF('COM Winbacks'!$A:$A,$A18,'COM Winbacks'!C:C),0)</f>
        <v>0</v>
      </c>
      <c r="D18" s="35">
        <f>IFERROR(SUMIF('COM Winbacks'!$A:$A,$A18,'COM Winbacks'!D:D),0)</f>
        <v>0</v>
      </c>
      <c r="E18" s="35">
        <f>IFERROR(SUMIF('COM Winbacks'!$A:$A,$A18,'COM Winbacks'!E:E),0)</f>
        <v>0</v>
      </c>
      <c r="F18" s="35">
        <f>IFERROR(SUMIF('COM Winbacks'!$A:$A,$A18,'COM Winbacks'!F:F),0)</f>
        <v>0</v>
      </c>
      <c r="G18" s="39">
        <f>IFERROR(SUMIF('COM Winbacks'!$A:$A,$A18,'COM Winbacks'!G:G),0)</f>
        <v>0</v>
      </c>
      <c r="H18" s="50">
        <f>IFERROR(SUMIF(Residential!$A:$A,$A18,Residential!C:C),0)</f>
        <v>0</v>
      </c>
      <c r="I18" s="35">
        <f>IFERROR(SUMIF(Residential!$A:$A,$A18,Residential!D:D),0)</f>
        <v>0</v>
      </c>
      <c r="J18" s="35">
        <f>IFERROR(SUMIF(Residential!$A:$A,$A18,Residential!E:E),0)</f>
        <v>0</v>
      </c>
      <c r="K18" s="35">
        <f>IFERROR(SUMIF(Residential!$A:$A,$A18,Residential!F:F),0)</f>
        <v>0</v>
      </c>
      <c r="L18" s="39">
        <f>IFERROR(SUMIF(Residential!$A:$A,$A18,Residential!G:G),0)</f>
        <v>0</v>
      </c>
      <c r="M18" s="50">
        <f>IFERROR(SUMIF(Commercial!$A$19:$A$24,$A18,Commercial!C$19:C$24),0)</f>
        <v>0</v>
      </c>
      <c r="N18" s="35">
        <f>IFERROR(SUMIF(Commercial!$A$19:$A$24,$A18,Commercial!D$19:D$24),0)</f>
        <v>0</v>
      </c>
      <c r="O18" s="35">
        <f>IFERROR(SUMIF(Commercial!$A$19:$A$24,$A18,Commercial!E$19:E$24),0)</f>
        <v>0</v>
      </c>
      <c r="P18" s="35">
        <f>IFERROR(SUMIF(Commercial!$A$19:$A$24,$A18,Commercial!F$19:F$24),0)</f>
        <v>0</v>
      </c>
      <c r="Q18" s="39">
        <f>IFERROR(SUMIF(Commercial!$A$19:$A$24,$A18,Commercial!G$19:G$24),0)</f>
        <v>0</v>
      </c>
      <c r="R18" s="63">
        <f t="shared" si="6"/>
        <v>0</v>
      </c>
      <c r="S18" s="64">
        <f t="shared" si="6"/>
        <v>0</v>
      </c>
      <c r="T18" s="64">
        <f t="shared" si="6"/>
        <v>0</v>
      </c>
      <c r="U18" s="65">
        <f t="shared" si="6"/>
        <v>0</v>
      </c>
      <c r="V18" s="66">
        <f t="shared" si="6"/>
        <v>0</v>
      </c>
      <c r="W18" s="68">
        <f>SUM(R18:V18)</f>
        <v>0</v>
      </c>
    </row>
    <row r="19" spans="1:23" ht="15.75" customHeight="1" thickBot="1" x14ac:dyDescent="0.3">
      <c r="A19" s="29">
        <f>Commercial!A22</f>
        <v>1294</v>
      </c>
      <c r="B19" s="30" t="str">
        <f>_xlfn.XLOOKUP(A19,Commercial!A:A,Commercial!B:B)</f>
        <v>Brandy Paton (Commercial)</v>
      </c>
      <c r="C19" s="34">
        <f>IFERROR(SUMIF('COM Winbacks'!$A:$A,$A19,'COM Winbacks'!C:C),0)</f>
        <v>0</v>
      </c>
      <c r="D19" s="35">
        <f>IFERROR(SUMIF('COM Winbacks'!$A:$A,$A19,'COM Winbacks'!D:D),0)</f>
        <v>0</v>
      </c>
      <c r="E19" s="35">
        <f>IFERROR(SUMIF('COM Winbacks'!$A:$A,$A19,'COM Winbacks'!E:E),0)</f>
        <v>0</v>
      </c>
      <c r="F19" s="35">
        <f>IFERROR(SUMIF('COM Winbacks'!$A:$A,$A19,'COM Winbacks'!F:F),0)</f>
        <v>0</v>
      </c>
      <c r="G19" s="39">
        <f>IFERROR(SUMIF('COM Winbacks'!$A:$A,$A19,'COM Winbacks'!G:G),0)</f>
        <v>0</v>
      </c>
      <c r="H19" s="50">
        <f>IFERROR(SUMIF(Residential!$A:$A,$A19,Residential!C:C),0)</f>
        <v>0</v>
      </c>
      <c r="I19" s="35">
        <f>IFERROR(SUMIF(Residential!$A:$A,$A19,Residential!D:D),0)</f>
        <v>0</v>
      </c>
      <c r="J19" s="35">
        <f>IFERROR(SUMIF(Residential!$A:$A,$A19,Residential!E:E),0)</f>
        <v>0</v>
      </c>
      <c r="K19" s="35">
        <f>IFERROR(SUMIF(Residential!$A:$A,$A19,Residential!F:F),0)</f>
        <v>0</v>
      </c>
      <c r="L19" s="39">
        <f>IFERROR(SUMIF(Residential!$A:$A,$A19,Residential!G:G),0)</f>
        <v>0</v>
      </c>
      <c r="M19" s="50">
        <f>IFERROR(SUMIF(Commercial!$A$19:$A$24,$A19,Commercial!C$19:C$24),0)</f>
        <v>0</v>
      </c>
      <c r="N19" s="35">
        <f>IFERROR(SUMIF(Commercial!$A$19:$A$24,$A19,Commercial!D$19:D$24),0)</f>
        <v>0</v>
      </c>
      <c r="O19" s="35">
        <f>IFERROR(SUMIF(Commercial!$A$19:$A$24,$A19,Commercial!E$19:E$24),0)</f>
        <v>0</v>
      </c>
      <c r="P19" s="35">
        <f>IFERROR(SUMIF(Commercial!$A$19:$A$24,$A19,Commercial!F$19:F$24),0)</f>
        <v>0</v>
      </c>
      <c r="Q19" s="39">
        <f>IFERROR(SUMIF(Commercial!$A$19:$A$24,$A19,Commercial!G$19:G$24),0)</f>
        <v>0</v>
      </c>
      <c r="R19" s="63">
        <f t="shared" si="6"/>
        <v>0</v>
      </c>
      <c r="S19" s="64">
        <f t="shared" si="6"/>
        <v>0</v>
      </c>
      <c r="T19" s="64">
        <f t="shared" si="6"/>
        <v>0</v>
      </c>
      <c r="U19" s="65">
        <f t="shared" si="6"/>
        <v>0</v>
      </c>
      <c r="V19" s="66">
        <f t="shared" si="6"/>
        <v>0</v>
      </c>
      <c r="W19" s="68">
        <f>SUM(R19:V19)</f>
        <v>0</v>
      </c>
    </row>
    <row r="20" spans="1:23" ht="15.75" customHeight="1" thickBot="1" x14ac:dyDescent="0.3">
      <c r="A20" s="29">
        <f>Commercial!A23</f>
        <v>1300</v>
      </c>
      <c r="B20" s="30" t="str">
        <f>_xlfn.XLOOKUP(A20,Commercial!A:A,Commercial!B:B)</f>
        <v>Neil Singhal (Commercial)</v>
      </c>
      <c r="C20" s="34">
        <f>IFERROR(SUMIF('COM Winbacks'!$A:$A,$A20,'COM Winbacks'!C:C),0)</f>
        <v>0</v>
      </c>
      <c r="D20" s="35">
        <f>IFERROR(SUMIF('COM Winbacks'!$A:$A,$A20,'COM Winbacks'!D:D),0)</f>
        <v>0</v>
      </c>
      <c r="E20" s="35">
        <f>IFERROR(SUMIF('COM Winbacks'!$A:$A,$A20,'COM Winbacks'!E:E),0)</f>
        <v>0</v>
      </c>
      <c r="F20" s="35">
        <f>IFERROR(SUMIF('COM Winbacks'!$A:$A,$A20,'COM Winbacks'!F:F),0)</f>
        <v>0</v>
      </c>
      <c r="G20" s="39">
        <f>IFERROR(SUMIF('COM Winbacks'!$A:$A,$A20,'COM Winbacks'!G:G),0)</f>
        <v>0</v>
      </c>
      <c r="H20" s="50">
        <f>IFERROR(SUMIF(Residential!$A:$A,$A20,Residential!C:C),0)</f>
        <v>0</v>
      </c>
      <c r="I20" s="35">
        <f>IFERROR(SUMIF(Residential!$A:$A,$A20,Residential!D:D),0)</f>
        <v>0</v>
      </c>
      <c r="J20" s="35">
        <f>IFERROR(SUMIF(Residential!$A:$A,$A20,Residential!E:E),0)</f>
        <v>0</v>
      </c>
      <c r="K20" s="35">
        <f>IFERROR(SUMIF(Residential!$A:$A,$A20,Residential!F:F),0)</f>
        <v>0</v>
      </c>
      <c r="L20" s="39">
        <f>IFERROR(SUMIF(Residential!$A:$A,$A20,Residential!G:G),0)</f>
        <v>0</v>
      </c>
      <c r="M20" s="50">
        <f>IFERROR(SUMIF(Commercial!$A$19:$A$24,$A20,Commercial!C$19:C$24),0)</f>
        <v>2</v>
      </c>
      <c r="N20" s="35">
        <f>IFERROR(SUMIF(Commercial!$A$19:$A$24,$A20,Commercial!D$19:D$24),0)</f>
        <v>0</v>
      </c>
      <c r="O20" s="35">
        <f>IFERROR(SUMIF(Commercial!$A$19:$A$24,$A20,Commercial!E$19:E$24),0)</f>
        <v>0</v>
      </c>
      <c r="P20" s="35">
        <f>IFERROR(SUMIF(Commercial!$A$19:$A$24,$A20,Commercial!F$19:F$24),0)</f>
        <v>0</v>
      </c>
      <c r="Q20" s="39">
        <f>IFERROR(SUMIF(Commercial!$A$19:$A$24,$A20,Commercial!G$19:G$24),0)</f>
        <v>0</v>
      </c>
      <c r="R20" s="63">
        <f t="shared" si="6"/>
        <v>2</v>
      </c>
      <c r="S20" s="64">
        <f t="shared" si="6"/>
        <v>0</v>
      </c>
      <c r="T20" s="64">
        <f t="shared" si="6"/>
        <v>0</v>
      </c>
      <c r="U20" s="65">
        <f t="shared" si="6"/>
        <v>0</v>
      </c>
      <c r="V20" s="66">
        <f t="shared" si="6"/>
        <v>0</v>
      </c>
      <c r="W20" s="68">
        <f>SUM(R20:V20)</f>
        <v>2</v>
      </c>
    </row>
    <row r="21" spans="1:23" ht="15.75" customHeight="1" thickBot="1" x14ac:dyDescent="0.3">
      <c r="A21" s="77"/>
      <c r="B21" s="78" t="s">
        <v>52</v>
      </c>
      <c r="C21" s="79">
        <f t="shared" ref="C21:V21" si="7">SUM(C3:C20)</f>
        <v>0</v>
      </c>
      <c r="D21" s="80">
        <f t="shared" si="7"/>
        <v>0</v>
      </c>
      <c r="E21" s="80">
        <f t="shared" si="7"/>
        <v>0</v>
      </c>
      <c r="F21" s="80">
        <f t="shared" si="7"/>
        <v>0</v>
      </c>
      <c r="G21" s="81">
        <f t="shared" si="7"/>
        <v>0</v>
      </c>
      <c r="H21" s="82">
        <f t="shared" si="7"/>
        <v>0</v>
      </c>
      <c r="I21" s="80">
        <f t="shared" si="7"/>
        <v>0</v>
      </c>
      <c r="J21" s="80">
        <f t="shared" si="7"/>
        <v>0</v>
      </c>
      <c r="K21" s="80">
        <f t="shared" si="7"/>
        <v>0</v>
      </c>
      <c r="L21" s="81">
        <f t="shared" si="7"/>
        <v>0</v>
      </c>
      <c r="M21" s="82">
        <f t="shared" si="7"/>
        <v>5</v>
      </c>
      <c r="N21" s="80">
        <f t="shared" si="7"/>
        <v>0</v>
      </c>
      <c r="O21" s="80">
        <f t="shared" si="7"/>
        <v>0</v>
      </c>
      <c r="P21" s="80">
        <f t="shared" si="7"/>
        <v>0</v>
      </c>
      <c r="Q21" s="81">
        <f t="shared" si="7"/>
        <v>0</v>
      </c>
      <c r="R21" s="79">
        <f t="shared" si="7"/>
        <v>5</v>
      </c>
      <c r="S21" s="80">
        <f t="shared" si="7"/>
        <v>0</v>
      </c>
      <c r="T21" s="80">
        <f t="shared" si="7"/>
        <v>0</v>
      </c>
      <c r="U21" s="81">
        <f t="shared" si="7"/>
        <v>0</v>
      </c>
      <c r="V21" s="83">
        <f t="shared" si="7"/>
        <v>0</v>
      </c>
      <c r="W21" s="99">
        <f>SUM(W16:W20)</f>
        <v>2</v>
      </c>
    </row>
    <row r="22" spans="1:23" ht="15.75" customHeight="1" x14ac:dyDescent="0.25"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</row>
    <row r="23" spans="1:23" ht="15.75" customHeight="1" x14ac:dyDescent="0.25"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</row>
    <row r="24" spans="1:23" ht="15.75" customHeight="1" x14ac:dyDescent="0.25"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</row>
    <row r="25" spans="1:23" ht="15.75" customHeight="1" x14ac:dyDescent="0.25"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</row>
    <row r="26" spans="1:23" ht="15.75" customHeight="1" x14ac:dyDescent="0.25"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</row>
    <row r="27" spans="1:23" ht="15.75" customHeight="1" x14ac:dyDescent="0.25"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</row>
    <row r="28" spans="1:23" ht="15.75" customHeight="1" x14ac:dyDescent="0.25"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</row>
    <row r="29" spans="1:23" ht="15.75" customHeight="1" x14ac:dyDescent="0.25"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</row>
    <row r="30" spans="1:23" ht="15.75" customHeight="1" x14ac:dyDescent="0.25"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</row>
    <row r="31" spans="1:23" ht="15.75" customHeight="1" x14ac:dyDescent="0.25"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</row>
    <row r="32" spans="1:23" ht="15.75" customHeight="1" x14ac:dyDescent="0.25"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</row>
    <row r="33" spans="3:22" ht="15.75" customHeight="1" x14ac:dyDescent="0.25"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</row>
    <row r="34" spans="3:22" ht="15.75" customHeight="1" x14ac:dyDescent="0.25"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</row>
    <row r="35" spans="3:22" ht="15.75" customHeight="1" x14ac:dyDescent="0.25"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</row>
    <row r="36" spans="3:22" ht="15.75" customHeight="1" x14ac:dyDescent="0.25"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</row>
    <row r="37" spans="3:22" ht="15.75" customHeight="1" x14ac:dyDescent="0.25"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</row>
    <row r="38" spans="3:22" ht="15.75" customHeight="1" x14ac:dyDescent="0.25"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</row>
    <row r="39" spans="3:22" ht="15.75" customHeight="1" x14ac:dyDescent="0.25"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</row>
    <row r="40" spans="3:22" ht="15.75" customHeight="1" x14ac:dyDescent="0.25"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</row>
    <row r="41" spans="3:22" ht="15.75" customHeight="1" x14ac:dyDescent="0.25"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</row>
    <row r="42" spans="3:22" ht="15.75" customHeight="1" x14ac:dyDescent="0.25"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</row>
    <row r="43" spans="3:22" ht="15.75" customHeight="1" x14ac:dyDescent="0.25"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</row>
    <row r="44" spans="3:22" ht="15.75" customHeight="1" x14ac:dyDescent="0.25"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</row>
    <row r="45" spans="3:22" ht="15.75" customHeight="1" x14ac:dyDescent="0.25"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</row>
    <row r="46" spans="3:22" ht="15.75" customHeight="1" x14ac:dyDescent="0.25"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</row>
    <row r="47" spans="3:22" ht="15.75" customHeight="1" x14ac:dyDescent="0.25"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</row>
    <row r="48" spans="3:22" ht="15.75" customHeight="1" x14ac:dyDescent="0.25"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</row>
    <row r="49" spans="3:22" ht="15.75" customHeight="1" x14ac:dyDescent="0.25"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</row>
    <row r="50" spans="3:22" ht="15.75" customHeight="1" x14ac:dyDescent="0.25"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</row>
    <row r="51" spans="3:22" ht="15.75" customHeight="1" x14ac:dyDescent="0.25"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</row>
    <row r="52" spans="3:22" ht="15.75" customHeight="1" x14ac:dyDescent="0.25"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</row>
    <row r="53" spans="3:22" ht="15.75" customHeight="1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</row>
    <row r="54" spans="3:22" ht="15.75" customHeight="1" x14ac:dyDescent="0.25"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</row>
    <row r="55" spans="3:22" ht="15.75" customHeight="1" x14ac:dyDescent="0.25"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</row>
    <row r="56" spans="3:22" ht="15.75" customHeight="1" x14ac:dyDescent="0.25"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</row>
    <row r="57" spans="3:22" ht="15.75" customHeight="1" x14ac:dyDescent="0.25"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</row>
    <row r="58" spans="3:22" ht="15.75" customHeight="1" x14ac:dyDescent="0.25"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</row>
    <row r="59" spans="3:22" ht="15.75" customHeight="1" x14ac:dyDescent="0.25"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</row>
    <row r="60" spans="3:22" ht="15.75" customHeight="1" x14ac:dyDescent="0.25"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</row>
    <row r="61" spans="3:22" ht="15.75" customHeight="1" x14ac:dyDescent="0.25"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</row>
    <row r="62" spans="3:22" ht="15.75" customHeight="1" x14ac:dyDescent="0.25"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</row>
    <row r="63" spans="3:22" ht="15.75" customHeight="1" x14ac:dyDescent="0.25"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</row>
    <row r="64" spans="3:22" ht="15.75" customHeight="1" x14ac:dyDescent="0.25"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</row>
    <row r="65" spans="3:22" ht="15.75" customHeight="1" x14ac:dyDescent="0.25"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</row>
    <row r="66" spans="3:22" ht="15.75" customHeight="1" x14ac:dyDescent="0.25"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</row>
    <row r="67" spans="3:22" ht="15.75" customHeight="1" x14ac:dyDescent="0.25"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</row>
    <row r="68" spans="3:22" ht="15.75" customHeight="1" x14ac:dyDescent="0.25"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</row>
    <row r="69" spans="3:22" ht="15.75" customHeight="1" x14ac:dyDescent="0.25"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</row>
    <row r="70" spans="3:22" ht="15.75" customHeight="1" x14ac:dyDescent="0.25"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</row>
    <row r="71" spans="3:22" ht="15.75" customHeight="1" x14ac:dyDescent="0.25"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</row>
    <row r="72" spans="3:22" ht="15.75" customHeight="1" x14ac:dyDescent="0.25"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</row>
    <row r="73" spans="3:22" ht="15.75" customHeight="1" x14ac:dyDescent="0.25"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</row>
    <row r="74" spans="3:22" ht="15.75" customHeight="1" x14ac:dyDescent="0.25"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</row>
    <row r="75" spans="3:22" ht="15.75" customHeight="1" x14ac:dyDescent="0.25"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</row>
    <row r="76" spans="3:22" ht="15.75" customHeight="1" x14ac:dyDescent="0.25"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</row>
    <row r="77" spans="3:22" ht="15.75" customHeight="1" x14ac:dyDescent="0.25"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</row>
    <row r="78" spans="3:22" ht="15.75" customHeight="1" x14ac:dyDescent="0.25"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</row>
    <row r="79" spans="3:22" ht="15.75" customHeight="1" x14ac:dyDescent="0.25"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</row>
    <row r="80" spans="3:22" ht="15.75" customHeight="1" x14ac:dyDescent="0.25"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</row>
    <row r="81" spans="3:22" ht="15.75" customHeight="1" x14ac:dyDescent="0.25"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</row>
    <row r="82" spans="3:22" ht="15.75" customHeight="1" x14ac:dyDescent="0.25"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</row>
    <row r="83" spans="3:22" ht="15.75" customHeight="1" x14ac:dyDescent="0.25"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</row>
    <row r="84" spans="3:22" ht="15.75" customHeight="1" x14ac:dyDescent="0.25"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</row>
    <row r="85" spans="3:22" ht="15.75" customHeight="1" x14ac:dyDescent="0.25"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</row>
    <row r="86" spans="3:22" ht="15.75" customHeight="1" x14ac:dyDescent="0.25"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</row>
    <row r="87" spans="3:22" ht="15.75" customHeight="1" x14ac:dyDescent="0.25"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</row>
    <row r="88" spans="3:22" ht="15.75" customHeight="1" x14ac:dyDescent="0.25"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</row>
    <row r="89" spans="3:22" ht="15.75" customHeight="1" x14ac:dyDescent="0.25"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</row>
    <row r="90" spans="3:22" ht="15.75" customHeight="1" x14ac:dyDescent="0.25"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</row>
    <row r="91" spans="3:22" ht="15.75" customHeight="1" x14ac:dyDescent="0.25"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</row>
    <row r="92" spans="3:22" ht="15.75" customHeight="1" x14ac:dyDescent="0.25"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</row>
    <row r="93" spans="3:22" ht="15.75" customHeight="1" x14ac:dyDescent="0.25"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</row>
    <row r="94" spans="3:22" ht="15.75" customHeight="1" x14ac:dyDescent="0.25"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</row>
    <row r="95" spans="3:22" ht="15.75" customHeight="1" x14ac:dyDescent="0.25"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</row>
    <row r="96" spans="3:22" ht="15.75" customHeight="1" x14ac:dyDescent="0.25"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</row>
    <row r="97" spans="3:22" ht="15.75" customHeight="1" x14ac:dyDescent="0.25"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</row>
    <row r="98" spans="3:22" ht="15.75" customHeight="1" x14ac:dyDescent="0.25"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</row>
    <row r="99" spans="3:22" ht="15.75" customHeight="1" x14ac:dyDescent="0.25"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</row>
    <row r="100" spans="3:22" ht="15.75" customHeight="1" x14ac:dyDescent="0.25"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</row>
    <row r="101" spans="3:22" ht="15.75" customHeight="1" x14ac:dyDescent="0.25"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</row>
    <row r="102" spans="3:22" ht="15.75" customHeight="1" x14ac:dyDescent="0.25"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</row>
    <row r="103" spans="3:22" ht="15.75" customHeight="1" x14ac:dyDescent="0.25"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</row>
    <row r="104" spans="3:22" ht="15.75" customHeight="1" x14ac:dyDescent="0.25"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</row>
    <row r="105" spans="3:22" ht="15.75" customHeight="1" x14ac:dyDescent="0.25"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</row>
    <row r="106" spans="3:22" ht="15.75" customHeight="1" x14ac:dyDescent="0.25"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</row>
    <row r="107" spans="3:22" ht="15.75" customHeight="1" x14ac:dyDescent="0.25"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</row>
    <row r="108" spans="3:22" ht="15.75" customHeight="1" x14ac:dyDescent="0.25"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</row>
    <row r="109" spans="3:22" ht="15.75" customHeight="1" x14ac:dyDescent="0.25"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</row>
    <row r="110" spans="3:22" ht="15.75" customHeight="1" x14ac:dyDescent="0.25"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</row>
    <row r="111" spans="3:22" ht="15.75" customHeight="1" x14ac:dyDescent="0.25"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</row>
    <row r="112" spans="3:22" ht="15.75" customHeight="1" x14ac:dyDescent="0.25"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</row>
    <row r="113" spans="3:22" ht="15.75" customHeight="1" x14ac:dyDescent="0.25"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</row>
    <row r="114" spans="3:22" ht="15.75" customHeight="1" x14ac:dyDescent="0.25"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</row>
    <row r="115" spans="3:22" ht="15.75" customHeight="1" x14ac:dyDescent="0.25"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</row>
    <row r="116" spans="3:22" ht="15.75" customHeight="1" x14ac:dyDescent="0.25"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</row>
    <row r="117" spans="3:22" ht="15.75" customHeight="1" x14ac:dyDescent="0.25"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</row>
    <row r="118" spans="3:22" ht="15.75" customHeight="1" x14ac:dyDescent="0.25"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</row>
    <row r="119" spans="3:22" ht="15.75" customHeight="1" x14ac:dyDescent="0.25"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</row>
    <row r="120" spans="3:22" ht="15.75" customHeight="1" x14ac:dyDescent="0.25"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</row>
    <row r="121" spans="3:22" ht="15.75" customHeight="1" x14ac:dyDescent="0.25"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</row>
    <row r="122" spans="3:22" ht="15.75" customHeight="1" x14ac:dyDescent="0.25"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</row>
    <row r="123" spans="3:22" ht="15.75" customHeight="1" x14ac:dyDescent="0.25"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</row>
    <row r="124" spans="3:22" ht="15.75" customHeight="1" x14ac:dyDescent="0.25"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</row>
    <row r="125" spans="3:22" ht="15.75" customHeight="1" x14ac:dyDescent="0.25"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</row>
    <row r="126" spans="3:22" ht="15.75" customHeight="1" x14ac:dyDescent="0.25"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</row>
    <row r="127" spans="3:22" ht="15.75" customHeight="1" x14ac:dyDescent="0.25"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</row>
    <row r="128" spans="3:22" ht="15.75" customHeight="1" x14ac:dyDescent="0.25"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</row>
    <row r="129" spans="3:22" ht="15.75" customHeight="1" x14ac:dyDescent="0.25"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</row>
    <row r="130" spans="3:22" ht="15.75" customHeight="1" x14ac:dyDescent="0.25"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</row>
    <row r="131" spans="3:22" ht="15.75" customHeight="1" x14ac:dyDescent="0.25"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</row>
    <row r="132" spans="3:22" ht="15.75" customHeight="1" x14ac:dyDescent="0.25"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</row>
    <row r="133" spans="3:22" ht="15.75" customHeight="1" x14ac:dyDescent="0.25"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</row>
    <row r="134" spans="3:22" ht="15.75" customHeight="1" x14ac:dyDescent="0.25"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</row>
    <row r="135" spans="3:22" ht="15.75" customHeight="1" x14ac:dyDescent="0.25"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</row>
    <row r="136" spans="3:22" ht="15.75" customHeight="1" x14ac:dyDescent="0.25"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</row>
    <row r="137" spans="3:22" ht="15.75" customHeight="1" x14ac:dyDescent="0.25"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</row>
    <row r="138" spans="3:22" ht="15.75" customHeight="1" x14ac:dyDescent="0.25"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</row>
    <row r="139" spans="3:22" ht="15.75" customHeight="1" x14ac:dyDescent="0.25"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</row>
    <row r="140" spans="3:22" ht="15.75" customHeight="1" x14ac:dyDescent="0.25"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</row>
    <row r="141" spans="3:22" ht="15.75" customHeight="1" x14ac:dyDescent="0.25"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</row>
    <row r="142" spans="3:22" ht="15.75" customHeight="1" x14ac:dyDescent="0.25"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</row>
    <row r="143" spans="3:22" ht="15.75" customHeight="1" x14ac:dyDescent="0.25"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</row>
    <row r="144" spans="3:22" ht="15.75" customHeight="1" x14ac:dyDescent="0.25"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</row>
    <row r="145" spans="3:22" ht="15.75" customHeight="1" x14ac:dyDescent="0.25"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</row>
    <row r="146" spans="3:22" ht="15.75" customHeight="1" x14ac:dyDescent="0.25"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</row>
    <row r="147" spans="3:22" ht="15.75" customHeight="1" x14ac:dyDescent="0.25"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</row>
    <row r="148" spans="3:22" ht="15.75" customHeight="1" x14ac:dyDescent="0.25"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</row>
    <row r="149" spans="3:22" ht="15.75" customHeight="1" x14ac:dyDescent="0.25"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</row>
    <row r="150" spans="3:22" ht="15.75" customHeight="1" x14ac:dyDescent="0.25"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</row>
    <row r="151" spans="3:22" ht="15.75" customHeight="1" x14ac:dyDescent="0.25"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</row>
    <row r="152" spans="3:22" ht="15.75" customHeight="1" x14ac:dyDescent="0.25"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</row>
    <row r="153" spans="3:22" ht="15.75" customHeight="1" x14ac:dyDescent="0.25"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</row>
    <row r="154" spans="3:22" ht="15.75" customHeight="1" x14ac:dyDescent="0.25"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</row>
    <row r="155" spans="3:22" ht="15.75" customHeight="1" x14ac:dyDescent="0.25"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</row>
    <row r="156" spans="3:22" ht="15.75" customHeight="1" x14ac:dyDescent="0.25"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</row>
    <row r="157" spans="3:22" ht="15.75" customHeight="1" x14ac:dyDescent="0.25"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</row>
    <row r="158" spans="3:22" ht="15.75" customHeight="1" x14ac:dyDescent="0.25"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</row>
    <row r="159" spans="3:22" ht="15.75" customHeight="1" x14ac:dyDescent="0.25"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</row>
    <row r="160" spans="3:22" ht="15.75" customHeight="1" x14ac:dyDescent="0.25"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</row>
    <row r="161" spans="3:22" ht="15.75" customHeight="1" x14ac:dyDescent="0.25"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</row>
    <row r="162" spans="3:22" ht="15.75" customHeight="1" x14ac:dyDescent="0.25"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</row>
    <row r="163" spans="3:22" ht="15.75" customHeight="1" x14ac:dyDescent="0.25"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</row>
    <row r="164" spans="3:22" ht="15.75" customHeight="1" x14ac:dyDescent="0.25"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</row>
    <row r="165" spans="3:22" ht="15.75" customHeight="1" x14ac:dyDescent="0.25"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</row>
    <row r="166" spans="3:22" ht="15.75" customHeight="1" x14ac:dyDescent="0.25"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</row>
    <row r="167" spans="3:22" ht="15.75" customHeight="1" x14ac:dyDescent="0.25"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</row>
    <row r="168" spans="3:22" ht="15.75" customHeight="1" x14ac:dyDescent="0.25"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</row>
    <row r="169" spans="3:22" ht="15.75" customHeight="1" x14ac:dyDescent="0.25"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</row>
    <row r="170" spans="3:22" ht="15.75" customHeight="1" x14ac:dyDescent="0.25"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</row>
    <row r="171" spans="3:22" ht="15.75" customHeight="1" x14ac:dyDescent="0.25"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</row>
    <row r="172" spans="3:22" ht="15.75" customHeight="1" x14ac:dyDescent="0.25"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</row>
    <row r="173" spans="3:22" ht="15.75" customHeight="1" x14ac:dyDescent="0.25"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</row>
    <row r="174" spans="3:22" ht="15.75" customHeight="1" x14ac:dyDescent="0.25"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</row>
    <row r="175" spans="3:22" ht="15.75" customHeight="1" x14ac:dyDescent="0.25"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</row>
    <row r="176" spans="3:22" ht="15.75" customHeight="1" x14ac:dyDescent="0.25"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</row>
    <row r="177" spans="3:22" ht="15.75" customHeight="1" x14ac:dyDescent="0.25"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</row>
    <row r="178" spans="3:22" ht="15.75" customHeight="1" x14ac:dyDescent="0.25"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</row>
    <row r="179" spans="3:22" ht="15.75" customHeight="1" x14ac:dyDescent="0.25"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</row>
    <row r="180" spans="3:22" ht="15.75" customHeight="1" x14ac:dyDescent="0.25"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</row>
    <row r="181" spans="3:22" ht="15.75" customHeight="1" x14ac:dyDescent="0.25"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</row>
    <row r="182" spans="3:22" ht="15.75" customHeight="1" x14ac:dyDescent="0.25"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</row>
    <row r="183" spans="3:22" ht="15.75" customHeight="1" x14ac:dyDescent="0.25"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</row>
    <row r="184" spans="3:22" ht="15.75" customHeight="1" x14ac:dyDescent="0.25"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</row>
    <row r="185" spans="3:22" ht="15.75" customHeight="1" x14ac:dyDescent="0.25"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</row>
    <row r="186" spans="3:22" ht="15.75" customHeight="1" x14ac:dyDescent="0.25"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</row>
    <row r="187" spans="3:22" ht="15.75" customHeight="1" x14ac:dyDescent="0.25"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</row>
    <row r="188" spans="3:22" ht="15.75" customHeight="1" x14ac:dyDescent="0.25"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</row>
    <row r="189" spans="3:22" ht="15.75" customHeight="1" x14ac:dyDescent="0.25"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</row>
    <row r="190" spans="3:22" ht="15.75" customHeight="1" x14ac:dyDescent="0.25"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</row>
    <row r="191" spans="3:22" ht="15.75" customHeight="1" x14ac:dyDescent="0.25"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</row>
    <row r="192" spans="3:22" ht="15.75" customHeight="1" x14ac:dyDescent="0.25"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</row>
    <row r="193" spans="3:22" ht="15.75" customHeight="1" x14ac:dyDescent="0.25"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</row>
    <row r="194" spans="3:22" ht="15.75" customHeight="1" x14ac:dyDescent="0.25"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</row>
    <row r="195" spans="3:22" ht="15.75" customHeight="1" x14ac:dyDescent="0.25"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</row>
    <row r="196" spans="3:22" ht="15.75" customHeight="1" x14ac:dyDescent="0.25"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</row>
    <row r="197" spans="3:22" ht="15.75" customHeight="1" x14ac:dyDescent="0.25"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</row>
    <row r="198" spans="3:22" ht="15.75" customHeight="1" x14ac:dyDescent="0.25"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</row>
    <row r="199" spans="3:22" ht="15.75" customHeight="1" x14ac:dyDescent="0.25"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</row>
    <row r="200" spans="3:22" ht="15.75" customHeight="1" x14ac:dyDescent="0.25"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</row>
    <row r="201" spans="3:22" ht="15.75" customHeight="1" x14ac:dyDescent="0.25"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</row>
    <row r="202" spans="3:22" ht="15.75" customHeight="1" x14ac:dyDescent="0.25"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</row>
    <row r="203" spans="3:22" ht="15.75" customHeight="1" x14ac:dyDescent="0.25"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</row>
    <row r="204" spans="3:22" ht="15.75" customHeight="1" x14ac:dyDescent="0.25"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</row>
    <row r="205" spans="3:22" ht="15.75" customHeight="1" x14ac:dyDescent="0.25"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</row>
    <row r="206" spans="3:22" ht="15.75" customHeight="1" x14ac:dyDescent="0.25"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</row>
    <row r="207" spans="3:22" ht="15.75" customHeight="1" x14ac:dyDescent="0.25"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</row>
    <row r="208" spans="3:22" ht="15.75" customHeight="1" x14ac:dyDescent="0.25"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</row>
    <row r="209" spans="3:22" ht="15.75" customHeight="1" x14ac:dyDescent="0.25"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</row>
    <row r="210" spans="3:22" ht="15.75" customHeight="1" x14ac:dyDescent="0.25"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</row>
    <row r="211" spans="3:22" ht="15.75" customHeight="1" x14ac:dyDescent="0.25"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</row>
    <row r="212" spans="3:22" ht="15.75" customHeight="1" x14ac:dyDescent="0.25"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</row>
    <row r="213" spans="3:22" ht="15.75" customHeight="1" x14ac:dyDescent="0.25"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</row>
    <row r="214" spans="3:22" ht="15.75" customHeight="1" x14ac:dyDescent="0.25"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</row>
    <row r="215" spans="3:22" ht="15.75" customHeight="1" x14ac:dyDescent="0.25"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</row>
    <row r="216" spans="3:22" ht="15.75" customHeight="1" x14ac:dyDescent="0.25"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</row>
    <row r="217" spans="3:22" ht="15.75" customHeight="1" x14ac:dyDescent="0.25"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</row>
    <row r="218" spans="3:22" ht="15.75" customHeight="1" x14ac:dyDescent="0.25"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</row>
    <row r="219" spans="3:22" ht="15.75" customHeight="1" x14ac:dyDescent="0.25"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</row>
    <row r="220" spans="3:22" ht="15.75" customHeight="1" x14ac:dyDescent="0.25"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</row>
    <row r="221" spans="3:22" ht="15.75" customHeight="1" x14ac:dyDescent="0.25"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</row>
    <row r="222" spans="3:22" ht="15.75" customHeight="1" x14ac:dyDescent="0.25"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</row>
    <row r="223" spans="3:22" ht="15.75" customHeight="1" x14ac:dyDescent="0.25"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</row>
    <row r="224" spans="3:22" ht="15.75" customHeight="1" x14ac:dyDescent="0.25"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</row>
    <row r="225" spans="3:22" ht="15.75" customHeight="1" x14ac:dyDescent="0.25"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</row>
    <row r="226" spans="3:22" ht="15.75" customHeight="1" x14ac:dyDescent="0.25"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</row>
    <row r="227" spans="3:22" ht="15.75" customHeight="1" x14ac:dyDescent="0.25"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</row>
    <row r="228" spans="3:22" ht="15.75" customHeight="1" x14ac:dyDescent="0.25"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</row>
    <row r="229" spans="3:22" ht="15.75" customHeight="1" x14ac:dyDescent="0.25"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</row>
    <row r="230" spans="3:22" ht="15.75" customHeight="1" x14ac:dyDescent="0.25"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</row>
    <row r="231" spans="3:22" ht="15.75" customHeight="1" x14ac:dyDescent="0.25"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</row>
    <row r="232" spans="3:22" ht="15.75" customHeight="1" x14ac:dyDescent="0.25"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</row>
    <row r="233" spans="3:22" ht="15.75" customHeight="1" x14ac:dyDescent="0.25"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</row>
    <row r="234" spans="3:22" ht="15.75" customHeight="1" x14ac:dyDescent="0.25"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</row>
    <row r="235" spans="3:22" ht="15.75" customHeight="1" x14ac:dyDescent="0.25"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</row>
    <row r="236" spans="3:22" ht="15.75" customHeight="1" x14ac:dyDescent="0.25"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</row>
    <row r="237" spans="3:22" ht="15.75" customHeight="1" x14ac:dyDescent="0.25"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</row>
    <row r="238" spans="3:22" ht="15.75" customHeight="1" x14ac:dyDescent="0.25"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</row>
    <row r="239" spans="3:22" ht="15.75" customHeight="1" x14ac:dyDescent="0.25"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</row>
    <row r="240" spans="3:22" ht="15.75" customHeight="1" x14ac:dyDescent="0.25"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</row>
    <row r="241" spans="3:22" ht="15.75" customHeight="1" x14ac:dyDescent="0.25"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</row>
    <row r="242" spans="3:22" ht="15.75" customHeight="1" x14ac:dyDescent="0.25"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</row>
    <row r="243" spans="3:22" ht="15.75" customHeight="1" x14ac:dyDescent="0.25"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</row>
    <row r="244" spans="3:22" ht="15.75" customHeight="1" x14ac:dyDescent="0.25"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</row>
    <row r="245" spans="3:22" ht="15.75" customHeight="1" x14ac:dyDescent="0.25"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</row>
    <row r="246" spans="3:22" ht="15.75" customHeight="1" x14ac:dyDescent="0.25"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</row>
    <row r="247" spans="3:22" ht="15.75" customHeight="1" x14ac:dyDescent="0.25"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</row>
    <row r="248" spans="3:22" ht="15.75" customHeight="1" x14ac:dyDescent="0.25"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</row>
    <row r="249" spans="3:22" ht="15.75" customHeight="1" x14ac:dyDescent="0.25"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</row>
    <row r="250" spans="3:22" ht="15.75" customHeight="1" x14ac:dyDescent="0.25"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</row>
    <row r="251" spans="3:22" ht="15.75" customHeight="1" x14ac:dyDescent="0.25"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</row>
    <row r="252" spans="3:22" ht="15.75" customHeight="1" x14ac:dyDescent="0.25"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</row>
    <row r="253" spans="3:22" ht="15.75" customHeight="1" x14ac:dyDescent="0.25"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</row>
    <row r="254" spans="3:22" ht="15.75" customHeight="1" x14ac:dyDescent="0.25"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</row>
    <row r="255" spans="3:22" ht="15.75" customHeight="1" x14ac:dyDescent="0.25"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</row>
    <row r="256" spans="3:22" ht="15.75" customHeight="1" x14ac:dyDescent="0.25"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</row>
    <row r="257" spans="3:22" ht="15.75" customHeight="1" x14ac:dyDescent="0.25"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</row>
    <row r="258" spans="3:22" ht="15.75" customHeight="1" x14ac:dyDescent="0.25"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</row>
    <row r="259" spans="3:22" ht="15.75" customHeight="1" x14ac:dyDescent="0.25"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</row>
    <row r="260" spans="3:22" ht="15.75" customHeight="1" x14ac:dyDescent="0.25"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</row>
    <row r="261" spans="3:22" ht="15.75" customHeight="1" x14ac:dyDescent="0.25"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</row>
    <row r="262" spans="3:22" ht="15.75" customHeight="1" x14ac:dyDescent="0.25"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</row>
    <row r="263" spans="3:22" ht="15.75" customHeight="1" x14ac:dyDescent="0.25"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</row>
    <row r="264" spans="3:22" ht="15.75" customHeight="1" x14ac:dyDescent="0.25"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</row>
    <row r="265" spans="3:22" ht="15.75" customHeight="1" x14ac:dyDescent="0.25"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</row>
    <row r="266" spans="3:22" ht="15.75" customHeight="1" x14ac:dyDescent="0.25"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</row>
    <row r="267" spans="3:22" ht="15.75" customHeight="1" x14ac:dyDescent="0.25"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</row>
    <row r="268" spans="3:22" ht="15.75" customHeight="1" x14ac:dyDescent="0.25"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</row>
    <row r="269" spans="3:22" ht="15.75" customHeight="1" x14ac:dyDescent="0.25"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</row>
    <row r="270" spans="3:22" ht="15.75" customHeight="1" x14ac:dyDescent="0.25"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</row>
    <row r="271" spans="3:22" ht="15.75" customHeight="1" x14ac:dyDescent="0.25"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</row>
    <row r="272" spans="3:22" ht="15.75" customHeight="1" x14ac:dyDescent="0.25"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</row>
    <row r="273" spans="3:22" ht="15.75" customHeight="1" x14ac:dyDescent="0.25"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</row>
    <row r="274" spans="3:22" ht="15.75" customHeight="1" x14ac:dyDescent="0.25"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</row>
    <row r="275" spans="3:22" ht="15.75" customHeight="1" x14ac:dyDescent="0.25"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</row>
    <row r="276" spans="3:22" ht="15.75" customHeight="1" x14ac:dyDescent="0.25"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</row>
    <row r="277" spans="3:22" ht="15.75" customHeight="1" x14ac:dyDescent="0.25"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</row>
    <row r="278" spans="3:22" ht="15.75" customHeight="1" x14ac:dyDescent="0.25"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</row>
    <row r="279" spans="3:22" ht="15.75" customHeight="1" x14ac:dyDescent="0.25"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</row>
    <row r="280" spans="3:22" ht="15.75" customHeight="1" x14ac:dyDescent="0.25"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</row>
    <row r="281" spans="3:22" ht="15.75" customHeight="1" x14ac:dyDescent="0.25"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</row>
    <row r="282" spans="3:22" ht="15.75" customHeight="1" x14ac:dyDescent="0.25"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</row>
    <row r="283" spans="3:22" ht="15.75" customHeight="1" x14ac:dyDescent="0.25"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</row>
    <row r="284" spans="3:22" ht="15.75" customHeight="1" x14ac:dyDescent="0.25"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</row>
    <row r="285" spans="3:22" ht="15.75" customHeight="1" x14ac:dyDescent="0.25"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</row>
    <row r="286" spans="3:22" ht="15.75" customHeight="1" x14ac:dyDescent="0.25"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</row>
    <row r="287" spans="3:22" ht="15.75" customHeight="1" x14ac:dyDescent="0.25"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</row>
    <row r="288" spans="3:22" ht="15.75" customHeight="1" x14ac:dyDescent="0.25"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</row>
    <row r="289" spans="3:22" ht="15.75" customHeight="1" x14ac:dyDescent="0.25"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</row>
    <row r="290" spans="3:22" ht="15.75" customHeight="1" x14ac:dyDescent="0.25"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</row>
    <row r="291" spans="3:22" ht="15.75" customHeight="1" x14ac:dyDescent="0.25"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</row>
    <row r="292" spans="3:22" ht="15.75" customHeight="1" x14ac:dyDescent="0.25"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</row>
    <row r="293" spans="3:22" ht="15.75" customHeight="1" x14ac:dyDescent="0.25"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</row>
    <row r="294" spans="3:22" ht="15.75" customHeight="1" x14ac:dyDescent="0.25"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</row>
    <row r="295" spans="3:22" ht="15.75" customHeight="1" x14ac:dyDescent="0.25"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</row>
    <row r="296" spans="3:22" ht="15.75" customHeight="1" x14ac:dyDescent="0.25"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</row>
    <row r="297" spans="3:22" ht="15.75" customHeight="1" x14ac:dyDescent="0.25"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</row>
    <row r="298" spans="3:22" ht="15.75" customHeight="1" x14ac:dyDescent="0.25"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</row>
    <row r="299" spans="3:22" ht="15.75" customHeight="1" x14ac:dyDescent="0.25"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</row>
    <row r="300" spans="3:22" ht="15.75" customHeight="1" x14ac:dyDescent="0.25"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</row>
    <row r="301" spans="3:22" ht="15.75" customHeight="1" x14ac:dyDescent="0.25"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</row>
    <row r="302" spans="3:22" ht="15.75" customHeight="1" x14ac:dyDescent="0.25"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</row>
    <row r="303" spans="3:22" ht="15.75" customHeight="1" x14ac:dyDescent="0.25"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</row>
    <row r="304" spans="3:22" ht="15.75" customHeight="1" x14ac:dyDescent="0.25"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</row>
    <row r="305" spans="3:22" ht="15.75" customHeight="1" x14ac:dyDescent="0.25"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</row>
    <row r="306" spans="3:22" ht="15.75" customHeight="1" x14ac:dyDescent="0.25"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</row>
    <row r="307" spans="3:22" ht="15.75" customHeight="1" x14ac:dyDescent="0.25"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</row>
    <row r="308" spans="3:22" ht="15.75" customHeight="1" x14ac:dyDescent="0.25"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</row>
    <row r="309" spans="3:22" ht="15.75" customHeight="1" x14ac:dyDescent="0.25"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</row>
    <row r="310" spans="3:22" ht="15.75" customHeight="1" x14ac:dyDescent="0.25"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</row>
    <row r="311" spans="3:22" ht="15.75" customHeight="1" x14ac:dyDescent="0.25"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</row>
    <row r="312" spans="3:22" ht="15.75" customHeight="1" x14ac:dyDescent="0.25"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</row>
    <row r="313" spans="3:22" ht="15.75" customHeight="1" x14ac:dyDescent="0.25"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</row>
    <row r="314" spans="3:22" ht="15.75" customHeight="1" x14ac:dyDescent="0.25"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</row>
    <row r="315" spans="3:22" ht="15.75" customHeight="1" x14ac:dyDescent="0.25"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</row>
    <row r="316" spans="3:22" ht="15.75" customHeight="1" x14ac:dyDescent="0.25"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</row>
    <row r="317" spans="3:22" ht="15.75" customHeight="1" x14ac:dyDescent="0.25"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</row>
    <row r="318" spans="3:22" ht="15.75" customHeight="1" x14ac:dyDescent="0.25"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</row>
    <row r="319" spans="3:22" ht="15.75" customHeight="1" x14ac:dyDescent="0.25"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</row>
    <row r="320" spans="3:22" ht="15.75" customHeight="1" x14ac:dyDescent="0.25"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</row>
    <row r="321" spans="3:22" ht="15.75" customHeight="1" x14ac:dyDescent="0.25"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</row>
    <row r="322" spans="3:22" ht="15.75" customHeight="1" x14ac:dyDescent="0.25"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</row>
    <row r="323" spans="3:22" ht="15.75" customHeight="1" x14ac:dyDescent="0.25"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</row>
    <row r="324" spans="3:22" ht="15.75" customHeight="1" x14ac:dyDescent="0.25"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</row>
    <row r="325" spans="3:22" ht="15.75" customHeight="1" x14ac:dyDescent="0.25"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</row>
    <row r="326" spans="3:22" ht="15.75" customHeight="1" x14ac:dyDescent="0.25"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</row>
    <row r="327" spans="3:22" ht="15.75" customHeight="1" x14ac:dyDescent="0.25"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</row>
    <row r="328" spans="3:22" ht="15.75" customHeight="1" x14ac:dyDescent="0.25"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</row>
    <row r="329" spans="3:22" ht="15.75" customHeight="1" x14ac:dyDescent="0.25"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</row>
    <row r="330" spans="3:22" ht="15.75" customHeight="1" x14ac:dyDescent="0.25"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</row>
    <row r="331" spans="3:22" ht="15.75" customHeight="1" x14ac:dyDescent="0.25"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</row>
    <row r="332" spans="3:22" ht="15.75" customHeight="1" x14ac:dyDescent="0.25"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</row>
    <row r="333" spans="3:22" ht="15.75" customHeight="1" x14ac:dyDescent="0.25"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</row>
    <row r="334" spans="3:22" ht="15.75" customHeight="1" x14ac:dyDescent="0.25"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</row>
    <row r="335" spans="3:22" ht="15.75" customHeight="1" x14ac:dyDescent="0.25"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</row>
    <row r="336" spans="3:22" ht="15.75" customHeight="1" x14ac:dyDescent="0.25"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</row>
    <row r="337" spans="3:22" ht="15.75" customHeight="1" x14ac:dyDescent="0.25"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</row>
    <row r="338" spans="3:22" ht="15.75" customHeight="1" x14ac:dyDescent="0.25"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</row>
    <row r="339" spans="3:22" ht="15.75" customHeight="1" x14ac:dyDescent="0.25"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</row>
    <row r="340" spans="3:22" ht="15.75" customHeight="1" x14ac:dyDescent="0.25"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</row>
    <row r="341" spans="3:22" ht="15.75" customHeight="1" x14ac:dyDescent="0.25"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</row>
    <row r="342" spans="3:22" ht="15.75" customHeight="1" x14ac:dyDescent="0.25"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</row>
    <row r="343" spans="3:22" ht="15.75" customHeight="1" x14ac:dyDescent="0.25"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</row>
    <row r="344" spans="3:22" ht="15.75" customHeight="1" x14ac:dyDescent="0.25"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</row>
    <row r="345" spans="3:22" ht="15.75" customHeight="1" x14ac:dyDescent="0.25"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</row>
    <row r="346" spans="3:22" ht="15.75" customHeight="1" x14ac:dyDescent="0.25"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</row>
    <row r="347" spans="3:22" ht="15.75" customHeight="1" x14ac:dyDescent="0.25"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</row>
    <row r="348" spans="3:22" ht="15.75" customHeight="1" x14ac:dyDescent="0.25"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</row>
    <row r="349" spans="3:22" ht="15.75" customHeight="1" x14ac:dyDescent="0.25"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</row>
    <row r="350" spans="3:22" ht="15.75" customHeight="1" x14ac:dyDescent="0.25"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</row>
    <row r="351" spans="3:22" ht="15.75" customHeight="1" x14ac:dyDescent="0.25"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</row>
    <row r="352" spans="3:22" ht="15.75" customHeight="1" x14ac:dyDescent="0.25"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</row>
    <row r="353" spans="3:22" ht="15.75" customHeight="1" x14ac:dyDescent="0.25"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</row>
    <row r="354" spans="3:22" ht="15.75" customHeight="1" x14ac:dyDescent="0.25"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</row>
    <row r="355" spans="3:22" ht="15.75" customHeight="1" x14ac:dyDescent="0.25"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</row>
    <row r="356" spans="3:22" ht="15.75" customHeight="1" x14ac:dyDescent="0.25"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</row>
    <row r="357" spans="3:22" ht="15.75" customHeight="1" x14ac:dyDescent="0.25"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</row>
    <row r="358" spans="3:22" ht="15.75" customHeight="1" x14ac:dyDescent="0.25"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</row>
    <row r="359" spans="3:22" ht="15.75" customHeight="1" x14ac:dyDescent="0.25"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</row>
    <row r="360" spans="3:22" ht="15.75" customHeight="1" x14ac:dyDescent="0.25"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</row>
    <row r="361" spans="3:22" ht="15.75" customHeight="1" x14ac:dyDescent="0.25"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</row>
    <row r="362" spans="3:22" ht="15.75" customHeight="1" x14ac:dyDescent="0.25"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</row>
    <row r="363" spans="3:22" ht="15.75" customHeight="1" x14ac:dyDescent="0.25"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</row>
    <row r="364" spans="3:22" ht="15.75" customHeight="1" x14ac:dyDescent="0.25"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</row>
    <row r="365" spans="3:22" ht="15.75" customHeight="1" x14ac:dyDescent="0.25"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</row>
    <row r="366" spans="3:22" ht="15.75" customHeight="1" x14ac:dyDescent="0.25"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</row>
    <row r="367" spans="3:22" ht="15.75" customHeight="1" x14ac:dyDescent="0.25"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</row>
    <row r="368" spans="3:22" ht="15.75" customHeight="1" x14ac:dyDescent="0.25"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</row>
    <row r="369" spans="3:22" ht="15.75" customHeight="1" x14ac:dyDescent="0.25"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</row>
    <row r="370" spans="3:22" ht="15.75" customHeight="1" x14ac:dyDescent="0.25"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</row>
    <row r="371" spans="3:22" ht="15.75" customHeight="1" x14ac:dyDescent="0.25"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</row>
    <row r="372" spans="3:22" ht="15.75" customHeight="1" x14ac:dyDescent="0.25"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</row>
    <row r="373" spans="3:22" ht="15.75" customHeight="1" x14ac:dyDescent="0.25"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</row>
    <row r="374" spans="3:22" ht="15.75" customHeight="1" x14ac:dyDescent="0.25"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</row>
    <row r="375" spans="3:22" ht="15.75" customHeight="1" x14ac:dyDescent="0.25"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</row>
    <row r="376" spans="3:22" ht="15.75" customHeight="1" x14ac:dyDescent="0.25"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</row>
    <row r="377" spans="3:22" ht="15.75" customHeight="1" x14ac:dyDescent="0.25"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</row>
    <row r="378" spans="3:22" ht="15.75" customHeight="1" x14ac:dyDescent="0.25"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</row>
    <row r="379" spans="3:22" ht="15.75" customHeight="1" x14ac:dyDescent="0.25"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</row>
    <row r="380" spans="3:22" ht="15.75" customHeight="1" x14ac:dyDescent="0.25"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</row>
    <row r="381" spans="3:22" ht="15.75" customHeight="1" x14ac:dyDescent="0.25"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</row>
    <row r="382" spans="3:22" ht="15.75" customHeight="1" x14ac:dyDescent="0.25"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</row>
    <row r="383" spans="3:22" ht="15.75" customHeight="1" x14ac:dyDescent="0.25"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</row>
    <row r="384" spans="3:22" ht="15.75" customHeight="1" x14ac:dyDescent="0.25"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</row>
    <row r="385" spans="3:22" ht="15.75" customHeight="1" x14ac:dyDescent="0.25"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</row>
    <row r="386" spans="3:22" ht="15.75" customHeight="1" x14ac:dyDescent="0.25"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</row>
    <row r="387" spans="3:22" ht="15.75" customHeight="1" x14ac:dyDescent="0.25"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</row>
    <row r="388" spans="3:22" ht="15.75" customHeight="1" x14ac:dyDescent="0.25"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</row>
    <row r="389" spans="3:22" ht="15.75" customHeight="1" x14ac:dyDescent="0.25"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</row>
    <row r="390" spans="3:22" ht="15.75" customHeight="1" x14ac:dyDescent="0.25"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</row>
    <row r="391" spans="3:22" ht="15.75" customHeight="1" x14ac:dyDescent="0.25"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</row>
    <row r="392" spans="3:22" ht="15.75" customHeight="1" x14ac:dyDescent="0.25"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</row>
    <row r="393" spans="3:22" ht="15.75" customHeight="1" x14ac:dyDescent="0.25"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</row>
    <row r="394" spans="3:22" ht="15.75" customHeight="1" x14ac:dyDescent="0.25"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</row>
    <row r="395" spans="3:22" ht="15.75" customHeight="1" x14ac:dyDescent="0.25"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</row>
    <row r="396" spans="3:22" ht="15.75" customHeight="1" x14ac:dyDescent="0.25"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</row>
    <row r="397" spans="3:22" ht="15.75" customHeight="1" x14ac:dyDescent="0.25"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</row>
    <row r="398" spans="3:22" ht="15.75" customHeight="1" x14ac:dyDescent="0.25"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</row>
    <row r="399" spans="3:22" ht="15.75" customHeight="1" x14ac:dyDescent="0.25"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</row>
    <row r="400" spans="3:22" ht="15.75" customHeight="1" x14ac:dyDescent="0.25"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</row>
    <row r="401" spans="3:22" ht="15.75" customHeight="1" x14ac:dyDescent="0.25"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</row>
    <row r="402" spans="3:22" ht="15.75" customHeight="1" x14ac:dyDescent="0.25"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</row>
    <row r="403" spans="3:22" ht="15.75" customHeight="1" x14ac:dyDescent="0.25"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</row>
    <row r="404" spans="3:22" ht="15.75" customHeight="1" x14ac:dyDescent="0.25"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</row>
    <row r="405" spans="3:22" ht="15.75" customHeight="1" x14ac:dyDescent="0.25"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</row>
    <row r="406" spans="3:22" ht="15.75" customHeight="1" x14ac:dyDescent="0.25"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</row>
    <row r="407" spans="3:22" ht="15.75" customHeight="1" x14ac:dyDescent="0.25"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</row>
    <row r="408" spans="3:22" ht="15.75" customHeight="1" x14ac:dyDescent="0.25"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</row>
    <row r="409" spans="3:22" ht="15.75" customHeight="1" x14ac:dyDescent="0.25"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</row>
    <row r="410" spans="3:22" ht="15.75" customHeight="1" x14ac:dyDescent="0.25"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</row>
    <row r="411" spans="3:22" ht="15.75" customHeight="1" x14ac:dyDescent="0.25"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</row>
    <row r="412" spans="3:22" ht="15.75" customHeight="1" x14ac:dyDescent="0.25"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</row>
    <row r="413" spans="3:22" ht="15.75" customHeight="1" x14ac:dyDescent="0.25"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</row>
    <row r="414" spans="3:22" ht="15.75" customHeight="1" x14ac:dyDescent="0.25"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</row>
    <row r="415" spans="3:22" ht="15.75" customHeight="1" x14ac:dyDescent="0.25"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</row>
    <row r="416" spans="3:22" ht="15.75" customHeight="1" x14ac:dyDescent="0.25"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</row>
    <row r="417" spans="3:22" ht="15.75" customHeight="1" x14ac:dyDescent="0.25"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</row>
    <row r="418" spans="3:22" ht="15.75" customHeight="1" x14ac:dyDescent="0.25"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</row>
    <row r="419" spans="3:22" ht="15.75" customHeight="1" x14ac:dyDescent="0.25"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</row>
    <row r="420" spans="3:22" ht="15.75" customHeight="1" x14ac:dyDescent="0.25"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</row>
    <row r="421" spans="3:22" ht="15.75" customHeight="1" x14ac:dyDescent="0.25"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</row>
    <row r="422" spans="3:22" ht="15.75" customHeight="1" x14ac:dyDescent="0.25"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</row>
    <row r="423" spans="3:22" ht="15.75" customHeight="1" x14ac:dyDescent="0.25"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</row>
    <row r="424" spans="3:22" ht="15.75" customHeight="1" x14ac:dyDescent="0.25"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</row>
    <row r="425" spans="3:22" ht="15.75" customHeight="1" x14ac:dyDescent="0.25"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</row>
    <row r="426" spans="3:22" ht="15.75" customHeight="1" x14ac:dyDescent="0.25"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</row>
    <row r="427" spans="3:22" ht="15.75" customHeight="1" x14ac:dyDescent="0.25"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</row>
    <row r="428" spans="3:22" ht="15.75" customHeight="1" x14ac:dyDescent="0.25"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</row>
    <row r="429" spans="3:22" ht="15.75" customHeight="1" x14ac:dyDescent="0.25"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</row>
    <row r="430" spans="3:22" ht="15.75" customHeight="1" x14ac:dyDescent="0.25"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</row>
    <row r="431" spans="3:22" ht="15.75" customHeight="1" x14ac:dyDescent="0.25"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</row>
    <row r="432" spans="3:22" ht="15.75" customHeight="1" x14ac:dyDescent="0.25"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</row>
    <row r="433" spans="3:22" ht="15.75" customHeight="1" x14ac:dyDescent="0.25"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</row>
    <row r="434" spans="3:22" ht="15.75" customHeight="1" x14ac:dyDescent="0.25"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</row>
    <row r="435" spans="3:22" ht="15.75" customHeight="1" x14ac:dyDescent="0.25"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</row>
    <row r="436" spans="3:22" ht="15.75" customHeight="1" x14ac:dyDescent="0.25"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</row>
    <row r="437" spans="3:22" ht="15.75" customHeight="1" x14ac:dyDescent="0.25"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</row>
    <row r="438" spans="3:22" ht="15.75" customHeight="1" x14ac:dyDescent="0.25"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</row>
    <row r="439" spans="3:22" ht="15.75" customHeight="1" x14ac:dyDescent="0.25"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</row>
    <row r="440" spans="3:22" ht="15.75" customHeight="1" x14ac:dyDescent="0.25"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</row>
    <row r="441" spans="3:22" ht="15.75" customHeight="1" x14ac:dyDescent="0.25"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</row>
    <row r="442" spans="3:22" ht="15.75" customHeight="1" x14ac:dyDescent="0.25"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</row>
    <row r="443" spans="3:22" ht="15.75" customHeight="1" x14ac:dyDescent="0.25"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</row>
    <row r="444" spans="3:22" ht="15.75" customHeight="1" x14ac:dyDescent="0.25"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</row>
    <row r="445" spans="3:22" ht="15.75" customHeight="1" x14ac:dyDescent="0.25"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</row>
    <row r="446" spans="3:22" ht="15.75" customHeight="1" x14ac:dyDescent="0.25"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</row>
    <row r="447" spans="3:22" ht="15.75" customHeight="1" x14ac:dyDescent="0.25"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</row>
    <row r="448" spans="3:22" ht="15.75" customHeight="1" x14ac:dyDescent="0.25"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</row>
    <row r="449" spans="3:22" ht="15.75" customHeight="1" x14ac:dyDescent="0.25"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</row>
    <row r="450" spans="3:22" ht="15.75" customHeight="1" x14ac:dyDescent="0.25"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</row>
    <row r="451" spans="3:22" ht="15.75" customHeight="1" x14ac:dyDescent="0.25"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</row>
    <row r="452" spans="3:22" ht="15.75" customHeight="1" x14ac:dyDescent="0.25"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</row>
    <row r="453" spans="3:22" ht="15.75" customHeight="1" x14ac:dyDescent="0.25"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</row>
    <row r="454" spans="3:22" ht="15.75" customHeight="1" x14ac:dyDescent="0.25"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</row>
    <row r="455" spans="3:22" ht="15.75" customHeight="1" x14ac:dyDescent="0.25"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</row>
    <row r="456" spans="3:22" ht="15.75" customHeight="1" x14ac:dyDescent="0.25"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</row>
    <row r="457" spans="3:22" ht="15.75" customHeight="1" x14ac:dyDescent="0.25"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</row>
    <row r="458" spans="3:22" ht="15.75" customHeight="1" x14ac:dyDescent="0.25"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</row>
    <row r="459" spans="3:22" ht="15.75" customHeight="1" x14ac:dyDescent="0.25"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</row>
    <row r="460" spans="3:22" ht="15.75" customHeight="1" x14ac:dyDescent="0.25"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</row>
    <row r="461" spans="3:22" ht="15.75" customHeight="1" x14ac:dyDescent="0.25"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</row>
    <row r="462" spans="3:22" ht="15.75" customHeight="1" x14ac:dyDescent="0.25"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</row>
    <row r="463" spans="3:22" ht="15.75" customHeight="1" x14ac:dyDescent="0.25"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</row>
    <row r="464" spans="3:22" ht="15.75" customHeight="1" x14ac:dyDescent="0.25"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</row>
    <row r="465" spans="3:22" ht="15.75" customHeight="1" x14ac:dyDescent="0.25"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</row>
    <row r="466" spans="3:22" ht="15.75" customHeight="1" x14ac:dyDescent="0.25"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</row>
    <row r="467" spans="3:22" ht="15.75" customHeight="1" x14ac:dyDescent="0.25"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</row>
    <row r="468" spans="3:22" ht="15.75" customHeight="1" x14ac:dyDescent="0.25"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</row>
    <row r="469" spans="3:22" ht="15.75" customHeight="1" x14ac:dyDescent="0.25"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</row>
    <row r="470" spans="3:22" ht="15.75" customHeight="1" x14ac:dyDescent="0.25"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</row>
    <row r="471" spans="3:22" ht="15.75" customHeight="1" x14ac:dyDescent="0.25"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</row>
    <row r="472" spans="3:22" ht="15.75" customHeight="1" x14ac:dyDescent="0.25"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</row>
    <row r="473" spans="3:22" ht="15.75" customHeight="1" x14ac:dyDescent="0.25"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</row>
    <row r="474" spans="3:22" ht="15.75" customHeight="1" x14ac:dyDescent="0.25"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</row>
    <row r="475" spans="3:22" ht="15.75" customHeight="1" x14ac:dyDescent="0.25"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</row>
    <row r="476" spans="3:22" ht="15.75" customHeight="1" x14ac:dyDescent="0.25"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</row>
    <row r="477" spans="3:22" ht="15.75" customHeight="1" x14ac:dyDescent="0.25"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</row>
    <row r="478" spans="3:22" ht="15.75" customHeight="1" x14ac:dyDescent="0.25"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</row>
    <row r="479" spans="3:22" ht="15.75" customHeight="1" x14ac:dyDescent="0.25"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</row>
    <row r="480" spans="3:22" ht="15.75" customHeight="1" x14ac:dyDescent="0.25"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</row>
    <row r="481" spans="3:22" ht="15.75" customHeight="1" x14ac:dyDescent="0.25"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</row>
    <row r="482" spans="3:22" ht="15.75" customHeight="1" x14ac:dyDescent="0.25"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</row>
    <row r="483" spans="3:22" ht="15.75" customHeight="1" x14ac:dyDescent="0.25"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</row>
    <row r="484" spans="3:22" ht="15.75" customHeight="1" x14ac:dyDescent="0.25"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</row>
    <row r="485" spans="3:22" ht="15.75" customHeight="1" x14ac:dyDescent="0.25"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</row>
    <row r="486" spans="3:22" ht="15.75" customHeight="1" x14ac:dyDescent="0.25"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</row>
    <row r="487" spans="3:22" ht="15.75" customHeight="1" x14ac:dyDescent="0.25"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</row>
    <row r="488" spans="3:22" ht="15.75" customHeight="1" x14ac:dyDescent="0.25"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</row>
    <row r="489" spans="3:22" ht="15.75" customHeight="1" x14ac:dyDescent="0.25"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</row>
    <row r="490" spans="3:22" ht="15.75" customHeight="1" x14ac:dyDescent="0.25"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</row>
    <row r="491" spans="3:22" ht="15.75" customHeight="1" x14ac:dyDescent="0.25"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</row>
    <row r="492" spans="3:22" ht="15.75" customHeight="1" x14ac:dyDescent="0.25"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</row>
    <row r="493" spans="3:22" ht="15.75" customHeight="1" x14ac:dyDescent="0.25"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</row>
    <row r="494" spans="3:22" ht="15.75" customHeight="1" x14ac:dyDescent="0.25"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</row>
    <row r="495" spans="3:22" ht="15.75" customHeight="1" x14ac:dyDescent="0.25"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</row>
    <row r="496" spans="3:22" ht="15.75" customHeight="1" x14ac:dyDescent="0.25"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</row>
    <row r="497" spans="3:22" ht="15.75" customHeight="1" x14ac:dyDescent="0.25"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</row>
    <row r="498" spans="3:22" ht="15.75" customHeight="1" x14ac:dyDescent="0.25"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</row>
    <row r="499" spans="3:22" ht="15.75" customHeight="1" x14ac:dyDescent="0.25"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</row>
    <row r="500" spans="3:22" ht="15.75" customHeight="1" x14ac:dyDescent="0.25"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</row>
    <row r="501" spans="3:22" ht="15.75" customHeight="1" x14ac:dyDescent="0.25"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</row>
    <row r="502" spans="3:22" ht="15.75" customHeight="1" x14ac:dyDescent="0.25"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</row>
    <row r="503" spans="3:22" ht="15.75" customHeight="1" x14ac:dyDescent="0.25"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</row>
    <row r="504" spans="3:22" ht="15.75" customHeight="1" x14ac:dyDescent="0.25"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</row>
    <row r="505" spans="3:22" ht="15.75" customHeight="1" x14ac:dyDescent="0.25"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</row>
    <row r="506" spans="3:22" ht="15.75" customHeight="1" x14ac:dyDescent="0.25"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</row>
    <row r="507" spans="3:22" ht="15.75" customHeight="1" x14ac:dyDescent="0.25"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</row>
    <row r="508" spans="3:22" ht="15.75" customHeight="1" x14ac:dyDescent="0.25"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</row>
    <row r="509" spans="3:22" ht="15.75" customHeight="1" x14ac:dyDescent="0.25"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</row>
    <row r="510" spans="3:22" ht="15.75" customHeight="1" x14ac:dyDescent="0.25"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</row>
    <row r="511" spans="3:22" ht="15.75" customHeight="1" x14ac:dyDescent="0.25"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</row>
    <row r="512" spans="3:22" ht="15.75" customHeight="1" x14ac:dyDescent="0.25"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</row>
    <row r="513" spans="3:22" ht="15.75" customHeight="1" x14ac:dyDescent="0.25"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</row>
    <row r="514" spans="3:22" ht="15.75" customHeight="1" x14ac:dyDescent="0.25"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</row>
    <row r="515" spans="3:22" ht="15.75" customHeight="1" x14ac:dyDescent="0.25"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</row>
    <row r="516" spans="3:22" ht="15.75" customHeight="1" x14ac:dyDescent="0.25"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</row>
    <row r="517" spans="3:22" ht="15.75" customHeight="1" x14ac:dyDescent="0.25"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</row>
    <row r="518" spans="3:22" ht="15.75" customHeight="1" x14ac:dyDescent="0.25"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</row>
    <row r="519" spans="3:22" ht="15.75" customHeight="1" x14ac:dyDescent="0.25"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</row>
    <row r="520" spans="3:22" ht="15.75" customHeight="1" x14ac:dyDescent="0.25"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</row>
    <row r="521" spans="3:22" ht="15.75" customHeight="1" x14ac:dyDescent="0.25"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</row>
    <row r="522" spans="3:22" ht="15.75" customHeight="1" x14ac:dyDescent="0.25"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</row>
    <row r="523" spans="3:22" ht="15.75" customHeight="1" x14ac:dyDescent="0.25"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</row>
    <row r="524" spans="3:22" ht="15.75" customHeight="1" x14ac:dyDescent="0.25"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</row>
    <row r="525" spans="3:22" ht="15.75" customHeight="1" x14ac:dyDescent="0.25"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</row>
    <row r="526" spans="3:22" ht="15.75" customHeight="1" x14ac:dyDescent="0.25"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</row>
    <row r="527" spans="3:22" ht="15.75" customHeight="1" x14ac:dyDescent="0.25"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</row>
    <row r="528" spans="3:22" ht="15.75" customHeight="1" x14ac:dyDescent="0.25"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</row>
    <row r="529" spans="3:22" ht="15.75" customHeight="1" x14ac:dyDescent="0.25"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</row>
    <row r="530" spans="3:22" ht="15.75" customHeight="1" x14ac:dyDescent="0.25"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</row>
    <row r="531" spans="3:22" ht="15.75" customHeight="1" x14ac:dyDescent="0.25"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</row>
    <row r="532" spans="3:22" ht="15.75" customHeight="1" x14ac:dyDescent="0.25"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</row>
    <row r="533" spans="3:22" ht="15.75" customHeight="1" x14ac:dyDescent="0.25"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</row>
    <row r="534" spans="3:22" ht="15.75" customHeight="1" x14ac:dyDescent="0.25"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</row>
    <row r="535" spans="3:22" ht="15.75" customHeight="1" x14ac:dyDescent="0.25"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</row>
    <row r="536" spans="3:22" ht="15.75" customHeight="1" x14ac:dyDescent="0.25"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</row>
    <row r="537" spans="3:22" ht="15.75" customHeight="1" x14ac:dyDescent="0.25"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</row>
    <row r="538" spans="3:22" ht="15.75" customHeight="1" x14ac:dyDescent="0.25"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</row>
    <row r="539" spans="3:22" ht="15.75" customHeight="1" x14ac:dyDescent="0.25"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</row>
    <row r="540" spans="3:22" ht="15.75" customHeight="1" x14ac:dyDescent="0.25"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</row>
    <row r="541" spans="3:22" ht="15.75" customHeight="1" x14ac:dyDescent="0.25"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</row>
    <row r="542" spans="3:22" ht="15.75" customHeight="1" x14ac:dyDescent="0.25"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</row>
    <row r="543" spans="3:22" ht="15.75" customHeight="1" x14ac:dyDescent="0.25"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</row>
    <row r="544" spans="3:22" ht="15.75" customHeight="1" x14ac:dyDescent="0.25"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</row>
    <row r="545" spans="3:22" ht="15.75" customHeight="1" x14ac:dyDescent="0.25"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</row>
    <row r="546" spans="3:22" ht="15.75" customHeight="1" x14ac:dyDescent="0.25"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</row>
    <row r="547" spans="3:22" ht="15.75" customHeight="1" x14ac:dyDescent="0.25"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</row>
    <row r="548" spans="3:22" ht="15.75" customHeight="1" x14ac:dyDescent="0.25"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</row>
    <row r="549" spans="3:22" ht="15.75" customHeight="1" x14ac:dyDescent="0.25"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</row>
    <row r="550" spans="3:22" ht="15.75" customHeight="1" x14ac:dyDescent="0.25"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</row>
    <row r="551" spans="3:22" ht="15.75" customHeight="1" x14ac:dyDescent="0.25"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</row>
    <row r="552" spans="3:22" ht="15.75" customHeight="1" x14ac:dyDescent="0.25"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</row>
    <row r="553" spans="3:22" ht="15.75" customHeight="1" x14ac:dyDescent="0.25"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</row>
    <row r="554" spans="3:22" ht="15.75" customHeight="1" x14ac:dyDescent="0.25"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</row>
    <row r="555" spans="3:22" ht="15.75" customHeight="1" x14ac:dyDescent="0.25"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</row>
    <row r="556" spans="3:22" ht="15.75" customHeight="1" x14ac:dyDescent="0.25"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</row>
    <row r="557" spans="3:22" ht="15.75" customHeight="1" x14ac:dyDescent="0.25"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</row>
    <row r="558" spans="3:22" ht="15.75" customHeight="1" x14ac:dyDescent="0.25"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</row>
    <row r="559" spans="3:22" ht="15.75" customHeight="1" x14ac:dyDescent="0.25"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</row>
    <row r="560" spans="3:22" ht="15.75" customHeight="1" x14ac:dyDescent="0.25"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</row>
    <row r="561" spans="3:22" ht="15.75" customHeight="1" x14ac:dyDescent="0.25"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</row>
    <row r="562" spans="3:22" ht="15.75" customHeight="1" x14ac:dyDescent="0.25"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</row>
    <row r="563" spans="3:22" ht="15.75" customHeight="1" x14ac:dyDescent="0.25"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</row>
    <row r="564" spans="3:22" ht="15.75" customHeight="1" x14ac:dyDescent="0.25"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</row>
    <row r="565" spans="3:22" ht="15.75" customHeight="1" x14ac:dyDescent="0.25"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</row>
    <row r="566" spans="3:22" ht="15.75" customHeight="1" x14ac:dyDescent="0.25"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</row>
    <row r="567" spans="3:22" ht="15.75" customHeight="1" x14ac:dyDescent="0.25"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</row>
    <row r="568" spans="3:22" ht="15.75" customHeight="1" x14ac:dyDescent="0.25"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</row>
    <row r="569" spans="3:22" ht="15.75" customHeight="1" x14ac:dyDescent="0.25"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</row>
    <row r="570" spans="3:22" ht="15.75" customHeight="1" x14ac:dyDescent="0.25"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</row>
    <row r="571" spans="3:22" ht="15.75" customHeight="1" x14ac:dyDescent="0.25"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</row>
    <row r="572" spans="3:22" ht="15.75" customHeight="1" x14ac:dyDescent="0.25"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</row>
    <row r="573" spans="3:22" ht="15.75" customHeight="1" x14ac:dyDescent="0.25"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</row>
    <row r="574" spans="3:22" ht="15.75" customHeight="1" x14ac:dyDescent="0.25"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</row>
    <row r="575" spans="3:22" ht="15.75" customHeight="1" x14ac:dyDescent="0.25"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</row>
    <row r="576" spans="3:22" ht="15.75" customHeight="1" x14ac:dyDescent="0.25"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</row>
    <row r="577" spans="3:22" ht="15.75" customHeight="1" x14ac:dyDescent="0.25"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</row>
    <row r="578" spans="3:22" ht="15.75" customHeight="1" x14ac:dyDescent="0.25"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</row>
    <row r="579" spans="3:22" ht="15.75" customHeight="1" x14ac:dyDescent="0.25"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</row>
    <row r="580" spans="3:22" ht="15.75" customHeight="1" x14ac:dyDescent="0.25"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</row>
    <row r="581" spans="3:22" ht="15.75" customHeight="1" x14ac:dyDescent="0.25"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</row>
    <row r="582" spans="3:22" ht="15.75" customHeight="1" x14ac:dyDescent="0.25"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</row>
    <row r="583" spans="3:22" ht="15.75" customHeight="1" x14ac:dyDescent="0.25"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</row>
    <row r="584" spans="3:22" ht="15.75" customHeight="1" x14ac:dyDescent="0.25"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</row>
    <row r="585" spans="3:22" ht="15.75" customHeight="1" x14ac:dyDescent="0.25"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</row>
    <row r="586" spans="3:22" ht="15.75" customHeight="1" x14ac:dyDescent="0.25"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</row>
    <row r="587" spans="3:22" ht="15.75" customHeight="1" x14ac:dyDescent="0.25"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</row>
    <row r="588" spans="3:22" ht="15.75" customHeight="1" x14ac:dyDescent="0.25"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</row>
    <row r="589" spans="3:22" ht="15.75" customHeight="1" x14ac:dyDescent="0.25"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</row>
    <row r="590" spans="3:22" ht="15.75" customHeight="1" x14ac:dyDescent="0.25"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</row>
    <row r="591" spans="3:22" ht="15.75" customHeight="1" x14ac:dyDescent="0.25"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</row>
    <row r="592" spans="3:22" ht="15.75" customHeight="1" x14ac:dyDescent="0.25"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</row>
    <row r="593" spans="3:22" ht="15.75" customHeight="1" x14ac:dyDescent="0.25"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</row>
    <row r="594" spans="3:22" ht="15.75" customHeight="1" x14ac:dyDescent="0.25"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</row>
    <row r="595" spans="3:22" ht="15.75" customHeight="1" x14ac:dyDescent="0.25"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</row>
    <row r="596" spans="3:22" ht="15.75" customHeight="1" x14ac:dyDescent="0.25"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</row>
    <row r="597" spans="3:22" ht="15.75" customHeight="1" x14ac:dyDescent="0.25"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</row>
    <row r="598" spans="3:22" ht="15.75" customHeight="1" x14ac:dyDescent="0.25"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</row>
    <row r="599" spans="3:22" ht="15.75" customHeight="1" x14ac:dyDescent="0.25"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</row>
    <row r="600" spans="3:22" ht="15.75" customHeight="1" x14ac:dyDescent="0.25"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</row>
    <row r="601" spans="3:22" ht="15.75" customHeight="1" x14ac:dyDescent="0.25"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</row>
    <row r="602" spans="3:22" ht="15.75" customHeight="1" x14ac:dyDescent="0.25"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</row>
    <row r="603" spans="3:22" ht="15.75" customHeight="1" x14ac:dyDescent="0.25"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</row>
    <row r="604" spans="3:22" ht="15.75" customHeight="1" x14ac:dyDescent="0.25"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</row>
    <row r="605" spans="3:22" ht="15.75" customHeight="1" x14ac:dyDescent="0.25"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</row>
    <row r="606" spans="3:22" ht="15.75" customHeight="1" x14ac:dyDescent="0.25"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</row>
    <row r="607" spans="3:22" ht="15.75" customHeight="1" x14ac:dyDescent="0.25"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</row>
    <row r="608" spans="3:22" ht="15.75" customHeight="1" x14ac:dyDescent="0.25"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</row>
    <row r="609" spans="3:22" ht="15.75" customHeight="1" x14ac:dyDescent="0.25"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</row>
    <row r="610" spans="3:22" ht="15.75" customHeight="1" x14ac:dyDescent="0.25"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</row>
    <row r="611" spans="3:22" ht="15.75" customHeight="1" x14ac:dyDescent="0.25"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</row>
    <row r="612" spans="3:22" ht="15.75" customHeight="1" x14ac:dyDescent="0.25"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</row>
    <row r="613" spans="3:22" ht="15.75" customHeight="1" x14ac:dyDescent="0.25"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</row>
    <row r="614" spans="3:22" ht="15.75" customHeight="1" x14ac:dyDescent="0.25"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</row>
    <row r="615" spans="3:22" ht="15.75" customHeight="1" x14ac:dyDescent="0.25"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</row>
    <row r="616" spans="3:22" ht="15.75" customHeight="1" x14ac:dyDescent="0.25"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</row>
    <row r="617" spans="3:22" ht="15.75" customHeight="1" x14ac:dyDescent="0.25"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</row>
    <row r="618" spans="3:22" ht="15.75" customHeight="1" x14ac:dyDescent="0.25"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</row>
    <row r="619" spans="3:22" ht="15.75" customHeight="1" x14ac:dyDescent="0.25"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</row>
    <row r="620" spans="3:22" ht="15.75" customHeight="1" x14ac:dyDescent="0.25"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</row>
    <row r="621" spans="3:22" ht="15.75" customHeight="1" x14ac:dyDescent="0.25"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</row>
    <row r="622" spans="3:22" ht="15.75" customHeight="1" x14ac:dyDescent="0.25"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</row>
    <row r="623" spans="3:22" ht="15.75" customHeight="1" x14ac:dyDescent="0.25"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</row>
    <row r="624" spans="3:22" ht="15.75" customHeight="1" x14ac:dyDescent="0.25"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</row>
    <row r="625" spans="3:22" ht="15.75" customHeight="1" x14ac:dyDescent="0.25"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</row>
    <row r="626" spans="3:22" ht="15.75" customHeight="1" x14ac:dyDescent="0.25"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</row>
    <row r="627" spans="3:22" ht="15.75" customHeight="1" x14ac:dyDescent="0.25"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</row>
    <row r="628" spans="3:22" ht="15.75" customHeight="1" x14ac:dyDescent="0.25"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</row>
    <row r="629" spans="3:22" ht="15.75" customHeight="1" x14ac:dyDescent="0.25"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</row>
    <row r="630" spans="3:22" ht="15.75" customHeight="1" x14ac:dyDescent="0.25"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</row>
    <row r="631" spans="3:22" ht="15.75" customHeight="1" x14ac:dyDescent="0.25"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</row>
    <row r="632" spans="3:22" ht="15.75" customHeight="1" x14ac:dyDescent="0.25"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</row>
    <row r="633" spans="3:22" ht="15.75" customHeight="1" x14ac:dyDescent="0.25"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</row>
    <row r="634" spans="3:22" ht="15.75" customHeight="1" x14ac:dyDescent="0.25"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</row>
    <row r="635" spans="3:22" ht="15.75" customHeight="1" x14ac:dyDescent="0.25"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</row>
    <row r="636" spans="3:22" ht="15.75" customHeight="1" x14ac:dyDescent="0.25"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</row>
    <row r="637" spans="3:22" ht="15.75" customHeight="1" x14ac:dyDescent="0.25"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</row>
    <row r="638" spans="3:22" ht="15.75" customHeight="1" x14ac:dyDescent="0.25"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</row>
    <row r="639" spans="3:22" ht="15.75" customHeight="1" x14ac:dyDescent="0.25"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</row>
    <row r="640" spans="3:22" ht="15.75" customHeight="1" x14ac:dyDescent="0.25"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</row>
    <row r="641" spans="3:22" ht="15.75" customHeight="1" x14ac:dyDescent="0.25"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</row>
    <row r="642" spans="3:22" ht="15.75" customHeight="1" x14ac:dyDescent="0.25"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</row>
    <row r="643" spans="3:22" ht="15.75" customHeight="1" x14ac:dyDescent="0.25"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</row>
    <row r="644" spans="3:22" ht="15.75" customHeight="1" x14ac:dyDescent="0.25"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</row>
    <row r="645" spans="3:22" ht="15.75" customHeight="1" x14ac:dyDescent="0.25"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</row>
    <row r="646" spans="3:22" ht="15.75" customHeight="1" x14ac:dyDescent="0.25"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</row>
    <row r="647" spans="3:22" ht="15.75" customHeight="1" x14ac:dyDescent="0.25"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</row>
    <row r="648" spans="3:22" ht="15.75" customHeight="1" x14ac:dyDescent="0.25"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</row>
    <row r="649" spans="3:22" ht="15.75" customHeight="1" x14ac:dyDescent="0.25"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</row>
    <row r="650" spans="3:22" ht="15.75" customHeight="1" x14ac:dyDescent="0.25"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</row>
    <row r="651" spans="3:22" ht="15.75" customHeight="1" x14ac:dyDescent="0.25"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</row>
    <row r="652" spans="3:22" ht="15.75" customHeight="1" x14ac:dyDescent="0.25"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</row>
    <row r="653" spans="3:22" ht="15.75" customHeight="1" x14ac:dyDescent="0.25"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</row>
    <row r="654" spans="3:22" ht="15.75" customHeight="1" x14ac:dyDescent="0.25"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</row>
    <row r="655" spans="3:22" ht="15.75" customHeight="1" x14ac:dyDescent="0.25"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</row>
    <row r="656" spans="3:22" ht="15.75" customHeight="1" x14ac:dyDescent="0.25"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</row>
    <row r="657" spans="3:22" ht="15.75" customHeight="1" x14ac:dyDescent="0.25"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</row>
    <row r="658" spans="3:22" ht="15.75" customHeight="1" x14ac:dyDescent="0.25"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</row>
    <row r="659" spans="3:22" ht="15.75" customHeight="1" x14ac:dyDescent="0.25"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</row>
    <row r="660" spans="3:22" ht="15.75" customHeight="1" x14ac:dyDescent="0.25"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</row>
    <row r="661" spans="3:22" ht="15.75" customHeight="1" x14ac:dyDescent="0.25"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</row>
    <row r="662" spans="3:22" ht="15.75" customHeight="1" x14ac:dyDescent="0.25"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</row>
    <row r="663" spans="3:22" ht="15.75" customHeight="1" x14ac:dyDescent="0.25"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</row>
    <row r="664" spans="3:22" ht="15.75" customHeight="1" x14ac:dyDescent="0.25"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</row>
    <row r="665" spans="3:22" ht="15.75" customHeight="1" x14ac:dyDescent="0.25"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</row>
    <row r="666" spans="3:22" ht="15.75" customHeight="1" x14ac:dyDescent="0.25"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</row>
    <row r="667" spans="3:22" ht="15.75" customHeight="1" x14ac:dyDescent="0.25"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</row>
    <row r="668" spans="3:22" ht="15.75" customHeight="1" x14ac:dyDescent="0.25"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</row>
    <row r="669" spans="3:22" ht="15.75" customHeight="1" x14ac:dyDescent="0.25"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</row>
    <row r="670" spans="3:22" ht="15.75" customHeight="1" x14ac:dyDescent="0.25"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</row>
    <row r="671" spans="3:22" ht="15.75" customHeight="1" x14ac:dyDescent="0.25"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</row>
    <row r="672" spans="3:22" ht="15.75" customHeight="1" x14ac:dyDescent="0.25"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</row>
    <row r="673" spans="3:22" ht="15.75" customHeight="1" x14ac:dyDescent="0.25"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</row>
    <row r="674" spans="3:22" ht="15.75" customHeight="1" x14ac:dyDescent="0.25"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</row>
    <row r="675" spans="3:22" ht="15.75" customHeight="1" x14ac:dyDescent="0.25"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</row>
    <row r="676" spans="3:22" ht="15.75" customHeight="1" x14ac:dyDescent="0.25"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</row>
    <row r="677" spans="3:22" ht="15.75" customHeight="1" x14ac:dyDescent="0.25"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</row>
    <row r="678" spans="3:22" ht="15.75" customHeight="1" x14ac:dyDescent="0.25"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</row>
    <row r="679" spans="3:22" ht="15.75" customHeight="1" x14ac:dyDescent="0.25"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</row>
    <row r="680" spans="3:22" ht="15.75" customHeight="1" x14ac:dyDescent="0.25"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</row>
    <row r="681" spans="3:22" ht="15.75" customHeight="1" x14ac:dyDescent="0.25"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</row>
    <row r="682" spans="3:22" ht="15.75" customHeight="1" x14ac:dyDescent="0.25"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</row>
    <row r="683" spans="3:22" ht="15.75" customHeight="1" x14ac:dyDescent="0.25"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</row>
    <row r="684" spans="3:22" ht="15.75" customHeight="1" x14ac:dyDescent="0.25"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</row>
    <row r="685" spans="3:22" ht="15.75" customHeight="1" x14ac:dyDescent="0.25"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</row>
    <row r="686" spans="3:22" ht="15.75" customHeight="1" x14ac:dyDescent="0.25"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</row>
    <row r="687" spans="3:22" ht="15.75" customHeight="1" x14ac:dyDescent="0.25"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</row>
    <row r="688" spans="3:22" ht="15.75" customHeight="1" x14ac:dyDescent="0.25"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</row>
    <row r="689" spans="3:22" ht="15.75" customHeight="1" x14ac:dyDescent="0.25"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</row>
    <row r="690" spans="3:22" ht="15.75" customHeight="1" x14ac:dyDescent="0.25"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</row>
    <row r="691" spans="3:22" ht="15.75" customHeight="1" x14ac:dyDescent="0.25"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</row>
    <row r="692" spans="3:22" ht="15.75" customHeight="1" x14ac:dyDescent="0.25"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</row>
    <row r="693" spans="3:22" ht="15.75" customHeight="1" x14ac:dyDescent="0.25"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</row>
    <row r="694" spans="3:22" ht="15.75" customHeight="1" x14ac:dyDescent="0.25"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</row>
    <row r="695" spans="3:22" ht="15.75" customHeight="1" x14ac:dyDescent="0.25"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</row>
    <row r="696" spans="3:22" ht="15.75" customHeight="1" x14ac:dyDescent="0.25"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</row>
    <row r="697" spans="3:22" ht="15.75" customHeight="1" x14ac:dyDescent="0.25"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</row>
    <row r="698" spans="3:22" ht="15.75" customHeight="1" x14ac:dyDescent="0.25"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</row>
    <row r="699" spans="3:22" ht="15.75" customHeight="1" x14ac:dyDescent="0.25"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</row>
    <row r="700" spans="3:22" ht="15.75" customHeight="1" x14ac:dyDescent="0.25"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</row>
    <row r="701" spans="3:22" ht="15.75" customHeight="1" x14ac:dyDescent="0.25"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</row>
    <row r="702" spans="3:22" ht="15.75" customHeight="1" x14ac:dyDescent="0.25"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</row>
    <row r="703" spans="3:22" ht="15.75" customHeight="1" x14ac:dyDescent="0.25"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</row>
    <row r="704" spans="3:22" ht="15.75" customHeight="1" x14ac:dyDescent="0.25"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</row>
    <row r="705" spans="3:22" ht="15.75" customHeight="1" x14ac:dyDescent="0.25"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</row>
    <row r="706" spans="3:22" ht="15.75" customHeight="1" x14ac:dyDescent="0.25"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</row>
    <row r="707" spans="3:22" ht="15.75" customHeight="1" x14ac:dyDescent="0.25"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</row>
    <row r="708" spans="3:22" ht="15.75" customHeight="1" x14ac:dyDescent="0.25"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</row>
    <row r="709" spans="3:22" ht="15.75" customHeight="1" x14ac:dyDescent="0.25"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</row>
    <row r="710" spans="3:22" ht="15.75" customHeight="1" x14ac:dyDescent="0.25"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</row>
    <row r="711" spans="3:22" ht="15.75" customHeight="1" x14ac:dyDescent="0.25"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</row>
    <row r="712" spans="3:22" ht="15.75" customHeight="1" x14ac:dyDescent="0.25"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</row>
    <row r="713" spans="3:22" ht="15.75" customHeight="1" x14ac:dyDescent="0.25"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</row>
    <row r="714" spans="3:22" ht="15.75" customHeight="1" x14ac:dyDescent="0.25"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</row>
    <row r="715" spans="3:22" ht="15.75" customHeight="1" x14ac:dyDescent="0.25"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</row>
    <row r="716" spans="3:22" ht="15.75" customHeight="1" x14ac:dyDescent="0.25"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</row>
    <row r="717" spans="3:22" ht="15.75" customHeight="1" x14ac:dyDescent="0.25"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</row>
    <row r="718" spans="3:22" ht="15.75" customHeight="1" x14ac:dyDescent="0.25"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</row>
    <row r="719" spans="3:22" ht="15.75" customHeight="1" x14ac:dyDescent="0.25"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</row>
    <row r="720" spans="3:22" ht="15.75" customHeight="1" x14ac:dyDescent="0.25"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</row>
    <row r="721" spans="3:22" ht="15.75" customHeight="1" x14ac:dyDescent="0.25"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</row>
    <row r="722" spans="3:22" ht="15.75" customHeight="1" x14ac:dyDescent="0.25"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</row>
    <row r="723" spans="3:22" ht="15.75" customHeight="1" x14ac:dyDescent="0.25"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</row>
    <row r="724" spans="3:22" ht="15.75" customHeight="1" x14ac:dyDescent="0.25"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</row>
    <row r="725" spans="3:22" ht="15.75" customHeight="1" x14ac:dyDescent="0.25"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</row>
    <row r="726" spans="3:22" ht="15.75" customHeight="1" x14ac:dyDescent="0.25"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</row>
    <row r="727" spans="3:22" ht="15.75" customHeight="1" x14ac:dyDescent="0.25"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</row>
    <row r="728" spans="3:22" ht="15.75" customHeight="1" x14ac:dyDescent="0.25"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</row>
    <row r="729" spans="3:22" ht="15.75" customHeight="1" x14ac:dyDescent="0.25"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</row>
    <row r="730" spans="3:22" ht="15.75" customHeight="1" x14ac:dyDescent="0.25"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</row>
    <row r="731" spans="3:22" ht="15.75" customHeight="1" x14ac:dyDescent="0.25"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</row>
    <row r="732" spans="3:22" ht="15.75" customHeight="1" x14ac:dyDescent="0.25"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</row>
    <row r="733" spans="3:22" ht="15.75" customHeight="1" x14ac:dyDescent="0.25"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</row>
    <row r="734" spans="3:22" ht="15.75" customHeight="1" x14ac:dyDescent="0.25"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</row>
    <row r="735" spans="3:22" ht="15.75" customHeight="1" x14ac:dyDescent="0.25"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</row>
    <row r="736" spans="3:22" ht="15.75" customHeight="1" x14ac:dyDescent="0.25"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</row>
    <row r="737" spans="3:22" ht="15.75" customHeight="1" x14ac:dyDescent="0.25"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</row>
    <row r="738" spans="3:22" ht="15.75" customHeight="1" x14ac:dyDescent="0.25"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</row>
    <row r="739" spans="3:22" ht="15.75" customHeight="1" x14ac:dyDescent="0.25"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</row>
    <row r="740" spans="3:22" ht="15.75" customHeight="1" x14ac:dyDescent="0.25"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</row>
    <row r="741" spans="3:22" ht="15.75" customHeight="1" x14ac:dyDescent="0.25"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</row>
    <row r="742" spans="3:22" ht="15.75" customHeight="1" x14ac:dyDescent="0.25"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</row>
    <row r="743" spans="3:22" ht="15.75" customHeight="1" x14ac:dyDescent="0.25"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</row>
    <row r="744" spans="3:22" ht="15.75" customHeight="1" x14ac:dyDescent="0.25"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</row>
    <row r="745" spans="3:22" ht="15.75" customHeight="1" x14ac:dyDescent="0.25"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</row>
    <row r="746" spans="3:22" ht="15.75" customHeight="1" x14ac:dyDescent="0.25"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</row>
    <row r="747" spans="3:22" ht="15.75" customHeight="1" x14ac:dyDescent="0.25"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</row>
    <row r="748" spans="3:22" ht="15.75" customHeight="1" x14ac:dyDescent="0.25"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</row>
    <row r="749" spans="3:22" ht="15.75" customHeight="1" x14ac:dyDescent="0.25"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</row>
    <row r="750" spans="3:22" ht="15.75" customHeight="1" x14ac:dyDescent="0.25"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</row>
    <row r="751" spans="3:22" ht="15.75" customHeight="1" x14ac:dyDescent="0.25"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</row>
    <row r="752" spans="3:22" ht="15.75" customHeight="1" x14ac:dyDescent="0.25"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</row>
    <row r="753" spans="3:22" ht="15.75" customHeight="1" x14ac:dyDescent="0.25"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</row>
    <row r="754" spans="3:22" ht="15.75" customHeight="1" x14ac:dyDescent="0.25"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</row>
    <row r="755" spans="3:22" ht="15.75" customHeight="1" x14ac:dyDescent="0.25"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</row>
    <row r="756" spans="3:22" ht="15.75" customHeight="1" x14ac:dyDescent="0.25"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</row>
    <row r="757" spans="3:22" ht="15.75" customHeight="1" x14ac:dyDescent="0.25"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</row>
    <row r="758" spans="3:22" ht="15.75" customHeight="1" x14ac:dyDescent="0.25"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</row>
    <row r="759" spans="3:22" ht="15.75" customHeight="1" x14ac:dyDescent="0.25"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</row>
    <row r="760" spans="3:22" ht="15.75" customHeight="1" x14ac:dyDescent="0.25"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</row>
    <row r="761" spans="3:22" ht="15.75" customHeight="1" x14ac:dyDescent="0.25"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</row>
    <row r="762" spans="3:22" ht="15.75" customHeight="1" x14ac:dyDescent="0.25"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</row>
    <row r="763" spans="3:22" ht="15.75" customHeight="1" x14ac:dyDescent="0.25"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</row>
    <row r="764" spans="3:22" ht="15.75" customHeight="1" x14ac:dyDescent="0.25"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</row>
    <row r="765" spans="3:22" ht="15.75" customHeight="1" x14ac:dyDescent="0.25"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</row>
    <row r="766" spans="3:22" ht="15.75" customHeight="1" x14ac:dyDescent="0.25"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</row>
    <row r="767" spans="3:22" ht="15.75" customHeight="1" x14ac:dyDescent="0.25"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</row>
    <row r="768" spans="3:22" ht="15.75" customHeight="1" x14ac:dyDescent="0.25"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</row>
    <row r="769" spans="3:22" ht="15.75" customHeight="1" x14ac:dyDescent="0.25"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</row>
    <row r="770" spans="3:22" ht="15.75" customHeight="1" x14ac:dyDescent="0.25"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</row>
    <row r="771" spans="3:22" ht="15.75" customHeight="1" x14ac:dyDescent="0.25"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</row>
    <row r="772" spans="3:22" ht="15.75" customHeight="1" x14ac:dyDescent="0.25"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</row>
    <row r="773" spans="3:22" ht="15.75" customHeight="1" x14ac:dyDescent="0.25"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</row>
    <row r="774" spans="3:22" ht="15.75" customHeight="1" x14ac:dyDescent="0.25"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</row>
    <row r="775" spans="3:22" ht="15.75" customHeight="1" x14ac:dyDescent="0.25"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</row>
    <row r="776" spans="3:22" ht="15.75" customHeight="1" x14ac:dyDescent="0.25"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</row>
    <row r="777" spans="3:22" ht="15.75" customHeight="1" x14ac:dyDescent="0.25"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</row>
    <row r="778" spans="3:22" ht="15.75" customHeight="1" x14ac:dyDescent="0.25"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</row>
    <row r="779" spans="3:22" ht="15.75" customHeight="1" x14ac:dyDescent="0.25"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</row>
    <row r="780" spans="3:22" ht="15.75" customHeight="1" x14ac:dyDescent="0.25"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</row>
    <row r="781" spans="3:22" ht="15.75" customHeight="1" x14ac:dyDescent="0.25"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</row>
    <row r="782" spans="3:22" ht="15.75" customHeight="1" x14ac:dyDescent="0.25"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</row>
    <row r="783" spans="3:22" ht="15.75" customHeight="1" x14ac:dyDescent="0.25"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</row>
    <row r="784" spans="3:22" ht="15.75" customHeight="1" x14ac:dyDescent="0.25"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</row>
    <row r="785" spans="3:22" ht="15.75" customHeight="1" x14ac:dyDescent="0.25"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</row>
    <row r="786" spans="3:22" ht="15.75" customHeight="1" x14ac:dyDescent="0.25"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</row>
    <row r="787" spans="3:22" ht="15.75" customHeight="1" x14ac:dyDescent="0.25"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</row>
    <row r="788" spans="3:22" ht="15.75" customHeight="1" x14ac:dyDescent="0.25"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</row>
    <row r="789" spans="3:22" ht="15.75" customHeight="1" x14ac:dyDescent="0.25"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</row>
    <row r="790" spans="3:22" ht="15.75" customHeight="1" x14ac:dyDescent="0.25"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</row>
    <row r="791" spans="3:22" ht="15.75" customHeight="1" x14ac:dyDescent="0.25"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</row>
    <row r="792" spans="3:22" ht="15.75" customHeight="1" x14ac:dyDescent="0.25"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</row>
    <row r="793" spans="3:22" ht="15.75" customHeight="1" x14ac:dyDescent="0.25"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</row>
    <row r="794" spans="3:22" ht="15.75" customHeight="1" x14ac:dyDescent="0.25"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</row>
    <row r="795" spans="3:22" ht="15.75" customHeight="1" x14ac:dyDescent="0.25"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</row>
    <row r="796" spans="3:22" ht="15.75" customHeight="1" x14ac:dyDescent="0.25"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</row>
    <row r="797" spans="3:22" ht="15.75" customHeight="1" x14ac:dyDescent="0.25"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</row>
    <row r="798" spans="3:22" ht="15.75" customHeight="1" x14ac:dyDescent="0.25"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</row>
    <row r="799" spans="3:22" ht="15.75" customHeight="1" x14ac:dyDescent="0.25"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</row>
    <row r="800" spans="3:22" ht="15.75" customHeight="1" x14ac:dyDescent="0.25"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</row>
    <row r="801" spans="3:22" ht="15.75" customHeight="1" x14ac:dyDescent="0.25"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</row>
    <row r="802" spans="3:22" ht="15.75" customHeight="1" x14ac:dyDescent="0.25"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</row>
    <row r="803" spans="3:22" ht="15.75" customHeight="1" x14ac:dyDescent="0.25"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</row>
    <row r="804" spans="3:22" ht="15.75" customHeight="1" x14ac:dyDescent="0.25"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</row>
    <row r="805" spans="3:22" ht="15.75" customHeight="1" x14ac:dyDescent="0.25"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</row>
    <row r="806" spans="3:22" ht="15.75" customHeight="1" x14ac:dyDescent="0.25"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</row>
    <row r="807" spans="3:22" ht="15.75" customHeight="1" x14ac:dyDescent="0.25"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</row>
    <row r="808" spans="3:22" ht="15.75" customHeight="1" x14ac:dyDescent="0.25"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</row>
    <row r="809" spans="3:22" ht="15.75" customHeight="1" x14ac:dyDescent="0.25"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</row>
    <row r="810" spans="3:22" ht="15.75" customHeight="1" x14ac:dyDescent="0.25"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</row>
    <row r="811" spans="3:22" ht="15.75" customHeight="1" x14ac:dyDescent="0.25"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</row>
    <row r="812" spans="3:22" ht="15.75" customHeight="1" x14ac:dyDescent="0.25"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</row>
    <row r="813" spans="3:22" ht="15.75" customHeight="1" x14ac:dyDescent="0.25"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</row>
    <row r="814" spans="3:22" ht="15.75" customHeight="1" x14ac:dyDescent="0.25"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</row>
    <row r="815" spans="3:22" ht="15.75" customHeight="1" x14ac:dyDescent="0.25"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</row>
    <row r="816" spans="3:22" ht="15.75" customHeight="1" x14ac:dyDescent="0.25"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</row>
    <row r="817" spans="3:22" ht="15.75" customHeight="1" x14ac:dyDescent="0.25"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</row>
    <row r="818" spans="3:22" ht="15.75" customHeight="1" x14ac:dyDescent="0.25"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</row>
    <row r="819" spans="3:22" ht="15.75" customHeight="1" x14ac:dyDescent="0.25"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</row>
    <row r="820" spans="3:22" ht="15.75" customHeight="1" x14ac:dyDescent="0.25"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</row>
    <row r="821" spans="3:22" ht="15.75" customHeight="1" x14ac:dyDescent="0.25"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</row>
    <row r="822" spans="3:22" ht="15.75" customHeight="1" x14ac:dyDescent="0.25"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</row>
    <row r="823" spans="3:22" ht="15.75" customHeight="1" x14ac:dyDescent="0.25"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</row>
    <row r="824" spans="3:22" ht="15.75" customHeight="1" x14ac:dyDescent="0.25"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</row>
    <row r="825" spans="3:22" ht="15.75" customHeight="1" x14ac:dyDescent="0.25"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</row>
    <row r="826" spans="3:22" ht="15.75" customHeight="1" x14ac:dyDescent="0.25"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</row>
    <row r="827" spans="3:22" ht="15.75" customHeight="1" x14ac:dyDescent="0.25"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</row>
    <row r="828" spans="3:22" ht="15.75" customHeight="1" x14ac:dyDescent="0.25"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</row>
    <row r="829" spans="3:22" ht="15.75" customHeight="1" x14ac:dyDescent="0.25"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</row>
    <row r="830" spans="3:22" ht="15.75" customHeight="1" x14ac:dyDescent="0.25"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</row>
    <row r="831" spans="3:22" ht="15.75" customHeight="1" x14ac:dyDescent="0.25"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</row>
    <row r="832" spans="3:22" ht="15.75" customHeight="1" x14ac:dyDescent="0.25"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</row>
    <row r="833" spans="3:22" ht="15.75" customHeight="1" x14ac:dyDescent="0.25"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</row>
    <row r="834" spans="3:22" ht="15.75" customHeight="1" x14ac:dyDescent="0.25"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</row>
    <row r="835" spans="3:22" ht="15.75" customHeight="1" x14ac:dyDescent="0.25"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</row>
    <row r="836" spans="3:22" ht="15.75" customHeight="1" x14ac:dyDescent="0.25"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</row>
    <row r="837" spans="3:22" ht="15.75" customHeight="1" x14ac:dyDescent="0.25"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</row>
    <row r="838" spans="3:22" ht="15.75" customHeight="1" x14ac:dyDescent="0.25"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</row>
    <row r="839" spans="3:22" ht="15.75" customHeight="1" x14ac:dyDescent="0.25"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</row>
    <row r="840" spans="3:22" ht="15.75" customHeight="1" x14ac:dyDescent="0.25"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</row>
    <row r="841" spans="3:22" ht="15.75" customHeight="1" x14ac:dyDescent="0.25"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</row>
    <row r="842" spans="3:22" ht="15.75" customHeight="1" x14ac:dyDescent="0.25"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</row>
    <row r="843" spans="3:22" ht="15.75" customHeight="1" x14ac:dyDescent="0.25"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</row>
    <row r="844" spans="3:22" ht="15.75" customHeight="1" x14ac:dyDescent="0.25"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</row>
    <row r="845" spans="3:22" ht="15.75" customHeight="1" x14ac:dyDescent="0.25"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</row>
    <row r="846" spans="3:22" ht="15.75" customHeight="1" x14ac:dyDescent="0.25"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</row>
    <row r="847" spans="3:22" ht="15.75" customHeight="1" x14ac:dyDescent="0.25"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</row>
    <row r="848" spans="3:22" ht="15.75" customHeight="1" x14ac:dyDescent="0.25"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</row>
    <row r="849" spans="3:22" ht="15.75" customHeight="1" x14ac:dyDescent="0.25"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</row>
    <row r="850" spans="3:22" ht="15.75" customHeight="1" x14ac:dyDescent="0.25"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</row>
    <row r="851" spans="3:22" ht="15.75" customHeight="1" x14ac:dyDescent="0.25"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</row>
    <row r="852" spans="3:22" ht="15.75" customHeight="1" x14ac:dyDescent="0.25"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</row>
    <row r="853" spans="3:22" ht="15.75" customHeight="1" x14ac:dyDescent="0.25"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</row>
    <row r="854" spans="3:22" ht="15.75" customHeight="1" x14ac:dyDescent="0.25"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</row>
    <row r="855" spans="3:22" ht="15.75" customHeight="1" x14ac:dyDescent="0.25"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</row>
    <row r="856" spans="3:22" ht="15.75" customHeight="1" x14ac:dyDescent="0.25"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</row>
    <row r="857" spans="3:22" ht="15.75" customHeight="1" x14ac:dyDescent="0.25"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</row>
    <row r="858" spans="3:22" ht="15.75" customHeight="1" x14ac:dyDescent="0.25"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</row>
    <row r="859" spans="3:22" ht="15.75" customHeight="1" x14ac:dyDescent="0.25"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</row>
    <row r="860" spans="3:22" ht="15.75" customHeight="1" x14ac:dyDescent="0.25"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</row>
    <row r="861" spans="3:22" ht="15.75" customHeight="1" x14ac:dyDescent="0.25"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</row>
    <row r="862" spans="3:22" ht="15.75" customHeight="1" x14ac:dyDescent="0.25"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</row>
    <row r="863" spans="3:22" ht="15.75" customHeight="1" x14ac:dyDescent="0.25"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</row>
    <row r="864" spans="3:22" ht="15.75" customHeight="1" x14ac:dyDescent="0.25"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</row>
    <row r="865" spans="3:22" ht="15.75" customHeight="1" x14ac:dyDescent="0.25"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</row>
    <row r="866" spans="3:22" ht="15.75" customHeight="1" x14ac:dyDescent="0.25"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</row>
    <row r="867" spans="3:22" ht="15.75" customHeight="1" x14ac:dyDescent="0.25"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</row>
    <row r="868" spans="3:22" ht="15.75" customHeight="1" x14ac:dyDescent="0.25"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</row>
    <row r="869" spans="3:22" ht="15.75" customHeight="1" x14ac:dyDescent="0.25"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</row>
    <row r="870" spans="3:22" ht="15.75" customHeight="1" x14ac:dyDescent="0.25"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</row>
    <row r="871" spans="3:22" ht="15.75" customHeight="1" x14ac:dyDescent="0.25"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</row>
    <row r="872" spans="3:22" ht="15.75" customHeight="1" x14ac:dyDescent="0.25"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</row>
    <row r="873" spans="3:22" ht="15.75" customHeight="1" x14ac:dyDescent="0.25"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</row>
    <row r="874" spans="3:22" ht="15.75" customHeight="1" x14ac:dyDescent="0.25"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</row>
    <row r="875" spans="3:22" ht="15.75" customHeight="1" x14ac:dyDescent="0.25"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</row>
    <row r="876" spans="3:22" ht="15.75" customHeight="1" x14ac:dyDescent="0.25"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</row>
    <row r="877" spans="3:22" ht="15.75" customHeight="1" x14ac:dyDescent="0.25"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</row>
    <row r="878" spans="3:22" ht="15.75" customHeight="1" x14ac:dyDescent="0.25"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</row>
    <row r="879" spans="3:22" ht="15.75" customHeight="1" x14ac:dyDescent="0.25"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</row>
    <row r="880" spans="3:22" ht="15.75" customHeight="1" x14ac:dyDescent="0.25"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</row>
    <row r="881" spans="3:22" ht="15.75" customHeight="1" x14ac:dyDescent="0.25"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</row>
    <row r="882" spans="3:22" ht="15.75" customHeight="1" x14ac:dyDescent="0.25"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</row>
    <row r="883" spans="3:22" ht="15.75" customHeight="1" x14ac:dyDescent="0.25"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</row>
    <row r="884" spans="3:22" ht="15.75" customHeight="1" x14ac:dyDescent="0.25"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</row>
    <row r="885" spans="3:22" ht="15.75" customHeight="1" x14ac:dyDescent="0.25"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</row>
    <row r="886" spans="3:22" ht="15.75" customHeight="1" x14ac:dyDescent="0.25"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</row>
    <row r="887" spans="3:22" ht="15.75" customHeight="1" x14ac:dyDescent="0.25"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</row>
    <row r="888" spans="3:22" ht="15.75" customHeight="1" x14ac:dyDescent="0.25"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</row>
    <row r="889" spans="3:22" ht="15.75" customHeight="1" x14ac:dyDescent="0.25"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</row>
    <row r="890" spans="3:22" ht="15.75" customHeight="1" x14ac:dyDescent="0.25"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</row>
    <row r="891" spans="3:22" ht="15.75" customHeight="1" x14ac:dyDescent="0.25"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</row>
    <row r="892" spans="3:22" ht="15.75" customHeight="1" x14ac:dyDescent="0.25"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</row>
    <row r="893" spans="3:22" ht="15.75" customHeight="1" x14ac:dyDescent="0.25"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</row>
    <row r="894" spans="3:22" ht="15.75" customHeight="1" x14ac:dyDescent="0.25"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</row>
    <row r="895" spans="3:22" ht="15.75" customHeight="1" x14ac:dyDescent="0.25"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</row>
    <row r="896" spans="3:22" ht="15.75" customHeight="1" x14ac:dyDescent="0.25"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</row>
    <row r="897" spans="3:22" ht="15.75" customHeight="1" x14ac:dyDescent="0.25"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</row>
    <row r="898" spans="3:22" ht="15.75" customHeight="1" x14ac:dyDescent="0.25"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</row>
    <row r="899" spans="3:22" ht="15.75" customHeight="1" x14ac:dyDescent="0.25"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</row>
    <row r="900" spans="3:22" ht="15.75" customHeight="1" x14ac:dyDescent="0.25"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</row>
    <row r="901" spans="3:22" ht="15.75" customHeight="1" x14ac:dyDescent="0.25"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</row>
    <row r="902" spans="3:22" ht="15.75" customHeight="1" x14ac:dyDescent="0.25"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</row>
    <row r="903" spans="3:22" ht="15.75" customHeight="1" x14ac:dyDescent="0.25"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</row>
    <row r="904" spans="3:22" ht="15.75" customHeight="1" x14ac:dyDescent="0.25"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</row>
    <row r="905" spans="3:22" ht="15.75" customHeight="1" x14ac:dyDescent="0.25"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</row>
    <row r="906" spans="3:22" ht="15.75" customHeight="1" x14ac:dyDescent="0.25"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</row>
    <row r="907" spans="3:22" ht="15.75" customHeight="1" x14ac:dyDescent="0.25"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</row>
    <row r="908" spans="3:22" ht="15.75" customHeight="1" x14ac:dyDescent="0.25"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</row>
    <row r="909" spans="3:22" ht="15.75" customHeight="1" x14ac:dyDescent="0.25"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</row>
    <row r="910" spans="3:22" ht="15.75" customHeight="1" x14ac:dyDescent="0.25"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</row>
    <row r="911" spans="3:22" ht="15.75" customHeight="1" x14ac:dyDescent="0.25"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</row>
    <row r="912" spans="3:22" ht="15.75" customHeight="1" x14ac:dyDescent="0.25"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</row>
    <row r="913" spans="3:22" ht="15.75" customHeight="1" x14ac:dyDescent="0.25"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</row>
    <row r="914" spans="3:22" ht="15.75" customHeight="1" x14ac:dyDescent="0.25"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</row>
    <row r="915" spans="3:22" ht="15.75" customHeight="1" x14ac:dyDescent="0.25"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</row>
    <row r="916" spans="3:22" ht="15.75" customHeight="1" x14ac:dyDescent="0.25"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</row>
    <row r="917" spans="3:22" ht="15.75" customHeight="1" x14ac:dyDescent="0.25"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</row>
    <row r="918" spans="3:22" ht="15.75" customHeight="1" x14ac:dyDescent="0.25"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</row>
    <row r="919" spans="3:22" ht="15.75" customHeight="1" x14ac:dyDescent="0.25"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</row>
    <row r="920" spans="3:22" ht="15.75" customHeight="1" x14ac:dyDescent="0.25"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</row>
    <row r="921" spans="3:22" ht="15.75" customHeight="1" x14ac:dyDescent="0.25"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</row>
    <row r="922" spans="3:22" ht="15.75" customHeight="1" x14ac:dyDescent="0.25"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</row>
    <row r="923" spans="3:22" ht="15.75" customHeight="1" x14ac:dyDescent="0.25"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</row>
    <row r="924" spans="3:22" ht="15.75" customHeight="1" x14ac:dyDescent="0.25"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</row>
    <row r="925" spans="3:22" ht="15.75" customHeight="1" x14ac:dyDescent="0.25"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</row>
    <row r="926" spans="3:22" ht="15.75" customHeight="1" x14ac:dyDescent="0.25"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</row>
    <row r="927" spans="3:22" ht="15.75" customHeight="1" x14ac:dyDescent="0.25"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</row>
    <row r="928" spans="3:22" ht="15.75" customHeight="1" x14ac:dyDescent="0.25"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</row>
    <row r="929" spans="3:22" ht="15.75" customHeight="1" x14ac:dyDescent="0.25"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</row>
    <row r="930" spans="3:22" ht="15.75" customHeight="1" x14ac:dyDescent="0.25"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</row>
    <row r="931" spans="3:22" ht="15.75" customHeight="1" x14ac:dyDescent="0.25"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</row>
    <row r="932" spans="3:22" ht="15.75" customHeight="1" x14ac:dyDescent="0.25"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</row>
    <row r="933" spans="3:22" ht="15.75" customHeight="1" x14ac:dyDescent="0.25"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</row>
    <row r="934" spans="3:22" ht="15.75" customHeight="1" x14ac:dyDescent="0.25"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</row>
    <row r="935" spans="3:22" ht="15.75" customHeight="1" x14ac:dyDescent="0.25"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</row>
    <row r="936" spans="3:22" ht="15.75" customHeight="1" x14ac:dyDescent="0.25"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</row>
    <row r="937" spans="3:22" ht="15.75" customHeight="1" x14ac:dyDescent="0.25"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</row>
    <row r="938" spans="3:22" ht="15.75" customHeight="1" x14ac:dyDescent="0.25"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</row>
    <row r="939" spans="3:22" ht="15.75" customHeight="1" x14ac:dyDescent="0.25"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</row>
    <row r="940" spans="3:22" ht="15.75" customHeight="1" x14ac:dyDescent="0.25"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</row>
    <row r="941" spans="3:22" ht="15.75" customHeight="1" x14ac:dyDescent="0.25"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</row>
    <row r="942" spans="3:22" ht="15.75" customHeight="1" x14ac:dyDescent="0.25"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</row>
    <row r="943" spans="3:22" ht="15.75" customHeight="1" x14ac:dyDescent="0.25"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</row>
    <row r="944" spans="3:22" ht="15.75" customHeight="1" x14ac:dyDescent="0.25"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</row>
    <row r="945" spans="3:22" ht="15.75" customHeight="1" x14ac:dyDescent="0.25"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</row>
    <row r="946" spans="3:22" ht="15.75" customHeight="1" x14ac:dyDescent="0.25"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</row>
    <row r="947" spans="3:22" ht="15.75" customHeight="1" x14ac:dyDescent="0.25"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</row>
    <row r="948" spans="3:22" ht="15.75" customHeight="1" x14ac:dyDescent="0.25"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</row>
    <row r="949" spans="3:22" ht="15.75" customHeight="1" x14ac:dyDescent="0.25"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</row>
    <row r="950" spans="3:22" ht="15.75" customHeight="1" x14ac:dyDescent="0.25"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</row>
    <row r="951" spans="3:22" ht="15.75" customHeight="1" x14ac:dyDescent="0.25"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</row>
    <row r="952" spans="3:22" ht="15.75" customHeight="1" x14ac:dyDescent="0.25"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</row>
    <row r="953" spans="3:22" ht="15.75" customHeight="1" x14ac:dyDescent="0.25"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</row>
    <row r="954" spans="3:22" ht="15.75" customHeight="1" x14ac:dyDescent="0.25"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</row>
    <row r="955" spans="3:22" ht="15.75" customHeight="1" x14ac:dyDescent="0.25"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</row>
    <row r="956" spans="3:22" ht="15.75" customHeight="1" x14ac:dyDescent="0.25"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</row>
    <row r="957" spans="3:22" ht="15.75" customHeight="1" x14ac:dyDescent="0.25"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</row>
    <row r="958" spans="3:22" ht="15.75" customHeight="1" x14ac:dyDescent="0.25"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</row>
    <row r="959" spans="3:22" ht="15.75" customHeight="1" x14ac:dyDescent="0.25"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</row>
    <row r="960" spans="3:22" ht="15.75" customHeight="1" x14ac:dyDescent="0.25"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</row>
    <row r="961" spans="3:22" ht="15.75" customHeight="1" x14ac:dyDescent="0.25"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</row>
    <row r="962" spans="3:22" ht="15.75" customHeight="1" x14ac:dyDescent="0.25"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</row>
    <row r="963" spans="3:22" ht="15.75" customHeight="1" x14ac:dyDescent="0.25"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</row>
    <row r="964" spans="3:22" ht="15.75" customHeight="1" x14ac:dyDescent="0.25"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</row>
    <row r="965" spans="3:22" ht="15.75" customHeight="1" x14ac:dyDescent="0.25"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</row>
    <row r="966" spans="3:22" ht="15.75" customHeight="1" x14ac:dyDescent="0.25"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</row>
    <row r="967" spans="3:22" ht="15.75" customHeight="1" x14ac:dyDescent="0.25"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</row>
    <row r="968" spans="3:22" ht="15.75" customHeight="1" x14ac:dyDescent="0.25"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</row>
    <row r="969" spans="3:22" ht="15.75" customHeight="1" x14ac:dyDescent="0.25"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</row>
    <row r="970" spans="3:22" ht="15.75" customHeight="1" x14ac:dyDescent="0.25"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</row>
    <row r="971" spans="3:22" ht="15.75" customHeight="1" x14ac:dyDescent="0.25"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</row>
    <row r="972" spans="3:22" ht="15.75" customHeight="1" x14ac:dyDescent="0.25"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</row>
    <row r="973" spans="3:22" ht="15.75" customHeight="1" x14ac:dyDescent="0.25"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</row>
    <row r="974" spans="3:22" ht="15.75" customHeight="1" x14ac:dyDescent="0.25"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</row>
    <row r="975" spans="3:22" ht="15.75" customHeight="1" x14ac:dyDescent="0.25"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</row>
    <row r="976" spans="3:22" ht="15.75" customHeight="1" x14ac:dyDescent="0.25"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</row>
    <row r="977" spans="3:22" ht="15.75" customHeight="1" x14ac:dyDescent="0.25"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</row>
    <row r="978" spans="3:22" ht="15.75" customHeight="1" x14ac:dyDescent="0.25"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</row>
    <row r="979" spans="3:22" ht="15.75" customHeight="1" x14ac:dyDescent="0.25"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</row>
    <row r="980" spans="3:22" ht="15.75" customHeight="1" x14ac:dyDescent="0.25"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</row>
    <row r="981" spans="3:22" ht="15.75" customHeight="1" x14ac:dyDescent="0.25"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</row>
    <row r="982" spans="3:22" ht="15.75" customHeight="1" x14ac:dyDescent="0.25"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</row>
    <row r="983" spans="3:22" ht="15.75" customHeight="1" x14ac:dyDescent="0.25"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</row>
    <row r="984" spans="3:22" ht="15.75" customHeight="1" x14ac:dyDescent="0.25"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</row>
    <row r="985" spans="3:22" ht="15.75" customHeight="1" x14ac:dyDescent="0.25"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</row>
    <row r="986" spans="3:22" ht="15.75" customHeight="1" x14ac:dyDescent="0.25"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</row>
    <row r="987" spans="3:22" ht="15.75" customHeight="1" x14ac:dyDescent="0.25"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</row>
    <row r="988" spans="3:22" ht="15.75" customHeight="1" x14ac:dyDescent="0.25"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</row>
    <row r="989" spans="3:22" ht="15.75" customHeight="1" x14ac:dyDescent="0.25"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</row>
  </sheetData>
  <mergeCells count="4">
    <mergeCell ref="M1:Q1"/>
    <mergeCell ref="R1:V1"/>
    <mergeCell ref="C1:G1"/>
    <mergeCell ref="H1:L1"/>
  </mergeCells>
  <conditionalFormatting sqref="C3:Q20">
    <cfRule type="cellIs" dxfId="1" priority="1" operator="greaterThan">
      <formula>0</formula>
    </cfRule>
    <cfRule type="cellIs" dxfId="0" priority="2" operator="equal">
      <formula>0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Commercial</vt:lpstr>
      <vt:lpstr>COM Winbacks</vt:lpstr>
      <vt:lpstr>Residential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Ford</dc:creator>
  <cp:lastModifiedBy>Cristhian Mondragon</cp:lastModifiedBy>
  <dcterms:created xsi:type="dcterms:W3CDTF">2019-04-02T20:53:37Z</dcterms:created>
  <dcterms:modified xsi:type="dcterms:W3CDTF">2026-09-15T17:34:29Z</dcterms:modified>
</cp:coreProperties>
</file>