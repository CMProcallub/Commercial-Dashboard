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Users\cmondragon.PCH\Downloads\"/>
    </mc:Choice>
  </mc:AlternateContent>
  <xr:revisionPtr revIDLastSave="0" documentId="13_ncr:1_{D3B4C30D-3403-4164-AE37-FE6BD09910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mmercial" sheetId="1" r:id="rId1"/>
    <sheet name="Agents Hrs" sheetId="2" r:id="rId2"/>
    <sheet name="Commercial Agent-Day" sheetId="3" r:id="rId3"/>
    <sheet name="COM Winbacks" sheetId="4" r:id="rId4"/>
    <sheet name="Residential" sheetId="5" r:id="rId5"/>
    <sheet name="Dashboard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5vXsqZxXnwf4RTd6BBrixaFgncYyH1DQ5OUroJlrmdY="/>
    </ext>
  </extLst>
</workbook>
</file>

<file path=xl/calcChain.xml><?xml version="1.0" encoding="utf-8"?>
<calcChain xmlns="http://schemas.openxmlformats.org/spreadsheetml/2006/main">
  <c r="Q20" i="6" l="1"/>
  <c r="P20" i="6"/>
  <c r="O20" i="6"/>
  <c r="N20" i="6"/>
  <c r="H20" i="6"/>
  <c r="G20" i="6"/>
  <c r="F20" i="6"/>
  <c r="E20" i="6"/>
  <c r="D20" i="6"/>
  <c r="C20" i="6"/>
  <c r="B20" i="6" a="1"/>
  <c r="B20" i="6" s="1"/>
  <c r="A20" i="6"/>
  <c r="M20" i="6" s="1"/>
  <c r="S19" i="6"/>
  <c r="Q19" i="6"/>
  <c r="P19" i="6"/>
  <c r="O19" i="6"/>
  <c r="N19" i="6"/>
  <c r="I19" i="6"/>
  <c r="H19" i="6"/>
  <c r="G19" i="6"/>
  <c r="F19" i="6"/>
  <c r="E19" i="6"/>
  <c r="D19" i="6"/>
  <c r="C19" i="6"/>
  <c r="B19" i="6" a="1"/>
  <c r="B19" i="6" s="1"/>
  <c r="A19" i="6"/>
  <c r="M19" i="6" s="1"/>
  <c r="S18" i="6"/>
  <c r="Q18" i="6"/>
  <c r="P18" i="6"/>
  <c r="O18" i="6"/>
  <c r="N18" i="6"/>
  <c r="I18" i="6"/>
  <c r="H18" i="6"/>
  <c r="G18" i="6"/>
  <c r="F18" i="6"/>
  <c r="E18" i="6"/>
  <c r="D18" i="6"/>
  <c r="C18" i="6"/>
  <c r="B18" i="6" a="1"/>
  <c r="B18" i="6" s="1"/>
  <c r="A18" i="6"/>
  <c r="M18" i="6" s="1"/>
  <c r="S17" i="6"/>
  <c r="Q17" i="6"/>
  <c r="P17" i="6"/>
  <c r="O17" i="6"/>
  <c r="N17" i="6"/>
  <c r="I17" i="6"/>
  <c r="H17" i="6"/>
  <c r="G17" i="6"/>
  <c r="F17" i="6"/>
  <c r="E17" i="6"/>
  <c r="D17" i="6"/>
  <c r="C17" i="6"/>
  <c r="B17" i="6" a="1"/>
  <c r="B17" i="6" s="1"/>
  <c r="A17" i="6"/>
  <c r="M17" i="6" s="1"/>
  <c r="Q16" i="6"/>
  <c r="P16" i="6"/>
  <c r="O16" i="6"/>
  <c r="N16" i="6"/>
  <c r="G16" i="6"/>
  <c r="F16" i="6"/>
  <c r="E16" i="6"/>
  <c r="D16" i="6"/>
  <c r="C16" i="6"/>
  <c r="B16" i="6" a="1"/>
  <c r="B16" i="6" s="1"/>
  <c r="A16" i="6"/>
  <c r="M16" i="6" s="1"/>
  <c r="Q13" i="6"/>
  <c r="P13" i="6"/>
  <c r="O13" i="6"/>
  <c r="M13" i="6"/>
  <c r="G13" i="6"/>
  <c r="F13" i="6"/>
  <c r="E13" i="6"/>
  <c r="D13" i="6"/>
  <c r="C13" i="6"/>
  <c r="A13" i="6"/>
  <c r="N13" i="6" s="1"/>
  <c r="U12" i="6"/>
  <c r="T12" i="6"/>
  <c r="Q12" i="6"/>
  <c r="P12" i="6"/>
  <c r="O12" i="6"/>
  <c r="M12" i="6"/>
  <c r="K12" i="6"/>
  <c r="J12" i="6"/>
  <c r="I12" i="6"/>
  <c r="H12" i="6"/>
  <c r="R12" i="6" s="1"/>
  <c r="G12" i="6"/>
  <c r="F12" i="6"/>
  <c r="E12" i="6"/>
  <c r="D12" i="6"/>
  <c r="C12" i="6"/>
  <c r="A12" i="6"/>
  <c r="N12" i="6" s="1"/>
  <c r="Q11" i="6"/>
  <c r="P11" i="6"/>
  <c r="O11" i="6"/>
  <c r="M11" i="6"/>
  <c r="I11" i="6"/>
  <c r="G11" i="6"/>
  <c r="F11" i="6"/>
  <c r="E11" i="6"/>
  <c r="D11" i="6"/>
  <c r="C11" i="6"/>
  <c r="A11" i="6"/>
  <c r="N11" i="6" s="1"/>
  <c r="Q10" i="6"/>
  <c r="P10" i="6"/>
  <c r="O10" i="6"/>
  <c r="M10" i="6"/>
  <c r="G10" i="6"/>
  <c r="F10" i="6"/>
  <c r="E10" i="6"/>
  <c r="D10" i="6"/>
  <c r="C10" i="6"/>
  <c r="A10" i="6"/>
  <c r="N10" i="6" s="1"/>
  <c r="Q9" i="6"/>
  <c r="P9" i="6"/>
  <c r="O9" i="6"/>
  <c r="M9" i="6"/>
  <c r="I9" i="6"/>
  <c r="G9" i="6"/>
  <c r="F9" i="6"/>
  <c r="E9" i="6"/>
  <c r="D9" i="6"/>
  <c r="C9" i="6"/>
  <c r="A9" i="6"/>
  <c r="N9" i="6" s="1"/>
  <c r="Q8" i="6"/>
  <c r="P8" i="6"/>
  <c r="O8" i="6"/>
  <c r="M8" i="6"/>
  <c r="I8" i="6"/>
  <c r="G8" i="6"/>
  <c r="F8" i="6"/>
  <c r="E8" i="6"/>
  <c r="D8" i="6"/>
  <c r="C8" i="6"/>
  <c r="A8" i="6"/>
  <c r="N8" i="6" s="1"/>
  <c r="Q7" i="6"/>
  <c r="P7" i="6"/>
  <c r="O7" i="6"/>
  <c r="M7" i="6"/>
  <c r="I7" i="6"/>
  <c r="G7" i="6"/>
  <c r="F7" i="6"/>
  <c r="E7" i="6"/>
  <c r="D7" i="6"/>
  <c r="C7" i="6"/>
  <c r="A7" i="6"/>
  <c r="N7" i="6" s="1"/>
  <c r="U6" i="6"/>
  <c r="Q6" i="6"/>
  <c r="P6" i="6"/>
  <c r="O6" i="6"/>
  <c r="M6" i="6"/>
  <c r="K6" i="6"/>
  <c r="J6" i="6"/>
  <c r="I6" i="6"/>
  <c r="H6" i="6"/>
  <c r="R6" i="6" s="1"/>
  <c r="G6" i="6"/>
  <c r="F6" i="6"/>
  <c r="E6" i="6"/>
  <c r="T6" i="6" s="1"/>
  <c r="D6" i="6"/>
  <c r="C6" i="6"/>
  <c r="A6" i="6"/>
  <c r="N6" i="6" s="1"/>
  <c r="Q5" i="6"/>
  <c r="P5" i="6"/>
  <c r="O5" i="6"/>
  <c r="M5" i="6"/>
  <c r="G5" i="6"/>
  <c r="F5" i="6"/>
  <c r="E5" i="6"/>
  <c r="D5" i="6"/>
  <c r="C5" i="6"/>
  <c r="A5" i="6"/>
  <c r="N5" i="6" s="1"/>
  <c r="Q4" i="6"/>
  <c r="P4" i="6"/>
  <c r="O4" i="6"/>
  <c r="M4" i="6"/>
  <c r="G4" i="6"/>
  <c r="F4" i="6"/>
  <c r="E4" i="6"/>
  <c r="D4" i="6"/>
  <c r="C4" i="6"/>
  <c r="A4" i="6"/>
  <c r="N4" i="6" s="1"/>
  <c r="Q3" i="6"/>
  <c r="Q21" i="6" s="1"/>
  <c r="P3" i="6"/>
  <c r="P21" i="6" s="1"/>
  <c r="O3" i="6"/>
  <c r="O21" i="6" s="1"/>
  <c r="M3" i="6"/>
  <c r="M21" i="6" s="1"/>
  <c r="G3" i="6"/>
  <c r="G21" i="6" s="1"/>
  <c r="F3" i="6"/>
  <c r="F21" i="6" s="1"/>
  <c r="E3" i="6"/>
  <c r="D3" i="6"/>
  <c r="C3" i="6"/>
  <c r="C21" i="6" s="1"/>
  <c r="B3" i="6" a="1"/>
  <c r="B3" i="6"/>
  <c r="A3" i="6"/>
  <c r="N3" i="6" s="1"/>
  <c r="J41" i="5"/>
  <c r="H41" i="5"/>
  <c r="L41" i="5" s="1"/>
  <c r="L40" i="5"/>
  <c r="J40" i="5"/>
  <c r="H40" i="5"/>
  <c r="H39" i="5"/>
  <c r="L39" i="5" s="1"/>
  <c r="H38" i="5"/>
  <c r="J36" i="5"/>
  <c r="H36" i="5"/>
  <c r="L36" i="5" s="1"/>
  <c r="L35" i="5"/>
  <c r="J35" i="5"/>
  <c r="H35" i="5"/>
  <c r="H34" i="5"/>
  <c r="L34" i="5" s="1"/>
  <c r="H33" i="5"/>
  <c r="K30" i="5"/>
  <c r="I30" i="5"/>
  <c r="I42" i="5" s="1"/>
  <c r="H30" i="5"/>
  <c r="L30" i="5" s="1"/>
  <c r="G30" i="5"/>
  <c r="F30" i="5"/>
  <c r="E30" i="5"/>
  <c r="D30" i="5"/>
  <c r="C30" i="5"/>
  <c r="J29" i="5"/>
  <c r="H29" i="5"/>
  <c r="L29" i="5" s="1"/>
  <c r="H28" i="5"/>
  <c r="L28" i="5" s="1"/>
  <c r="L27" i="5"/>
  <c r="J27" i="5"/>
  <c r="H27" i="5"/>
  <c r="J26" i="5"/>
  <c r="H26" i="5"/>
  <c r="L26" i="5" s="1"/>
  <c r="J25" i="5"/>
  <c r="H25" i="5"/>
  <c r="L25" i="5" s="1"/>
  <c r="H24" i="5"/>
  <c r="L24" i="5" s="1"/>
  <c r="L23" i="5"/>
  <c r="J23" i="5"/>
  <c r="H23" i="5"/>
  <c r="J22" i="5"/>
  <c r="H22" i="5"/>
  <c r="L22" i="5" s="1"/>
  <c r="J21" i="5"/>
  <c r="H21" i="5"/>
  <c r="L21" i="5" s="1"/>
  <c r="H20" i="5"/>
  <c r="L20" i="5" s="1"/>
  <c r="K17" i="5"/>
  <c r="K42" i="5" s="1"/>
  <c r="L16" i="5"/>
  <c r="H16" i="5"/>
  <c r="J16" i="5" s="1"/>
  <c r="H15" i="5"/>
  <c r="L15" i="5" s="1"/>
  <c r="G14" i="5" a="1"/>
  <c r="G14" i="5" s="1"/>
  <c r="F14" i="5" a="1"/>
  <c r="F14" i="5"/>
  <c r="K11" i="6" s="1"/>
  <c r="U11" i="6" s="1"/>
  <c r="E14" i="5" a="1"/>
  <c r="E14" i="5"/>
  <c r="J11" i="6" s="1"/>
  <c r="T11" i="6" s="1"/>
  <c r="D14" i="5" a="1"/>
  <c r="D14" i="5"/>
  <c r="C14" i="5" a="1"/>
  <c r="C14" i="5" s="1"/>
  <c r="G13" i="5" a="1"/>
  <c r="G13" i="5" s="1"/>
  <c r="F13" i="5" a="1"/>
  <c r="F13" i="5" s="1"/>
  <c r="E13" i="5" a="1"/>
  <c r="E13" i="5" s="1"/>
  <c r="D13" i="5" a="1"/>
  <c r="D13" i="5" s="1"/>
  <c r="C13" i="5" a="1"/>
  <c r="C13" i="5" s="1"/>
  <c r="G12" i="5" a="1"/>
  <c r="G12" i="5"/>
  <c r="F12" i="5" a="1"/>
  <c r="F12" i="5"/>
  <c r="K3" i="6" s="1"/>
  <c r="E12" i="5" a="1"/>
  <c r="E12" i="5"/>
  <c r="J3" i="6" s="1"/>
  <c r="D12" i="5" a="1"/>
  <c r="D12" i="5"/>
  <c r="I3" i="6" s="1"/>
  <c r="C12" i="5" a="1"/>
  <c r="C12" i="5" s="1"/>
  <c r="H3" i="6" s="1"/>
  <c r="G11" i="5" a="1"/>
  <c r="G11" i="5" s="1"/>
  <c r="F11" i="5" a="1"/>
  <c r="F11" i="5" s="1"/>
  <c r="E11" i="5" a="1"/>
  <c r="E11" i="5" s="1"/>
  <c r="D11" i="5" a="1"/>
  <c r="D11" i="5" s="1"/>
  <c r="I20" i="6" s="1"/>
  <c r="C11" i="5" a="1"/>
  <c r="C11" i="5"/>
  <c r="G10" i="5" a="1"/>
  <c r="G10" i="5"/>
  <c r="F10" i="5" a="1"/>
  <c r="F10" i="5"/>
  <c r="K5" i="6" s="1"/>
  <c r="U5" i="6" s="1"/>
  <c r="E10" i="5" a="1"/>
  <c r="E10" i="5"/>
  <c r="J5" i="6" s="1"/>
  <c r="D10" i="5" a="1"/>
  <c r="D10" i="5" s="1"/>
  <c r="I5" i="6" s="1"/>
  <c r="C10" i="5" a="1"/>
  <c r="C10" i="5" s="1"/>
  <c r="G9" i="5" a="1"/>
  <c r="G9" i="5" s="1"/>
  <c r="F9" i="5" a="1"/>
  <c r="F9" i="5" s="1"/>
  <c r="K8" i="6" s="1"/>
  <c r="U8" i="6" s="1"/>
  <c r="E9" i="5" a="1"/>
  <c r="E9" i="5" s="1"/>
  <c r="J8" i="6" s="1"/>
  <c r="D9" i="5" a="1"/>
  <c r="D9" i="5"/>
  <c r="C9" i="5" a="1"/>
  <c r="C9" i="5" s="1"/>
  <c r="G8" i="5" a="1"/>
  <c r="G8" i="5"/>
  <c r="F8" i="5" a="1"/>
  <c r="F8" i="5"/>
  <c r="K4" i="6" s="1"/>
  <c r="U4" i="6" s="1"/>
  <c r="E8" i="5" a="1"/>
  <c r="E8" i="5" s="1"/>
  <c r="J4" i="6" s="1"/>
  <c r="D8" i="5" a="1"/>
  <c r="D8" i="5"/>
  <c r="I4" i="6" s="1"/>
  <c r="C8" i="5" a="1"/>
  <c r="C8" i="5"/>
  <c r="H4" i="6" s="1"/>
  <c r="R4" i="6" s="1"/>
  <c r="G7" i="5" a="1"/>
  <c r="G7" i="5" s="1"/>
  <c r="F7" i="5" a="1"/>
  <c r="F7" i="5" s="1"/>
  <c r="K9" i="6" s="1"/>
  <c r="U9" i="6" s="1"/>
  <c r="E7" i="5" a="1"/>
  <c r="E7" i="5"/>
  <c r="J9" i="6" s="1"/>
  <c r="D7" i="5" a="1"/>
  <c r="D7" i="5" s="1"/>
  <c r="C7" i="5" a="1"/>
  <c r="C7" i="5" s="1"/>
  <c r="G6" i="5" a="1"/>
  <c r="G6" i="5"/>
  <c r="F6" i="5" a="1"/>
  <c r="F6" i="5" s="1"/>
  <c r="K10" i="6" s="1"/>
  <c r="U10" i="6" s="1"/>
  <c r="E6" i="5" a="1"/>
  <c r="E6" i="5" s="1"/>
  <c r="J10" i="6" s="1"/>
  <c r="T10" i="6" s="1"/>
  <c r="D6" i="5" a="1"/>
  <c r="D6" i="5"/>
  <c r="C6" i="5" a="1"/>
  <c r="C6" i="5"/>
  <c r="H10" i="6" s="1"/>
  <c r="R10" i="6" s="1"/>
  <c r="G5" i="5" a="1"/>
  <c r="G5" i="5" s="1"/>
  <c r="F5" i="5" a="1"/>
  <c r="F5" i="5"/>
  <c r="K7" i="6" s="1"/>
  <c r="U7" i="6" s="1"/>
  <c r="E5" i="5" a="1"/>
  <c r="E5" i="5" s="1"/>
  <c r="J7" i="6" s="1"/>
  <c r="D5" i="5" a="1"/>
  <c r="D5" i="5" s="1"/>
  <c r="C5" i="5" a="1"/>
  <c r="C5" i="5" s="1"/>
  <c r="G4" i="5" a="1"/>
  <c r="G4" i="5" s="1"/>
  <c r="F4" i="5" a="1"/>
  <c r="F4" i="5" s="1"/>
  <c r="K13" i="6" s="1"/>
  <c r="U13" i="6" s="1"/>
  <c r="E4" i="5" a="1"/>
  <c r="E4" i="5"/>
  <c r="J13" i="6" s="1"/>
  <c r="T13" i="6" s="1"/>
  <c r="D4" i="5" a="1"/>
  <c r="D4" i="5"/>
  <c r="I13" i="6" s="1"/>
  <c r="C4" i="5" a="1"/>
  <c r="C4" i="5"/>
  <c r="H13" i="6" s="1"/>
  <c r="R13" i="6" s="1"/>
  <c r="G3" i="5" a="1"/>
  <c r="G3" i="5"/>
  <c r="F3" i="5" a="1"/>
  <c r="F3" i="5" s="1"/>
  <c r="E3" i="5" a="1"/>
  <c r="E3" i="5" s="1"/>
  <c r="D3" i="5" a="1"/>
  <c r="D3" i="5" s="1"/>
  <c r="C3" i="5" a="1"/>
  <c r="C3" i="5" s="1"/>
  <c r="H16" i="6" s="1"/>
  <c r="C33" i="4"/>
  <c r="M31" i="4"/>
  <c r="N30" i="4"/>
  <c r="J30" i="4"/>
  <c r="L30" i="4" s="1"/>
  <c r="L29" i="4"/>
  <c r="J29" i="4"/>
  <c r="N29" i="4" s="1"/>
  <c r="N28" i="4"/>
  <c r="J28" i="4"/>
  <c r="L28" i="4" s="1"/>
  <c r="N27" i="4"/>
  <c r="L27" i="4"/>
  <c r="J27" i="4"/>
  <c r="N25" i="4"/>
  <c r="M25" i="4"/>
  <c r="K25" i="4"/>
  <c r="J25" i="4"/>
  <c r="I25" i="4"/>
  <c r="H25" i="4"/>
  <c r="G25" i="4"/>
  <c r="F25" i="4"/>
  <c r="E25" i="4"/>
  <c r="D25" i="4"/>
  <c r="C25" i="4"/>
  <c r="N24" i="4"/>
  <c r="J24" i="4"/>
  <c r="L24" i="4" s="1"/>
  <c r="L23" i="4"/>
  <c r="J23" i="4"/>
  <c r="N23" i="4" s="1"/>
  <c r="N22" i="4"/>
  <c r="J22" i="4"/>
  <c r="L22" i="4" s="1"/>
  <c r="L25" i="4" s="1"/>
  <c r="M19" i="4"/>
  <c r="K19" i="4"/>
  <c r="K31" i="4" s="1"/>
  <c r="I19" i="4"/>
  <c r="H19" i="4"/>
  <c r="G19" i="4"/>
  <c r="F19" i="4"/>
  <c r="E19" i="4"/>
  <c r="D19" i="4"/>
  <c r="C19" i="4"/>
  <c r="N18" i="4"/>
  <c r="L18" i="4"/>
  <c r="J18" i="4"/>
  <c r="J17" i="4"/>
  <c r="L17" i="4" s="1"/>
  <c r="L16" i="4"/>
  <c r="J16" i="4"/>
  <c r="N16" i="4" s="1"/>
  <c r="N15" i="4"/>
  <c r="J15" i="4"/>
  <c r="L15" i="4" s="1"/>
  <c r="N14" i="4"/>
  <c r="L14" i="4"/>
  <c r="J14" i="4"/>
  <c r="M11" i="4"/>
  <c r="K11" i="4"/>
  <c r="J11" i="4"/>
  <c r="I11" i="4"/>
  <c r="H11" i="4"/>
  <c r="H31" i="4" s="1"/>
  <c r="H33" i="4" s="1"/>
  <c r="G11" i="4"/>
  <c r="G31" i="4" s="1"/>
  <c r="G33" i="4" s="1"/>
  <c r="F11" i="4"/>
  <c r="F31" i="4" s="1"/>
  <c r="F33" i="4" s="1"/>
  <c r="E11" i="4"/>
  <c r="E31" i="4" s="1"/>
  <c r="E33" i="4" s="1"/>
  <c r="D11" i="4"/>
  <c r="D31" i="4" s="1"/>
  <c r="D33" i="4" s="1"/>
  <c r="C11" i="4"/>
  <c r="C31" i="4" s="1"/>
  <c r="J10" i="4"/>
  <c r="L10" i="4" s="1"/>
  <c r="L9" i="4"/>
  <c r="J9" i="4"/>
  <c r="N9" i="4" s="1"/>
  <c r="N8" i="4"/>
  <c r="J8" i="4"/>
  <c r="L8" i="4" s="1"/>
  <c r="N7" i="4"/>
  <c r="L7" i="4"/>
  <c r="J7" i="4"/>
  <c r="J6" i="4"/>
  <c r="L6" i="4" s="1"/>
  <c r="L5" i="4"/>
  <c r="J5" i="4"/>
  <c r="N5" i="4" s="1"/>
  <c r="N4" i="4"/>
  <c r="J4" i="4"/>
  <c r="L4" i="4" s="1"/>
  <c r="N3" i="4"/>
  <c r="L3" i="4"/>
  <c r="L11" i="4" s="1"/>
  <c r="J3" i="4"/>
  <c r="N15" i="3" a="1"/>
  <c r="N15" i="3"/>
  <c r="M15" i="3" a="1"/>
  <c r="M15" i="3"/>
  <c r="L15" i="3" a="1"/>
  <c r="L15" i="3" s="1"/>
  <c r="K15" i="3" a="1"/>
  <c r="K15" i="3" s="1"/>
  <c r="O15" i="3" s="1"/>
  <c r="J15" i="3" a="1"/>
  <c r="J15" i="3"/>
  <c r="G15" i="3" a="1"/>
  <c r="G15" i="3" s="1"/>
  <c r="F15" i="3" a="1"/>
  <c r="F15" i="3" s="1"/>
  <c r="E15" i="3" a="1"/>
  <c r="E15" i="3" s="1"/>
  <c r="D15" i="3" a="1"/>
  <c r="D15" i="3"/>
  <c r="C15" i="3" a="1"/>
  <c r="C15" i="3" s="1"/>
  <c r="H15" i="3" s="1"/>
  <c r="N14" i="3" a="1"/>
  <c r="N14" i="3" s="1"/>
  <c r="M14" i="3" a="1"/>
  <c r="M14" i="3" s="1"/>
  <c r="L14" i="3" a="1"/>
  <c r="L14" i="3" s="1"/>
  <c r="K14" i="3" a="1"/>
  <c r="K14" i="3"/>
  <c r="J14" i="3" a="1"/>
  <c r="J14" i="3" s="1"/>
  <c r="G14" i="3" a="1"/>
  <c r="G14" i="3"/>
  <c r="F14" i="3" a="1"/>
  <c r="F14" i="3"/>
  <c r="E14" i="3" a="1"/>
  <c r="E14" i="3"/>
  <c r="D14" i="3" a="1"/>
  <c r="D14" i="3" s="1"/>
  <c r="C14" i="3" a="1"/>
  <c r="C14" i="3" s="1"/>
  <c r="H14" i="3" s="1"/>
  <c r="N13" i="3" a="1"/>
  <c r="N13" i="3"/>
  <c r="M13" i="3" a="1"/>
  <c r="M13" i="3"/>
  <c r="L13" i="3" a="1"/>
  <c r="L13" i="3"/>
  <c r="K13" i="3" a="1"/>
  <c r="K13" i="3" s="1"/>
  <c r="J13" i="3" a="1"/>
  <c r="J13" i="3"/>
  <c r="O13" i="3" s="1"/>
  <c r="G13" i="3" a="1"/>
  <c r="G13" i="3" s="1"/>
  <c r="F13" i="3" a="1"/>
  <c r="F13" i="3" s="1"/>
  <c r="E13" i="3" a="1"/>
  <c r="E13" i="3" s="1"/>
  <c r="D13" i="3" a="1"/>
  <c r="D13" i="3" s="1"/>
  <c r="C13" i="3" a="1"/>
  <c r="C13" i="3"/>
  <c r="N12" i="3" a="1"/>
  <c r="N12" i="3" s="1"/>
  <c r="M12" i="3" a="1"/>
  <c r="M12" i="3" s="1"/>
  <c r="L12" i="3" a="1"/>
  <c r="L12" i="3"/>
  <c r="K12" i="3" a="1"/>
  <c r="K12" i="3" s="1"/>
  <c r="J12" i="3" a="1"/>
  <c r="J12" i="3"/>
  <c r="G12" i="3" a="1"/>
  <c r="G12" i="3"/>
  <c r="F12" i="3" a="1"/>
  <c r="F12" i="3"/>
  <c r="E12" i="3" a="1"/>
  <c r="E12" i="3"/>
  <c r="D12" i="3" a="1"/>
  <c r="D12" i="3"/>
  <c r="H12" i="3" s="1"/>
  <c r="C12" i="3" a="1"/>
  <c r="C12" i="3"/>
  <c r="N11" i="3" a="1"/>
  <c r="N11" i="3"/>
  <c r="M11" i="3" a="1"/>
  <c r="M11" i="3"/>
  <c r="L11" i="3" a="1"/>
  <c r="L11" i="3"/>
  <c r="K11" i="3" a="1"/>
  <c r="K11" i="3"/>
  <c r="J11" i="3" a="1"/>
  <c r="J11" i="3" s="1"/>
  <c r="O11" i="3" s="1"/>
  <c r="G11" i="3" a="1"/>
  <c r="G11" i="3" s="1"/>
  <c r="F11" i="3" a="1"/>
  <c r="F11" i="3" s="1"/>
  <c r="E11" i="3" a="1"/>
  <c r="E11" i="3" s="1"/>
  <c r="D11" i="3" a="1"/>
  <c r="D11" i="3" s="1"/>
  <c r="H11" i="3" s="1"/>
  <c r="P11" i="3" s="1"/>
  <c r="C11" i="3" a="1"/>
  <c r="C11" i="3" s="1"/>
  <c r="N10" i="3" a="1"/>
  <c r="N10" i="3" s="1"/>
  <c r="M10" i="3" a="1"/>
  <c r="M10" i="3" s="1"/>
  <c r="L10" i="3" a="1"/>
  <c r="L10" i="3" s="1"/>
  <c r="K10" i="3" a="1"/>
  <c r="K10" i="3" s="1"/>
  <c r="O10" i="3" s="1"/>
  <c r="J10" i="3" a="1"/>
  <c r="J10" i="3" s="1"/>
  <c r="G10" i="3" a="1"/>
  <c r="G10" i="3" s="1"/>
  <c r="F10" i="3" a="1"/>
  <c r="F10" i="3"/>
  <c r="E10" i="3" a="1"/>
  <c r="E10" i="3"/>
  <c r="D10" i="3" a="1"/>
  <c r="D10" i="3"/>
  <c r="C10" i="3" a="1"/>
  <c r="C10" i="3" s="1"/>
  <c r="N9" i="3" a="1"/>
  <c r="N9" i="3"/>
  <c r="M9" i="3" a="1"/>
  <c r="M9" i="3"/>
  <c r="L9" i="3" a="1"/>
  <c r="L9" i="3"/>
  <c r="K9" i="3" a="1"/>
  <c r="K9" i="3"/>
  <c r="J9" i="3" a="1"/>
  <c r="J9" i="3"/>
  <c r="G9" i="3" a="1"/>
  <c r="G9" i="3"/>
  <c r="F9" i="3" a="1"/>
  <c r="F9" i="3" s="1"/>
  <c r="E9" i="3" a="1"/>
  <c r="E9" i="3" s="1"/>
  <c r="D9" i="3" a="1"/>
  <c r="D9" i="3" s="1"/>
  <c r="C9" i="3" a="1"/>
  <c r="C9" i="3"/>
  <c r="H9" i="3" s="1"/>
  <c r="N8" i="3" a="1"/>
  <c r="N8" i="3"/>
  <c r="M8" i="3" a="1"/>
  <c r="M8" i="3" s="1"/>
  <c r="L8" i="3" a="1"/>
  <c r="L8" i="3" s="1"/>
  <c r="K8" i="3" a="1"/>
  <c r="K8" i="3" s="1"/>
  <c r="J8" i="3" a="1"/>
  <c r="J8" i="3" s="1"/>
  <c r="O8" i="3" s="1"/>
  <c r="G8" i="3" a="1"/>
  <c r="G8" i="3" s="1"/>
  <c r="F8" i="3" a="1"/>
  <c r="F8" i="3"/>
  <c r="E8" i="3" a="1"/>
  <c r="E8" i="3"/>
  <c r="D8" i="3" a="1"/>
  <c r="D8" i="3"/>
  <c r="C8" i="3" a="1"/>
  <c r="C8" i="3"/>
  <c r="H8" i="3" s="1"/>
  <c r="N7" i="3" a="1"/>
  <c r="N7" i="3" s="1"/>
  <c r="M7" i="3" a="1"/>
  <c r="M7" i="3" s="1"/>
  <c r="L7" i="3" a="1"/>
  <c r="L7" i="3"/>
  <c r="K7" i="3" a="1"/>
  <c r="K7" i="3"/>
  <c r="J7" i="3" a="1"/>
  <c r="J7" i="3"/>
  <c r="O7" i="3" s="1"/>
  <c r="G7" i="3" a="1"/>
  <c r="G7" i="3" s="1"/>
  <c r="F7" i="3" a="1"/>
  <c r="F7" i="3"/>
  <c r="E7" i="3" a="1"/>
  <c r="E7" i="3" s="1"/>
  <c r="D7" i="3" a="1"/>
  <c r="D7" i="3" s="1"/>
  <c r="C7" i="3" a="1"/>
  <c r="C7" i="3" s="1"/>
  <c r="H7" i="3" s="1"/>
  <c r="N6" i="3" a="1"/>
  <c r="N6" i="3" s="1"/>
  <c r="M6" i="3" a="1"/>
  <c r="M6" i="3"/>
  <c r="L6" i="3" a="1"/>
  <c r="L6" i="3" s="1"/>
  <c r="K6" i="3" a="1"/>
  <c r="K6" i="3" s="1"/>
  <c r="J6" i="3" a="1"/>
  <c r="J6" i="3" s="1"/>
  <c r="O6" i="3" s="1"/>
  <c r="G6" i="3" a="1"/>
  <c r="G6" i="3" s="1"/>
  <c r="F6" i="3" a="1"/>
  <c r="F6" i="3"/>
  <c r="E6" i="3" a="1"/>
  <c r="E6" i="3"/>
  <c r="D6" i="3" a="1"/>
  <c r="D6" i="3"/>
  <c r="C6" i="3" a="1"/>
  <c r="C6" i="3"/>
  <c r="N5" i="3" a="1"/>
  <c r="N5" i="3" s="1"/>
  <c r="M5" i="3" a="1"/>
  <c r="M5" i="3" s="1"/>
  <c r="L5" i="3" a="1"/>
  <c r="L5" i="3" s="1"/>
  <c r="K5" i="3" a="1"/>
  <c r="K5" i="3"/>
  <c r="J5" i="3" a="1"/>
  <c r="J5" i="3"/>
  <c r="O5" i="3" s="1"/>
  <c r="G5" i="3" a="1"/>
  <c r="G5" i="3" s="1"/>
  <c r="F5" i="3" a="1"/>
  <c r="F5" i="3" s="1"/>
  <c r="E5" i="3" a="1"/>
  <c r="E5" i="3"/>
  <c r="D5" i="3" a="1"/>
  <c r="D5" i="3" s="1"/>
  <c r="C5" i="3" a="1"/>
  <c r="C5" i="3" s="1"/>
  <c r="N4" i="3" a="1"/>
  <c r="N4" i="3"/>
  <c r="M4" i="3" a="1"/>
  <c r="M4" i="3" s="1"/>
  <c r="L4" i="3" a="1"/>
  <c r="L4" i="3"/>
  <c r="L16" i="3" s="1"/>
  <c r="K4" i="3" a="1"/>
  <c r="K4" i="3" s="1"/>
  <c r="J4" i="3" a="1"/>
  <c r="J4" i="3" s="1"/>
  <c r="G4" i="3" a="1"/>
  <c r="G4" i="3"/>
  <c r="F4" i="3" a="1"/>
  <c r="F4" i="3" s="1"/>
  <c r="F16" i="3" s="1"/>
  <c r="E4" i="3" a="1"/>
  <c r="E4" i="3" s="1"/>
  <c r="D4" i="3" a="1"/>
  <c r="D4" i="3" s="1"/>
  <c r="D16" i="3" s="1"/>
  <c r="C4" i="3" a="1"/>
  <c r="C4" i="3"/>
  <c r="M44" i="2"/>
  <c r="M43" i="2"/>
  <c r="L42" i="2"/>
  <c r="J42" i="2"/>
  <c r="H42" i="2"/>
  <c r="F42" i="2"/>
  <c r="D42" i="2"/>
  <c r="M41" i="2"/>
  <c r="M40" i="2"/>
  <c r="M39" i="2"/>
  <c r="M37" i="2"/>
  <c r="M36" i="2"/>
  <c r="M35" i="2"/>
  <c r="M34" i="2"/>
  <c r="M33" i="2"/>
  <c r="M31" i="2"/>
  <c r="M30" i="2"/>
  <c r="M29" i="2"/>
  <c r="M28" i="2"/>
  <c r="M27" i="2"/>
  <c r="M26" i="2"/>
  <c r="M25" i="2"/>
  <c r="M24" i="2"/>
  <c r="M23" i="2"/>
  <c r="M22" i="2"/>
  <c r="M21" i="2"/>
  <c r="M20" i="2"/>
  <c r="M18" i="2"/>
  <c r="L18" i="2"/>
  <c r="J18" i="2"/>
  <c r="H18" i="2"/>
  <c r="F18" i="2"/>
  <c r="D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B30" i="1"/>
  <c r="V30" i="1"/>
  <c r="AK28" i="1"/>
  <c r="AH28" i="1"/>
  <c r="AB28" i="1"/>
  <c r="V28" i="1"/>
  <c r="P28" i="1"/>
  <c r="AL27" i="1"/>
  <c r="AJ27" i="1"/>
  <c r="AG27" i="1"/>
  <c r="AL26" i="1"/>
  <c r="AG26" i="1"/>
  <c r="AJ26" i="1" s="1"/>
  <c r="AG25" i="1"/>
  <c r="AL25" i="1" s="1"/>
  <c r="AL24" i="1"/>
  <c r="AG24" i="1"/>
  <c r="AJ24" i="1" s="1"/>
  <c r="AL22" i="1"/>
  <c r="AK22" i="1"/>
  <c r="AH22" i="1"/>
  <c r="AC22" i="1"/>
  <c r="AB22" i="1"/>
  <c r="W22" i="1"/>
  <c r="V22" i="1"/>
  <c r="Q22" i="1"/>
  <c r="P22" i="1"/>
  <c r="K22" i="1"/>
  <c r="J22" i="1"/>
  <c r="E22" i="1"/>
  <c r="D22" i="1"/>
  <c r="AG21" i="1"/>
  <c r="AJ21" i="1" s="1"/>
  <c r="AG20" i="1"/>
  <c r="AG22" i="1" s="1"/>
  <c r="AL19" i="1"/>
  <c r="AG19" i="1"/>
  <c r="AJ19" i="1" s="1"/>
  <c r="AF16" i="1"/>
  <c r="AC16" i="1"/>
  <c r="AC28" i="1" s="1"/>
  <c r="AC30" i="1" s="1"/>
  <c r="AB16" i="1"/>
  <c r="Z16" i="1"/>
  <c r="W16" i="1"/>
  <c r="W28" i="1" s="1"/>
  <c r="W30" i="1" s="1"/>
  <c r="V16" i="1"/>
  <c r="T16" i="1"/>
  <c r="Q16" i="1"/>
  <c r="Q28" i="1" s="1"/>
  <c r="Q30" i="1" s="1"/>
  <c r="P16" i="1"/>
  <c r="N16" i="1"/>
  <c r="K16" i="1"/>
  <c r="J16" i="1"/>
  <c r="J28" i="1" s="1"/>
  <c r="H16" i="1"/>
  <c r="E16" i="1"/>
  <c r="D16" i="1"/>
  <c r="D28" i="1" s="1"/>
  <c r="AO15" i="1"/>
  <c r="AJ15" i="1"/>
  <c r="AI15" i="1"/>
  <c r="AG15" i="1"/>
  <c r="AL15" i="1" s="1"/>
  <c r="AA15" i="1" a="1"/>
  <c r="AA15" i="1"/>
  <c r="AE15" i="1" s="1"/>
  <c r="U15" i="1" a="1"/>
  <c r="U15" i="1" s="1"/>
  <c r="Y15" i="1" s="1"/>
  <c r="O15" i="1" a="1"/>
  <c r="O15" i="1" s="1"/>
  <c r="S15" i="1" s="1"/>
  <c r="I15" i="1" a="1"/>
  <c r="I15" i="1"/>
  <c r="M15" i="1" s="1"/>
  <c r="C15" i="1" a="1"/>
  <c r="C15" i="1"/>
  <c r="G15" i="1" s="1"/>
  <c r="AO14" i="1"/>
  <c r="AI14" i="1"/>
  <c r="AG14" i="1"/>
  <c r="AJ14" i="1" s="1"/>
  <c r="AA14" i="1" a="1"/>
  <c r="AA14" i="1"/>
  <c r="AE14" i="1" s="1"/>
  <c r="U14" i="1" a="1"/>
  <c r="U14" i="1"/>
  <c r="Y14" i="1" s="1"/>
  <c r="O14" i="1" a="1"/>
  <c r="O14" i="1"/>
  <c r="S14" i="1" s="1"/>
  <c r="I14" i="1" a="1"/>
  <c r="I14" i="1"/>
  <c r="M14" i="1" s="1"/>
  <c r="G14" i="1"/>
  <c r="C14" i="1" a="1"/>
  <c r="C14" i="1"/>
  <c r="AO13" i="1"/>
  <c r="AL13" i="1"/>
  <c r="AJ13" i="1"/>
  <c r="AI13" i="1"/>
  <c r="AG13" i="1"/>
  <c r="AA13" i="1" a="1"/>
  <c r="AA13" i="1" s="1"/>
  <c r="AE13" i="1" s="1"/>
  <c r="U13" i="1" a="1"/>
  <c r="U13" i="1" s="1"/>
  <c r="Y13" i="1" s="1"/>
  <c r="O13" i="1" a="1"/>
  <c r="O13" i="1" s="1"/>
  <c r="S13" i="1" s="1"/>
  <c r="I13" i="1" a="1"/>
  <c r="I13" i="1" s="1"/>
  <c r="M13" i="1" s="1"/>
  <c r="C13" i="1" a="1"/>
  <c r="C13" i="1" s="1"/>
  <c r="AO12" i="1"/>
  <c r="AL12" i="1"/>
  <c r="AI12" i="1"/>
  <c r="AG12" i="1"/>
  <c r="AA12" i="1" a="1"/>
  <c r="AA12" i="1" s="1"/>
  <c r="AE12" i="1" s="1"/>
  <c r="U12" i="1" a="1"/>
  <c r="U12" i="1" s="1"/>
  <c r="O12" i="1" a="1"/>
  <c r="O12" i="1"/>
  <c r="S12" i="1" s="1"/>
  <c r="M12" i="1"/>
  <c r="I12" i="1" a="1"/>
  <c r="I12" i="1"/>
  <c r="G12" i="1"/>
  <c r="C12" i="1" a="1"/>
  <c r="C12" i="1" s="1"/>
  <c r="AO11" i="1"/>
  <c r="AI11" i="1"/>
  <c r="AG11" i="1"/>
  <c r="AE11" i="1"/>
  <c r="AA11" i="1" a="1"/>
  <c r="AA11" i="1"/>
  <c r="U11" i="1" a="1"/>
  <c r="U11" i="1"/>
  <c r="Y11" i="1" s="1"/>
  <c r="O11" i="1" a="1"/>
  <c r="O11" i="1"/>
  <c r="S11" i="1" s="1"/>
  <c r="I11" i="1" a="1"/>
  <c r="I11" i="1" s="1"/>
  <c r="M11" i="1" s="1"/>
  <c r="C11" i="1" a="1"/>
  <c r="C11" i="1" s="1"/>
  <c r="AO10" i="1"/>
  <c r="AI10" i="1"/>
  <c r="AG10" i="1"/>
  <c r="AL10" i="1" s="1"/>
  <c r="AA10" i="1" a="1"/>
  <c r="AA10" i="1" s="1"/>
  <c r="AE10" i="1" s="1"/>
  <c r="U10" i="1" a="1"/>
  <c r="U10" i="1" s="1"/>
  <c r="Y10" i="1" s="1"/>
  <c r="O10" i="1" a="1"/>
  <c r="O10" i="1" s="1"/>
  <c r="S10" i="1" s="1"/>
  <c r="M10" i="1"/>
  <c r="I10" i="1" a="1"/>
  <c r="I10" i="1"/>
  <c r="C10" i="1" a="1"/>
  <c r="C10" i="1" s="1"/>
  <c r="AO9" i="1"/>
  <c r="AJ9" i="1"/>
  <c r="AI9" i="1"/>
  <c r="AG9" i="1"/>
  <c r="AL9" i="1" s="1"/>
  <c r="AA9" i="1" a="1"/>
  <c r="AA9" i="1" s="1"/>
  <c r="AE9" i="1" s="1"/>
  <c r="U9" i="1" a="1"/>
  <c r="U9" i="1"/>
  <c r="Y9" i="1" s="1"/>
  <c r="O9" i="1" a="1"/>
  <c r="O9" i="1" s="1"/>
  <c r="S9" i="1" s="1"/>
  <c r="I9" i="1" a="1"/>
  <c r="I9" i="1"/>
  <c r="M9" i="1" s="1"/>
  <c r="C9" i="1" a="1"/>
  <c r="C9" i="1"/>
  <c r="AO8" i="1"/>
  <c r="AL8" i="1"/>
  <c r="AI8" i="1"/>
  <c r="AG8" i="1"/>
  <c r="AJ8" i="1" s="1"/>
  <c r="AA8" i="1" a="1"/>
  <c r="AA8" i="1"/>
  <c r="AE8" i="1" s="1"/>
  <c r="U8" i="1" a="1"/>
  <c r="U8" i="1"/>
  <c r="Y8" i="1" s="1"/>
  <c r="O8" i="1" a="1"/>
  <c r="O8" i="1"/>
  <c r="S8" i="1" s="1"/>
  <c r="I8" i="1" a="1"/>
  <c r="I8" i="1"/>
  <c r="M8" i="1" s="1"/>
  <c r="C8" i="1" a="1"/>
  <c r="C8" i="1"/>
  <c r="AM8" i="1" s="1"/>
  <c r="AO7" i="1"/>
  <c r="AL7" i="1"/>
  <c r="AJ7" i="1"/>
  <c r="AI7" i="1"/>
  <c r="AG7" i="1"/>
  <c r="AA7" i="1" a="1"/>
  <c r="AA7" i="1" s="1"/>
  <c r="AE7" i="1" s="1"/>
  <c r="U7" i="1" a="1"/>
  <c r="U7" i="1"/>
  <c r="Y7" i="1" s="1"/>
  <c r="S7" i="1"/>
  <c r="O7" i="1" a="1"/>
  <c r="O7" i="1"/>
  <c r="M7" i="1"/>
  <c r="I7" i="1" a="1"/>
  <c r="I7" i="1" s="1"/>
  <c r="C7" i="1" a="1"/>
  <c r="C7" i="1"/>
  <c r="G7" i="1" s="1"/>
  <c r="AO6" i="1"/>
  <c r="AJ6" i="1"/>
  <c r="AI6" i="1"/>
  <c r="AG6" i="1"/>
  <c r="AL6" i="1" s="1"/>
  <c r="AA6" i="1" a="1"/>
  <c r="AA6" i="1" s="1"/>
  <c r="AE6" i="1" s="1"/>
  <c r="U6" i="1" a="1"/>
  <c r="U6" i="1"/>
  <c r="Y6" i="1" s="1"/>
  <c r="S6" i="1"/>
  <c r="O6" i="1" a="1"/>
  <c r="O6" i="1"/>
  <c r="I6" i="1" a="1"/>
  <c r="I6" i="1"/>
  <c r="AM6" i="1" s="1"/>
  <c r="AN6" i="1" s="1"/>
  <c r="C6" i="1" a="1"/>
  <c r="C6" i="1" s="1"/>
  <c r="G6" i="1" s="1"/>
  <c r="AO5" i="1"/>
  <c r="AJ5" i="1"/>
  <c r="AI5" i="1"/>
  <c r="AG5" i="1"/>
  <c r="AL5" i="1" s="1"/>
  <c r="AA5" i="1" a="1"/>
  <c r="AA5" i="1"/>
  <c r="AE5" i="1" s="1"/>
  <c r="U5" i="1" a="1"/>
  <c r="U5" i="1"/>
  <c r="Y5" i="1" s="1"/>
  <c r="S5" i="1"/>
  <c r="O5" i="1" a="1"/>
  <c r="O5" i="1"/>
  <c r="I5" i="1" a="1"/>
  <c r="I5" i="1" s="1"/>
  <c r="M5" i="1" s="1"/>
  <c r="C5" i="1" a="1"/>
  <c r="C5" i="1"/>
  <c r="AM5" i="1" s="1"/>
  <c r="AO4" i="1"/>
  <c r="AJ4" i="1"/>
  <c r="AI4" i="1"/>
  <c r="AG4" i="1"/>
  <c r="AL4" i="1" s="1"/>
  <c r="AA4" i="1" a="1"/>
  <c r="AA4" i="1" s="1"/>
  <c r="AE4" i="1" s="1"/>
  <c r="Y4" i="1"/>
  <c r="U4" i="1" a="1"/>
  <c r="U4" i="1" s="1"/>
  <c r="O4" i="1" a="1"/>
  <c r="O4" i="1"/>
  <c r="S4" i="1" s="1"/>
  <c r="I4" i="1" a="1"/>
  <c r="I4" i="1"/>
  <c r="M4" i="1" s="1"/>
  <c r="C4" i="1" a="1"/>
  <c r="C4" i="1"/>
  <c r="AO3" i="1"/>
  <c r="AO16" i="1" s="1"/>
  <c r="AI3" i="1"/>
  <c r="AI16" i="1" s="1"/>
  <c r="AG3" i="1"/>
  <c r="AL3" i="1" s="1"/>
  <c r="AE3" i="1"/>
  <c r="AA3" i="1" a="1"/>
  <c r="AA3" i="1"/>
  <c r="Y3" i="1"/>
  <c r="U3" i="1" a="1"/>
  <c r="U3" i="1"/>
  <c r="O3" i="1" a="1"/>
  <c r="O3" i="1" s="1"/>
  <c r="O16" i="1" s="1"/>
  <c r="S16" i="1" s="1"/>
  <c r="I3" i="1" a="1"/>
  <c r="I3" i="1" s="1"/>
  <c r="C3" i="1" a="1"/>
  <c r="C3" i="1" s="1"/>
  <c r="AM3" i="1" l="1"/>
  <c r="C16" i="1"/>
  <c r="G3" i="1"/>
  <c r="AM4" i="1"/>
  <c r="H6" i="3"/>
  <c r="P6" i="3" s="1"/>
  <c r="H6" i="5"/>
  <c r="I16" i="1"/>
  <c r="M3" i="1"/>
  <c r="P8" i="3"/>
  <c r="AM12" i="1"/>
  <c r="AN12" i="1" s="1"/>
  <c r="Y12" i="1"/>
  <c r="P12" i="3"/>
  <c r="H5" i="6"/>
  <c r="R5" i="6" s="1"/>
  <c r="H10" i="5"/>
  <c r="H4" i="3"/>
  <c r="N16" i="3"/>
  <c r="AM11" i="1"/>
  <c r="AN11" i="1" s="1"/>
  <c r="G11" i="1"/>
  <c r="G13" i="1"/>
  <c r="AM13" i="1"/>
  <c r="AN13" i="1" s="1"/>
  <c r="E16" i="3"/>
  <c r="AM10" i="1"/>
  <c r="AN10" i="1" s="1"/>
  <c r="G10" i="1"/>
  <c r="H10" i="3"/>
  <c r="P10" i="3" s="1"/>
  <c r="P7" i="3"/>
  <c r="S3" i="1"/>
  <c r="G4" i="1"/>
  <c r="AN5" i="1"/>
  <c r="M16" i="1"/>
  <c r="AJ20" i="1"/>
  <c r="AJ22" i="1" s="1"/>
  <c r="O4" i="3"/>
  <c r="J16" i="3"/>
  <c r="N6" i="4"/>
  <c r="G17" i="5"/>
  <c r="G42" i="5" s="1"/>
  <c r="G44" i="5" s="1"/>
  <c r="H4" i="5"/>
  <c r="H8" i="5"/>
  <c r="V10" i="6"/>
  <c r="S20" i="6"/>
  <c r="AL20" i="1"/>
  <c r="K16" i="3"/>
  <c r="H12" i="5"/>
  <c r="I10" i="6"/>
  <c r="S13" i="6"/>
  <c r="R16" i="6"/>
  <c r="AM9" i="1"/>
  <c r="AN9" i="1" s="1"/>
  <c r="AA16" i="1"/>
  <c r="AE16" i="1" s="1"/>
  <c r="AM7" i="1"/>
  <c r="AN7" i="1" s="1"/>
  <c r="H7" i="6"/>
  <c r="R7" i="6" s="1"/>
  <c r="H5" i="5"/>
  <c r="H8" i="6"/>
  <c r="R8" i="6" s="1"/>
  <c r="H9" i="5"/>
  <c r="H13" i="5"/>
  <c r="N21" i="6"/>
  <c r="R17" i="6"/>
  <c r="G9" i="1"/>
  <c r="AJ12" i="1"/>
  <c r="AG16" i="1"/>
  <c r="AL21" i="1"/>
  <c r="O9" i="3"/>
  <c r="P9" i="3" s="1"/>
  <c r="U3" i="6"/>
  <c r="K28" i="1"/>
  <c r="M16" i="3"/>
  <c r="R3" i="6"/>
  <c r="L38" i="5"/>
  <c r="J38" i="5"/>
  <c r="R18" i="6"/>
  <c r="P15" i="3"/>
  <c r="M6" i="1"/>
  <c r="N17" i="4"/>
  <c r="S3" i="6"/>
  <c r="S4" i="6"/>
  <c r="S5" i="6"/>
  <c r="S6" i="6"/>
  <c r="V17" i="6"/>
  <c r="AL14" i="1"/>
  <c r="H13" i="3"/>
  <c r="P13" i="3" s="1"/>
  <c r="H11" i="6"/>
  <c r="R11" i="6" s="1"/>
  <c r="H14" i="5"/>
  <c r="T3" i="6"/>
  <c r="T4" i="6"/>
  <c r="T5" i="6"/>
  <c r="AJ3" i="1"/>
  <c r="G5" i="1"/>
  <c r="G8" i="1"/>
  <c r="AJ11" i="1"/>
  <c r="AN3" i="1"/>
  <c r="AL11" i="1"/>
  <c r="AM14" i="1"/>
  <c r="G16" i="1"/>
  <c r="E28" i="1"/>
  <c r="H5" i="3"/>
  <c r="P5" i="3" s="1"/>
  <c r="H3" i="5"/>
  <c r="C17" i="5"/>
  <c r="H9" i="6"/>
  <c r="R9" i="6" s="1"/>
  <c r="H7" i="5"/>
  <c r="H11" i="5"/>
  <c r="U18" i="6"/>
  <c r="R19" i="6"/>
  <c r="AN14" i="1"/>
  <c r="Y16" i="1"/>
  <c r="AJ25" i="1"/>
  <c r="M42" i="2"/>
  <c r="G16" i="3"/>
  <c r="C16" i="3"/>
  <c r="N10" i="4"/>
  <c r="N11" i="4"/>
  <c r="D17" i="5"/>
  <c r="D42" i="5" s="1"/>
  <c r="D44" i="5" s="1"/>
  <c r="I16" i="6"/>
  <c r="S16" i="6" s="1"/>
  <c r="W10" i="6"/>
  <c r="S7" i="6"/>
  <c r="S8" i="6"/>
  <c r="S9" i="6"/>
  <c r="S10" i="6"/>
  <c r="S11" i="6"/>
  <c r="S12" i="6"/>
  <c r="O14" i="3"/>
  <c r="P14" i="3" s="1"/>
  <c r="J19" i="4"/>
  <c r="N19" i="4" s="1"/>
  <c r="E17" i="5"/>
  <c r="E42" i="5" s="1"/>
  <c r="E44" i="5" s="1"/>
  <c r="L33" i="5"/>
  <c r="J33" i="5"/>
  <c r="T7" i="6"/>
  <c r="T8" i="6"/>
  <c r="T9" i="6"/>
  <c r="U16" i="1"/>
  <c r="AN4" i="1"/>
  <c r="AN8" i="1"/>
  <c r="AJ10" i="1"/>
  <c r="AM15" i="1"/>
  <c r="AN15" i="1" s="1"/>
  <c r="O12" i="3"/>
  <c r="L19" i="4"/>
  <c r="L31" i="4" s="1"/>
  <c r="F17" i="5"/>
  <c r="F42" i="5" s="1"/>
  <c r="F44" i="5" s="1"/>
  <c r="R20" i="6"/>
  <c r="J16" i="6"/>
  <c r="T16" i="6" s="1"/>
  <c r="J17" i="6"/>
  <c r="T17" i="6" s="1"/>
  <c r="J18" i="6"/>
  <c r="T18" i="6" s="1"/>
  <c r="J19" i="6"/>
  <c r="T19" i="6" s="1"/>
  <c r="J20" i="6"/>
  <c r="T20" i="6" s="1"/>
  <c r="L3" i="6"/>
  <c r="V3" i="6" s="1"/>
  <c r="L4" i="6"/>
  <c r="V4" i="6" s="1"/>
  <c r="W4" i="6" s="1"/>
  <c r="L5" i="6"/>
  <c r="V5" i="6" s="1"/>
  <c r="L6" i="6"/>
  <c r="V6" i="6" s="1"/>
  <c r="W6" i="6" s="1"/>
  <c r="L7" i="6"/>
  <c r="V7" i="6" s="1"/>
  <c r="L8" i="6"/>
  <c r="V8" i="6" s="1"/>
  <c r="L9" i="6"/>
  <c r="V9" i="6" s="1"/>
  <c r="L10" i="6"/>
  <c r="L11" i="6"/>
  <c r="V11" i="6" s="1"/>
  <c r="L12" i="6"/>
  <c r="V12" i="6" s="1"/>
  <c r="L13" i="6"/>
  <c r="V13" i="6" s="1"/>
  <c r="W13" i="6" s="1"/>
  <c r="K16" i="6"/>
  <c r="U16" i="6" s="1"/>
  <c r="K17" i="6"/>
  <c r="U17" i="6" s="1"/>
  <c r="K18" i="6"/>
  <c r="K19" i="6"/>
  <c r="U19" i="6" s="1"/>
  <c r="K20" i="6"/>
  <c r="U20" i="6" s="1"/>
  <c r="J34" i="5"/>
  <c r="J39" i="5"/>
  <c r="L16" i="6"/>
  <c r="V16" i="6" s="1"/>
  <c r="L17" i="6"/>
  <c r="L18" i="6"/>
  <c r="V18" i="6" s="1"/>
  <c r="L19" i="6"/>
  <c r="V19" i="6" s="1"/>
  <c r="L20" i="6"/>
  <c r="V20" i="6" s="1"/>
  <c r="B4" i="6" a="1"/>
  <c r="B4" i="6" s="1"/>
  <c r="B5" i="6" a="1"/>
  <c r="B5" i="6" s="1"/>
  <c r="B6" i="6" a="1"/>
  <c r="B6" i="6" s="1"/>
  <c r="B7" i="6" a="1"/>
  <c r="B7" i="6" s="1"/>
  <c r="B8" i="6" a="1"/>
  <c r="B8" i="6" s="1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D21" i="6"/>
  <c r="E21" i="6"/>
  <c r="J15" i="5"/>
  <c r="J20" i="5"/>
  <c r="J30" i="5" s="1"/>
  <c r="J42" i="5" s="1"/>
  <c r="J24" i="5"/>
  <c r="J28" i="5"/>
  <c r="W12" i="6" l="1"/>
  <c r="V21" i="6"/>
  <c r="L3" i="5"/>
  <c r="J3" i="5"/>
  <c r="S21" i="6"/>
  <c r="AJ16" i="1"/>
  <c r="AJ28" i="1" s="1"/>
  <c r="AG28" i="1"/>
  <c r="AL16" i="1"/>
  <c r="R21" i="6"/>
  <c r="W3" i="6"/>
  <c r="W20" i="6"/>
  <c r="T21" i="6"/>
  <c r="H21" i="6"/>
  <c r="L14" i="5"/>
  <c r="J14" i="5"/>
  <c r="W16" i="6"/>
  <c r="W11" i="6"/>
  <c r="J31" i="4"/>
  <c r="W17" i="6"/>
  <c r="I21" i="6"/>
  <c r="J21" i="6"/>
  <c r="W19" i="6"/>
  <c r="W18" i="6"/>
  <c r="L13" i="5"/>
  <c r="J13" i="5"/>
  <c r="J8" i="5"/>
  <c r="L8" i="5"/>
  <c r="K21" i="6"/>
  <c r="J6" i="5"/>
  <c r="L6" i="5"/>
  <c r="L21" i="6"/>
  <c r="U21" i="6"/>
  <c r="L9" i="5"/>
  <c r="J9" i="5"/>
  <c r="J12" i="5"/>
  <c r="L12" i="5"/>
  <c r="J4" i="5"/>
  <c r="L4" i="5"/>
  <c r="H16" i="3"/>
  <c r="P16" i="3" s="1"/>
  <c r="P4" i="3"/>
  <c r="L11" i="5"/>
  <c r="J11" i="5"/>
  <c r="W8" i="6"/>
  <c r="L7" i="5"/>
  <c r="J7" i="5"/>
  <c r="L5" i="5"/>
  <c r="J5" i="5"/>
  <c r="J10" i="5"/>
  <c r="L10" i="5"/>
  <c r="W9" i="6"/>
  <c r="W7" i="6"/>
  <c r="W5" i="6"/>
  <c r="H17" i="5"/>
  <c r="H42" i="5" s="1"/>
  <c r="H44" i="5" s="1"/>
  <c r="C42" i="5"/>
  <c r="C44" i="5" s="1"/>
  <c r="O16" i="3"/>
  <c r="AM16" i="1"/>
  <c r="AN16" i="1" s="1"/>
  <c r="W21" i="6" l="1"/>
  <c r="W15" i="6"/>
  <c r="N31" i="4"/>
  <c r="J33" i="4"/>
  <c r="AL28" i="1"/>
  <c r="AG30" i="1"/>
</calcChain>
</file>

<file path=xl/sharedStrings.xml><?xml version="1.0" encoding="utf-8"?>
<sst xmlns="http://schemas.openxmlformats.org/spreadsheetml/2006/main" count="504" uniqueCount="128">
  <si>
    <t>Commercial — Sales &amp; Fronts by Agent, by Day</t>
  </si>
  <si>
    <t>Rep #</t>
  </si>
  <si>
    <t>Eligo Energy Hours Commercial</t>
  </si>
  <si>
    <t>Rep Name</t>
  </si>
  <si>
    <t>Monday</t>
  </si>
  <si>
    <t>FRONTS</t>
  </si>
  <si>
    <t>Tuesday</t>
  </si>
  <si>
    <t>Wednesday</t>
  </si>
  <si>
    <t>Thursday</t>
  </si>
  <si>
    <t>Name</t>
  </si>
  <si>
    <t>Friday</t>
  </si>
  <si>
    <t>Hrs</t>
  </si>
  <si>
    <t>Nights</t>
  </si>
  <si>
    <t>SALES (CLOSES)</t>
  </si>
  <si>
    <t>Saturday</t>
  </si>
  <si>
    <t xml:space="preserve">Thursday </t>
  </si>
  <si>
    <t>Total COMP</t>
  </si>
  <si>
    <t>BAD TPV</t>
  </si>
  <si>
    <t>TOTAL</t>
  </si>
  <si>
    <t>TOTAL WK</t>
  </si>
  <si>
    <t>Last Week</t>
  </si>
  <si>
    <t>Difference</t>
  </si>
  <si>
    <t>Program</t>
  </si>
  <si>
    <t>Manager</t>
  </si>
  <si>
    <t>IN HOUSE AGENTS</t>
  </si>
  <si>
    <t>Mon</t>
  </si>
  <si>
    <t>Tue</t>
  </si>
  <si>
    <t>Wed</t>
  </si>
  <si>
    <t>Thu</t>
  </si>
  <si>
    <t>Fri</t>
  </si>
  <si>
    <t>Front Total</t>
  </si>
  <si>
    <t>Sales Total</t>
  </si>
  <si>
    <t>Grand Total (Fronts + Sales)</t>
  </si>
  <si>
    <t>TOTAL RESI</t>
  </si>
  <si>
    <t>Abigail Gambino (Commercial)</t>
  </si>
  <si>
    <t>Raven Mitchell</t>
  </si>
  <si>
    <t>NH</t>
  </si>
  <si>
    <t>Total Hrs</t>
  </si>
  <si>
    <t>SPH</t>
  </si>
  <si>
    <t>MWH Total</t>
  </si>
  <si>
    <t>Commercial Agents</t>
  </si>
  <si>
    <t>Front</t>
  </si>
  <si>
    <t>Sales</t>
  </si>
  <si>
    <t>Resi</t>
  </si>
  <si>
    <t>MGW</t>
  </si>
  <si>
    <t xml:space="preserve">Allen Alberts </t>
  </si>
  <si>
    <t>830,11-1130-5</t>
  </si>
  <si>
    <t>930-5</t>
  </si>
  <si>
    <t>ELIGO</t>
  </si>
  <si>
    <t>CJ</t>
  </si>
  <si>
    <t>830-145-230-5</t>
  </si>
  <si>
    <t>900-145-2-430</t>
  </si>
  <si>
    <t xml:space="preserve">Brandy Paton </t>
  </si>
  <si>
    <t>Raven Mitchell (Commercial)</t>
  </si>
  <si>
    <t>830,10-1030-5</t>
  </si>
  <si>
    <t>830,1130-1145-5</t>
  </si>
  <si>
    <t>900,1130-12-5</t>
  </si>
  <si>
    <t>900-12-1230-5</t>
  </si>
  <si>
    <t>830-1130-1145-5</t>
  </si>
  <si>
    <t>Jakarta Hunter (Commercial)</t>
  </si>
  <si>
    <t>830,930-10-5</t>
  </si>
  <si>
    <t>900-5</t>
  </si>
  <si>
    <t>830-5</t>
  </si>
  <si>
    <t>830-1030-1045-5</t>
  </si>
  <si>
    <t>1245-430</t>
  </si>
  <si>
    <t>Kenticka Tate (Remote)(Commercial)</t>
  </si>
  <si>
    <t>900-315,330-5</t>
  </si>
  <si>
    <t>830-145-2-5</t>
  </si>
  <si>
    <t xml:space="preserve">Luis Buitrago </t>
  </si>
  <si>
    <t>900-1130-1215-5</t>
  </si>
  <si>
    <t>830,9-930-5</t>
  </si>
  <si>
    <t>840-1115,1130-5</t>
  </si>
  <si>
    <t>900-1115,1130-12-5</t>
  </si>
  <si>
    <t>900-915-5</t>
  </si>
  <si>
    <t>Total</t>
  </si>
  <si>
    <t xml:space="preserve">Shelby Lewis </t>
  </si>
  <si>
    <t>830-3,330-5</t>
  </si>
  <si>
    <t xml:space="preserve">Neil Singhal </t>
  </si>
  <si>
    <t>830,115-2-5</t>
  </si>
  <si>
    <t>830-230-300-5</t>
  </si>
  <si>
    <t>Albert Williams (Commercial)</t>
  </si>
  <si>
    <t>OUT</t>
  </si>
  <si>
    <t>830-1115,1145-5</t>
  </si>
  <si>
    <t>900-1130-12-5</t>
  </si>
  <si>
    <t>900-1130-1230-5</t>
  </si>
  <si>
    <t>Ashlee Franks</t>
  </si>
  <si>
    <t>830,900-930,1115,1130-5</t>
  </si>
  <si>
    <t>900-10,1115-5</t>
  </si>
  <si>
    <t>900-1145,1-5</t>
  </si>
  <si>
    <t>900-915-200-215-5</t>
  </si>
  <si>
    <t>Night Shift</t>
  </si>
  <si>
    <t>Jakarta Hunter</t>
  </si>
  <si>
    <t>HOURS</t>
  </si>
  <si>
    <t>TRAINING (in house)</t>
  </si>
  <si>
    <t>Luis Buitrago</t>
  </si>
  <si>
    <t>Remote Agents</t>
  </si>
  <si>
    <t>Abigail Gambino</t>
  </si>
  <si>
    <t>Admin Staff</t>
  </si>
  <si>
    <t>Luis Buitrago (Commercial)</t>
  </si>
  <si>
    <t>Trainees</t>
  </si>
  <si>
    <t>Allen Alberts</t>
  </si>
  <si>
    <t>Night Reps</t>
  </si>
  <si>
    <t>Allen Alberts(Commercial-Closer)</t>
  </si>
  <si>
    <t>Kenticka Tate (Remote)</t>
  </si>
  <si>
    <t xml:space="preserve">DEALS </t>
  </si>
  <si>
    <t>TOTAL DEALS</t>
  </si>
  <si>
    <t>Brandy Paton</t>
  </si>
  <si>
    <t>Brandy Paton (Commercial)</t>
  </si>
  <si>
    <t>Ashlee Franks (Commercial)</t>
  </si>
  <si>
    <t>Shelby Lewis</t>
  </si>
  <si>
    <t>Shelby Lewis (Commercial)</t>
  </si>
  <si>
    <t>Neil Singhal</t>
  </si>
  <si>
    <t>Albert Williams</t>
  </si>
  <si>
    <t>Abigail Gambino (Commercial-Closer)</t>
  </si>
  <si>
    <t>CJ Jackson (Manager)</t>
  </si>
  <si>
    <t>CJ Jackson (Manager/Closer)</t>
  </si>
  <si>
    <t>Note: Per department rule, only the SALES (CLOSES) total counts toward the Commercial department's official weekly total (Commercial tab, row 37). FRONTS are tracked here separately for lead-generation performance and are not part of the department's sales total.</t>
  </si>
  <si>
    <t>Neil Singhal (Commercial)</t>
  </si>
  <si>
    <t>COM Winbacks</t>
  </si>
  <si>
    <t>Residential</t>
  </si>
  <si>
    <t>Commercial</t>
  </si>
  <si>
    <t>DAILY TOTALS</t>
  </si>
  <si>
    <t>Grand Total</t>
  </si>
  <si>
    <t>FRONTERS</t>
  </si>
  <si>
    <t>Sara Milanese (Commercial)</t>
  </si>
  <si>
    <t>a</t>
  </si>
  <si>
    <t xml:space="preserve"> </t>
  </si>
  <si>
    <t>CLOSERS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</si>
</sst>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rgb="FF000000"/>
      <name val="Calibri"/>
      <family val="2"/>
    </font>
    <font>
      <b/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u/>
      <sz val="11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0C0C0"/>
        <bgColor rgb="FFC0C0C0"/>
      </patternFill>
    </fill>
    <fill>
      <patternFill patternType="solid">
        <fgColor rgb="FFD8D8D8"/>
        <bgColor rgb="FFD8D8D8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7030A0"/>
        <bgColor rgb="FF7030A0"/>
      </patternFill>
    </fill>
    <fill>
      <patternFill patternType="solid">
        <fgColor theme="1"/>
        <bgColor theme="1"/>
      </patternFill>
    </fill>
    <fill>
      <patternFill patternType="solid">
        <fgColor rgb="FFE2EFDA"/>
        <bgColor rgb="FFE2EFDA"/>
      </patternFill>
    </fill>
  </fills>
  <borders count="8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theme="1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64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5" fillId="0" borderId="0" xfId="0" applyFont="1"/>
    <xf numFmtId="0" fontId="3" fillId="3" borderId="1" xfId="0" applyFont="1" applyFill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2" fontId="3" fillId="2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0" xfId="0" applyFont="1" applyFill="1" applyBorder="1"/>
    <xf numFmtId="0" fontId="3" fillId="2" borderId="2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2" borderId="27" xfId="0" applyFont="1" applyFill="1" applyBorder="1" applyAlignment="1">
      <alignment horizontal="center" vertical="center" wrapText="1"/>
    </xf>
    <xf numFmtId="2" fontId="1" fillId="0" borderId="28" xfId="0" applyNumberFormat="1" applyFont="1" applyBorder="1" applyAlignment="1">
      <alignment horizontal="center"/>
    </xf>
    <xf numFmtId="0" fontId="1" fillId="0" borderId="28" xfId="0" applyFont="1" applyBorder="1" applyAlignment="1">
      <alignment wrapText="1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3" fillId="5" borderId="2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6" borderId="30" xfId="0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28" xfId="0" applyFont="1" applyBorder="1" applyAlignment="1">
      <alignment wrapText="1"/>
    </xf>
    <xf numFmtId="0" fontId="5" fillId="0" borderId="31" xfId="0" applyFont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left"/>
    </xf>
    <xf numFmtId="20" fontId="1" fillId="0" borderId="1" xfId="0" applyNumberFormat="1" applyFont="1" applyBorder="1" applyAlignment="1">
      <alignment horizontal="left" vertical="center"/>
    </xf>
    <xf numFmtId="0" fontId="5" fillId="3" borderId="36" xfId="0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left"/>
    </xf>
    <xf numFmtId="0" fontId="3" fillId="3" borderId="36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7" fillId="7" borderId="7" xfId="0" applyFont="1" applyFill="1" applyBorder="1" applyAlignment="1">
      <alignment horizontal="center"/>
    </xf>
    <xf numFmtId="20" fontId="7" fillId="7" borderId="1" xfId="0" applyNumberFormat="1" applyFont="1" applyFill="1" applyBorder="1" applyAlignment="1">
      <alignment horizontal="left" vertical="center"/>
    </xf>
    <xf numFmtId="0" fontId="3" fillId="0" borderId="2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7" fillId="7" borderId="37" xfId="0" applyFont="1" applyFill="1" applyBorder="1" applyAlignment="1">
      <alignment horizontal="center"/>
    </xf>
    <xf numFmtId="20" fontId="7" fillId="7" borderId="30" xfId="0" applyNumberFormat="1" applyFont="1" applyFill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3" fillId="5" borderId="29" xfId="0" applyFont="1" applyFill="1" applyBorder="1" applyAlignment="1">
      <alignment horizontal="center"/>
    </xf>
    <xf numFmtId="20" fontId="7" fillId="7" borderId="36" xfId="0" applyNumberFormat="1" applyFont="1" applyFill="1" applyBorder="1" applyAlignment="1">
      <alignment horizontal="left"/>
    </xf>
    <xf numFmtId="0" fontId="5" fillId="0" borderId="0" xfId="0" applyFont="1" applyAlignment="1">
      <alignment vertical="center"/>
    </xf>
    <xf numFmtId="0" fontId="5" fillId="6" borderId="22" xfId="0" applyFont="1" applyFill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/>
    </xf>
    <xf numFmtId="2" fontId="1" fillId="7" borderId="30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5" fillId="0" borderId="38" xfId="0" applyFont="1" applyBorder="1" applyAlignment="1">
      <alignment wrapText="1"/>
    </xf>
    <xf numFmtId="0" fontId="1" fillId="6" borderId="1" xfId="0" applyFont="1" applyFill="1" applyBorder="1" applyAlignment="1">
      <alignment horizontal="center" vertical="center"/>
    </xf>
    <xf numFmtId="20" fontId="1" fillId="0" borderId="28" xfId="0" applyNumberFormat="1" applyFont="1" applyBorder="1" applyAlignment="1">
      <alignment horizontal="left"/>
    </xf>
    <xf numFmtId="0" fontId="1" fillId="0" borderId="39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28" xfId="0" applyFont="1" applyBorder="1" applyAlignment="1">
      <alignment horizontal="left" vertical="center"/>
    </xf>
    <xf numFmtId="20" fontId="1" fillId="0" borderId="28" xfId="0" applyNumberFormat="1" applyFont="1" applyBorder="1" applyAlignment="1">
      <alignment horizontal="left" vertical="center"/>
    </xf>
    <xf numFmtId="0" fontId="5" fillId="3" borderId="30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38" xfId="0" applyFont="1" applyBorder="1" applyAlignment="1">
      <alignment horizontal="center"/>
    </xf>
    <xf numFmtId="20" fontId="1" fillId="0" borderId="40" xfId="0" applyNumberFormat="1" applyFont="1" applyBorder="1" applyAlignment="1">
      <alignment horizontal="left"/>
    </xf>
    <xf numFmtId="0" fontId="1" fillId="0" borderId="28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7" xfId="0" applyFont="1" applyBorder="1"/>
    <xf numFmtId="0" fontId="1" fillId="0" borderId="41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32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" fillId="0" borderId="42" xfId="0" applyFont="1" applyBorder="1" applyAlignment="1">
      <alignment horizontal="center" wrapText="1"/>
    </xf>
    <xf numFmtId="0" fontId="5" fillId="0" borderId="28" xfId="0" applyFont="1" applyBorder="1" applyAlignment="1">
      <alignment horizontal="center" vertical="center"/>
    </xf>
    <xf numFmtId="2" fontId="5" fillId="0" borderId="28" xfId="0" applyNumberFormat="1" applyFont="1" applyBorder="1" applyAlignment="1">
      <alignment horizontal="center" wrapText="1"/>
    </xf>
    <xf numFmtId="0" fontId="5" fillId="0" borderId="43" xfId="0" applyFont="1" applyBorder="1" applyAlignment="1">
      <alignment horizontal="center" vertical="center"/>
    </xf>
    <xf numFmtId="0" fontId="5" fillId="6" borderId="44" xfId="0" applyFont="1" applyFill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5" borderId="45" xfId="0" applyFont="1" applyFill="1" applyBorder="1" applyAlignment="1">
      <alignment horizontal="center"/>
    </xf>
    <xf numFmtId="0" fontId="5" fillId="6" borderId="37" xfId="0" applyFont="1" applyFill="1" applyBorder="1" applyAlignment="1">
      <alignment horizontal="center" vertical="center"/>
    </xf>
    <xf numFmtId="2" fontId="5" fillId="0" borderId="28" xfId="0" applyNumberFormat="1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8" xfId="0" applyFont="1" applyBorder="1"/>
    <xf numFmtId="0" fontId="3" fillId="0" borderId="46" xfId="0" applyFont="1" applyBorder="1" applyAlignment="1">
      <alignment horizontal="center" wrapText="1"/>
    </xf>
    <xf numFmtId="2" fontId="5" fillId="0" borderId="34" xfId="0" applyNumberFormat="1" applyFont="1" applyBorder="1" applyAlignment="1">
      <alignment horizontal="center" wrapText="1"/>
    </xf>
    <xf numFmtId="0" fontId="3" fillId="6" borderId="35" xfId="0" applyFont="1" applyFill="1" applyBorder="1" applyAlignment="1">
      <alignment horizontal="center"/>
    </xf>
    <xf numFmtId="0" fontId="3" fillId="6" borderId="33" xfId="0" applyFont="1" applyFill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6" borderId="48" xfId="0" applyFont="1" applyFill="1" applyBorder="1" applyAlignment="1">
      <alignment horizontal="center"/>
    </xf>
    <xf numFmtId="0" fontId="3" fillId="0" borderId="49" xfId="0" applyFont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/>
    </xf>
    <xf numFmtId="2" fontId="5" fillId="0" borderId="34" xfId="0" applyNumberFormat="1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34" xfId="0" applyFont="1" applyBorder="1"/>
    <xf numFmtId="0" fontId="3" fillId="2" borderId="51" xfId="0" applyFont="1" applyFill="1" applyBorder="1" applyAlignment="1">
      <alignment horizontal="left"/>
    </xf>
    <xf numFmtId="0" fontId="3" fillId="2" borderId="52" xfId="0" applyFont="1" applyFill="1" applyBorder="1" applyAlignment="1">
      <alignment horizontal="center"/>
    </xf>
    <xf numFmtId="0" fontId="3" fillId="2" borderId="36" xfId="0" applyFont="1" applyFill="1" applyBorder="1" applyAlignment="1">
      <alignment horizontal="center"/>
    </xf>
    <xf numFmtId="0" fontId="3" fillId="2" borderId="53" xfId="0" applyFont="1" applyFill="1" applyBorder="1" applyAlignment="1">
      <alignment horizontal="center"/>
    </xf>
    <xf numFmtId="0" fontId="5" fillId="3" borderId="53" xfId="0" applyFont="1" applyFill="1" applyBorder="1" applyAlignment="1">
      <alignment horizontal="center"/>
    </xf>
    <xf numFmtId="0" fontId="5" fillId="3" borderId="52" xfId="0" applyFont="1" applyFill="1" applyBorder="1" applyAlignment="1">
      <alignment horizontal="center"/>
    </xf>
    <xf numFmtId="0" fontId="3" fillId="3" borderId="54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/>
    </xf>
    <xf numFmtId="0" fontId="5" fillId="5" borderId="55" xfId="0" applyFont="1" applyFill="1" applyBorder="1" applyAlignment="1">
      <alignment horizontal="center"/>
    </xf>
    <xf numFmtId="0" fontId="5" fillId="3" borderId="54" xfId="0" applyFont="1" applyFill="1" applyBorder="1" applyAlignment="1">
      <alignment horizontal="center"/>
    </xf>
    <xf numFmtId="2" fontId="5" fillId="3" borderId="36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6" borderId="56" xfId="0" applyFont="1" applyFill="1" applyBorder="1" applyAlignment="1">
      <alignment horizontal="center"/>
    </xf>
    <xf numFmtId="0" fontId="10" fillId="8" borderId="10" xfId="0" applyFont="1" applyFill="1" applyBorder="1"/>
    <xf numFmtId="0" fontId="10" fillId="10" borderId="7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3" fillId="6" borderId="50" xfId="0" applyFont="1" applyFill="1" applyBorder="1" applyAlignment="1">
      <alignment horizontal="center"/>
    </xf>
    <xf numFmtId="0" fontId="10" fillId="9" borderId="10" xfId="0" applyFont="1" applyFill="1" applyBorder="1" applyAlignment="1">
      <alignment horizontal="center"/>
    </xf>
    <xf numFmtId="0" fontId="3" fillId="6" borderId="60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1" borderId="10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0" fontId="3" fillId="3" borderId="51" xfId="0" applyFont="1" applyFill="1" applyBorder="1" applyAlignment="1">
      <alignment horizontal="center" vertical="center"/>
    </xf>
    <xf numFmtId="0" fontId="3" fillId="3" borderId="52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53" xfId="0" applyFont="1" applyFill="1" applyBorder="1" applyAlignment="1">
      <alignment horizontal="center" vertical="center"/>
    </xf>
    <xf numFmtId="0" fontId="5" fillId="0" borderId="61" xfId="0" applyFont="1" applyBorder="1"/>
    <xf numFmtId="0" fontId="5" fillId="5" borderId="29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5" fillId="0" borderId="62" xfId="0" applyFont="1" applyBorder="1"/>
    <xf numFmtId="2" fontId="5" fillId="3" borderId="30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5" fillId="0" borderId="63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1" fillId="0" borderId="38" xfId="0" applyFont="1" applyBorder="1" applyAlignment="1">
      <alignment horizontal="left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3" borderId="65" xfId="0" applyFont="1" applyFill="1" applyBorder="1" applyAlignment="1">
      <alignment horizontal="center"/>
    </xf>
    <xf numFmtId="0" fontId="3" fillId="3" borderId="33" xfId="0" applyFont="1" applyFill="1" applyBorder="1" applyAlignment="1">
      <alignment horizontal="center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5" borderId="67" xfId="0" applyFont="1" applyFill="1" applyBorder="1" applyAlignment="1">
      <alignment horizontal="center"/>
    </xf>
    <xf numFmtId="0" fontId="5" fillId="13" borderId="63" xfId="0" applyFont="1" applyFill="1" applyBorder="1" applyAlignment="1">
      <alignment horizontal="center"/>
    </xf>
    <xf numFmtId="0" fontId="5" fillId="0" borderId="68" xfId="0" applyFont="1" applyBorder="1" applyAlignment="1">
      <alignment horizontal="left"/>
    </xf>
    <xf numFmtId="0" fontId="5" fillId="0" borderId="6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13" borderId="61" xfId="0" applyFont="1" applyFill="1" applyBorder="1" applyAlignment="1">
      <alignment horizontal="center"/>
    </xf>
    <xf numFmtId="0" fontId="5" fillId="0" borderId="70" xfId="0" applyFont="1" applyBorder="1" applyAlignment="1">
      <alignment horizontal="center"/>
    </xf>
    <xf numFmtId="0" fontId="5" fillId="13" borderId="71" xfId="0" applyFont="1" applyFill="1" applyBorder="1" applyAlignment="1">
      <alignment horizontal="center"/>
    </xf>
    <xf numFmtId="0" fontId="5" fillId="6" borderId="53" xfId="0" applyFont="1" applyFill="1" applyBorder="1" applyAlignment="1">
      <alignment horizontal="center"/>
    </xf>
    <xf numFmtId="0" fontId="5" fillId="6" borderId="52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3" fillId="10" borderId="66" xfId="0" applyFont="1" applyFill="1" applyBorder="1" applyAlignment="1">
      <alignment horizontal="center"/>
    </xf>
    <xf numFmtId="0" fontId="5" fillId="0" borderId="72" xfId="0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left"/>
    </xf>
    <xf numFmtId="0" fontId="3" fillId="2" borderId="34" xfId="0" applyFont="1" applyFill="1" applyBorder="1" applyAlignment="1">
      <alignment horizontal="center"/>
    </xf>
    <xf numFmtId="0" fontId="5" fillId="0" borderId="73" xfId="0" applyFont="1" applyBorder="1" applyAlignment="1">
      <alignment horizontal="center"/>
    </xf>
    <xf numFmtId="0" fontId="5" fillId="0" borderId="74" xfId="0" applyFont="1" applyBorder="1" applyAlignment="1">
      <alignment horizontal="center"/>
    </xf>
    <xf numFmtId="0" fontId="5" fillId="0" borderId="75" xfId="0" applyFont="1" applyBorder="1" applyAlignment="1">
      <alignment horizontal="center"/>
    </xf>
    <xf numFmtId="0" fontId="5" fillId="6" borderId="33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/>
    </xf>
    <xf numFmtId="0" fontId="11" fillId="0" borderId="0" xfId="0" applyFont="1"/>
    <xf numFmtId="0" fontId="5" fillId="0" borderId="76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5" fillId="6" borderId="30" xfId="0" applyFont="1" applyFill="1" applyBorder="1" applyAlignment="1">
      <alignment horizontal="center" vertical="center"/>
    </xf>
    <xf numFmtId="0" fontId="3" fillId="3" borderId="78" xfId="0" applyFont="1" applyFill="1" applyBorder="1" applyAlignment="1">
      <alignment horizontal="center"/>
    </xf>
    <xf numFmtId="0" fontId="3" fillId="3" borderId="79" xfId="0" applyFont="1" applyFill="1" applyBorder="1" applyAlignment="1">
      <alignment horizontal="center"/>
    </xf>
    <xf numFmtId="0" fontId="3" fillId="3" borderId="80" xfId="0" applyFont="1" applyFill="1" applyBorder="1" applyAlignment="1">
      <alignment horizontal="center"/>
    </xf>
    <xf numFmtId="0" fontId="5" fillId="6" borderId="78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35" xfId="0" applyFont="1" applyBorder="1"/>
    <xf numFmtId="0" fontId="5" fillId="0" borderId="40" xfId="0" applyFont="1" applyBorder="1" applyAlignment="1">
      <alignment horizontal="left"/>
    </xf>
    <xf numFmtId="0" fontId="5" fillId="12" borderId="61" xfId="0" applyFont="1" applyFill="1" applyBorder="1"/>
    <xf numFmtId="0" fontId="10" fillId="12" borderId="71" xfId="0" applyFont="1" applyFill="1" applyBorder="1" applyAlignment="1">
      <alignment horizontal="center"/>
    </xf>
    <xf numFmtId="0" fontId="5" fillId="12" borderId="63" xfId="0" applyFont="1" applyFill="1" applyBorder="1" applyAlignment="1">
      <alignment horizontal="center"/>
    </xf>
    <xf numFmtId="0" fontId="5" fillId="12" borderId="61" xfId="0" applyFont="1" applyFill="1" applyBorder="1" applyAlignment="1">
      <alignment horizontal="center"/>
    </xf>
    <xf numFmtId="0" fontId="5" fillId="12" borderId="71" xfId="0" applyFont="1" applyFill="1" applyBorder="1" applyAlignment="1">
      <alignment horizontal="center"/>
    </xf>
    <xf numFmtId="0" fontId="5" fillId="12" borderId="82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3" fillId="9" borderId="61" xfId="0" applyFont="1" applyFill="1" applyBorder="1"/>
    <xf numFmtId="0" fontId="3" fillId="9" borderId="71" xfId="0" applyFont="1" applyFill="1" applyBorder="1"/>
    <xf numFmtId="0" fontId="3" fillId="9" borderId="63" xfId="0" applyFont="1" applyFill="1" applyBorder="1" applyAlignment="1">
      <alignment horizontal="center"/>
    </xf>
    <xf numFmtId="0" fontId="3" fillId="9" borderId="61" xfId="0" applyFont="1" applyFill="1" applyBorder="1" applyAlignment="1">
      <alignment horizontal="center"/>
    </xf>
    <xf numFmtId="0" fontId="3" fillId="9" borderId="71" xfId="0" applyFont="1" applyFill="1" applyBorder="1" applyAlignment="1">
      <alignment horizontal="center"/>
    </xf>
    <xf numFmtId="0" fontId="3" fillId="9" borderId="82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6" fillId="0" borderId="5" xfId="0" applyFont="1" applyBorder="1"/>
    <xf numFmtId="0" fontId="6" fillId="0" borderId="8" xfId="0" applyFont="1" applyBorder="1"/>
    <xf numFmtId="0" fontId="3" fillId="2" borderId="11" xfId="0" applyFont="1" applyFill="1" applyBorder="1" applyAlignment="1">
      <alignment horizontal="center"/>
    </xf>
    <xf numFmtId="0" fontId="6" fillId="0" borderId="12" xfId="0" applyFont="1" applyBorder="1"/>
    <xf numFmtId="0" fontId="6" fillId="0" borderId="13" xfId="0" applyFont="1" applyBorder="1"/>
    <xf numFmtId="0" fontId="3" fillId="2" borderId="17" xfId="0" applyFont="1" applyFill="1" applyBorder="1" applyAlignment="1">
      <alignment horizontal="center"/>
    </xf>
    <xf numFmtId="0" fontId="6" fillId="0" borderId="18" xfId="0" applyFont="1" applyBorder="1"/>
    <xf numFmtId="0" fontId="6" fillId="0" borderId="19" xfId="0" applyFont="1" applyBorder="1"/>
    <xf numFmtId="2" fontId="7" fillId="4" borderId="15" xfId="0" applyNumberFormat="1" applyFont="1" applyFill="1" applyBorder="1" applyAlignment="1">
      <alignment horizontal="center"/>
    </xf>
    <xf numFmtId="0" fontId="6" fillId="0" borderId="16" xfId="0" applyFont="1" applyBorder="1"/>
    <xf numFmtId="0" fontId="6" fillId="0" borderId="20" xfId="0" applyFont="1" applyBorder="1"/>
    <xf numFmtId="2" fontId="7" fillId="4" borderId="4" xfId="0" applyNumberFormat="1" applyFont="1" applyFill="1" applyBorder="1" applyAlignment="1">
      <alignment horizontal="center"/>
    </xf>
    <xf numFmtId="0" fontId="6" fillId="0" borderId="6" xfId="0" applyFont="1" applyBorder="1"/>
    <xf numFmtId="0" fontId="6" fillId="0" borderId="21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3" fillId="2" borderId="4" xfId="0" applyFont="1" applyFill="1" applyBorder="1" applyAlignment="1">
      <alignment horizontal="center" vertical="center"/>
    </xf>
    <xf numFmtId="0" fontId="6" fillId="0" borderId="9" xfId="0" applyFont="1" applyBorder="1"/>
    <xf numFmtId="0" fontId="9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10" fillId="8" borderId="57" xfId="0" applyFont="1" applyFill="1" applyBorder="1" applyAlignment="1">
      <alignment horizontal="center"/>
    </xf>
    <xf numFmtId="0" fontId="6" fillId="0" borderId="58" xfId="0" applyFont="1" applyBorder="1"/>
    <xf numFmtId="0" fontId="6" fillId="0" borderId="59" xfId="0" applyFont="1" applyBorder="1"/>
    <xf numFmtId="0" fontId="10" fillId="9" borderId="57" xfId="0" applyFont="1" applyFill="1" applyBorder="1" applyAlignment="1">
      <alignment horizontal="center"/>
    </xf>
    <xf numFmtId="0" fontId="10" fillId="10" borderId="57" xfId="0" applyFont="1" applyFill="1" applyBorder="1" applyAlignment="1">
      <alignment horizontal="center"/>
    </xf>
    <xf numFmtId="0" fontId="10" fillId="11" borderId="57" xfId="0" applyFont="1" applyFill="1" applyBorder="1" applyAlignment="1">
      <alignment horizontal="center"/>
    </xf>
  </cellXfs>
  <cellStyles count="1">
    <cellStyle name="Normal" xfId="0" builtinId="0"/>
  </cellStyles>
  <dxfs count="11">
    <dxf>
      <font>
        <color rgb="FFC0C0C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  <dxf>
      <font>
        <color rgb="FFFF0000"/>
      </font>
      <fill>
        <patternFill patternType="none"/>
      </fill>
    </dxf>
    <dxf>
      <font>
        <color rgb="FF008000"/>
      </font>
      <fill>
        <patternFill patternType="none"/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15" sqref="Q15"/>
    </sheetView>
  </sheetViews>
  <sheetFormatPr defaultColWidth="14.42578125" defaultRowHeight="15" customHeight="1" x14ac:dyDescent="0.25"/>
  <cols>
    <col min="1" max="1" width="5.85546875" customWidth="1"/>
    <col min="2" max="2" width="35.140625" customWidth="1"/>
    <col min="3" max="3" width="7.140625" customWidth="1"/>
    <col min="4" max="32" width="7.85546875" customWidth="1"/>
    <col min="33" max="33" width="11.42578125" customWidth="1"/>
    <col min="34" max="34" width="8.7109375" customWidth="1"/>
    <col min="35" max="35" width="10.7109375" customWidth="1"/>
    <col min="36" max="37" width="10" customWidth="1"/>
    <col min="38" max="38" width="10.140625" customWidth="1"/>
    <col min="39" max="40" width="9" customWidth="1"/>
    <col min="41" max="41" width="17.140625" customWidth="1"/>
    <col min="42" max="42" width="8.5703125" customWidth="1"/>
    <col min="43" max="43" width="9" customWidth="1"/>
    <col min="44" max="45" width="8.7109375" customWidth="1"/>
  </cols>
  <sheetData>
    <row r="1" spans="1:45" ht="15" customHeight="1" x14ac:dyDescent="0.25">
      <c r="A1" s="2" t="s">
        <v>1</v>
      </c>
      <c r="B1" s="5" t="s">
        <v>3</v>
      </c>
      <c r="C1" s="237" t="s">
        <v>4</v>
      </c>
      <c r="D1" s="238"/>
      <c r="E1" s="238"/>
      <c r="F1" s="238"/>
      <c r="G1" s="238"/>
      <c r="H1" s="239"/>
      <c r="I1" s="10"/>
      <c r="J1" s="240" t="s">
        <v>6</v>
      </c>
      <c r="K1" s="241"/>
      <c r="L1" s="241"/>
      <c r="M1" s="241"/>
      <c r="N1" s="242"/>
      <c r="O1" s="11"/>
      <c r="P1" s="240" t="s">
        <v>7</v>
      </c>
      <c r="Q1" s="241"/>
      <c r="R1" s="241"/>
      <c r="S1" s="241"/>
      <c r="T1" s="242"/>
      <c r="U1" s="10"/>
      <c r="V1" s="243" t="s">
        <v>8</v>
      </c>
      <c r="W1" s="244"/>
      <c r="X1" s="244"/>
      <c r="Y1" s="244"/>
      <c r="Z1" s="245"/>
      <c r="AA1" s="10"/>
      <c r="AB1" s="240" t="s">
        <v>10</v>
      </c>
      <c r="AC1" s="241"/>
      <c r="AD1" s="241"/>
      <c r="AE1" s="241"/>
      <c r="AF1" s="242"/>
      <c r="AG1" s="14" t="s">
        <v>16</v>
      </c>
      <c r="AH1" s="2" t="s">
        <v>17</v>
      </c>
      <c r="AI1" s="17" t="s">
        <v>33</v>
      </c>
      <c r="AJ1" s="17" t="s">
        <v>19</v>
      </c>
      <c r="AK1" s="21" t="s">
        <v>20</v>
      </c>
      <c r="AL1" s="14" t="s">
        <v>21</v>
      </c>
      <c r="AM1" s="2" t="s">
        <v>37</v>
      </c>
      <c r="AN1" s="25" t="s">
        <v>38</v>
      </c>
      <c r="AO1" s="2" t="s">
        <v>39</v>
      </c>
      <c r="AP1" s="2" t="s">
        <v>22</v>
      </c>
      <c r="AQ1" s="2" t="s">
        <v>23</v>
      </c>
      <c r="AR1" s="29"/>
      <c r="AS1" s="29"/>
    </row>
    <row r="2" spans="1:45" ht="15" customHeight="1" x14ac:dyDescent="0.25">
      <c r="A2" s="30"/>
      <c r="B2" s="31" t="s">
        <v>40</v>
      </c>
      <c r="C2" s="32" t="s">
        <v>11</v>
      </c>
      <c r="D2" s="33" t="s">
        <v>41</v>
      </c>
      <c r="E2" s="33" t="s">
        <v>42</v>
      </c>
      <c r="F2" s="33" t="s">
        <v>43</v>
      </c>
      <c r="G2" s="33" t="s">
        <v>38</v>
      </c>
      <c r="H2" s="35" t="s">
        <v>44</v>
      </c>
      <c r="I2" s="32" t="s">
        <v>11</v>
      </c>
      <c r="J2" s="33" t="s">
        <v>41</v>
      </c>
      <c r="K2" s="33" t="s">
        <v>42</v>
      </c>
      <c r="L2" s="33" t="s">
        <v>43</v>
      </c>
      <c r="M2" s="33" t="s">
        <v>38</v>
      </c>
      <c r="N2" s="35" t="s">
        <v>44</v>
      </c>
      <c r="O2" s="32" t="s">
        <v>11</v>
      </c>
      <c r="P2" s="33" t="s">
        <v>41</v>
      </c>
      <c r="Q2" s="33" t="s">
        <v>42</v>
      </c>
      <c r="R2" s="33" t="s">
        <v>43</v>
      </c>
      <c r="S2" s="33" t="s">
        <v>38</v>
      </c>
      <c r="T2" s="35" t="s">
        <v>44</v>
      </c>
      <c r="U2" s="32" t="s">
        <v>11</v>
      </c>
      <c r="V2" s="33" t="s">
        <v>41</v>
      </c>
      <c r="W2" s="33" t="s">
        <v>42</v>
      </c>
      <c r="X2" s="33" t="s">
        <v>43</v>
      </c>
      <c r="Y2" s="33" t="s">
        <v>38</v>
      </c>
      <c r="Z2" s="35" t="s">
        <v>44</v>
      </c>
      <c r="AA2" s="32" t="s">
        <v>11</v>
      </c>
      <c r="AB2" s="33" t="s">
        <v>41</v>
      </c>
      <c r="AC2" s="33" t="s">
        <v>42</v>
      </c>
      <c r="AD2" s="33" t="s">
        <v>43</v>
      </c>
      <c r="AE2" s="33" t="s">
        <v>38</v>
      </c>
      <c r="AF2" s="35" t="s">
        <v>44</v>
      </c>
      <c r="AG2" s="30"/>
      <c r="AH2" s="30"/>
      <c r="AI2" s="30"/>
      <c r="AJ2" s="30"/>
      <c r="AK2" s="40"/>
      <c r="AL2" s="30"/>
      <c r="AM2" s="18"/>
      <c r="AN2" s="43"/>
      <c r="AO2" s="18"/>
      <c r="AP2" s="44"/>
      <c r="AQ2" s="18"/>
    </row>
    <row r="3" spans="1:45" ht="15.75" customHeight="1" x14ac:dyDescent="0.25">
      <c r="A3" s="23">
        <v>1291</v>
      </c>
      <c r="B3" s="46" t="s">
        <v>53</v>
      </c>
      <c r="C3" s="48">
        <f t="array" ref="C3">_xlfn.XLOOKUP(A3,'Agents Hrs'!A:A,'Agents Hrs'!D:D,0,0)</f>
        <v>7</v>
      </c>
      <c r="D3" s="23"/>
      <c r="E3" s="23"/>
      <c r="F3" s="23"/>
      <c r="G3" s="49">
        <f t="shared" ref="G3:G16" si="0">IFERROR(E3/C3, 0)</f>
        <v>0</v>
      </c>
      <c r="H3" s="50"/>
      <c r="I3" s="48">
        <f t="array" ref="I3">_xlfn.XLOOKUP(A3,'Agents Hrs'!A:A,'Agents Hrs'!F:F,0,0)</f>
        <v>7.5</v>
      </c>
      <c r="J3" s="23"/>
      <c r="K3" s="23">
        <v>1</v>
      </c>
      <c r="L3" s="23"/>
      <c r="M3" s="49">
        <f t="shared" ref="M3:M16" si="1">IFERROR(K3/I3, 0)</f>
        <v>0.13333333333333333</v>
      </c>
      <c r="N3" s="50"/>
      <c r="O3" s="48">
        <f t="array" ref="O3">_xlfn.XLOOKUP(A3,'Agents Hrs'!A:A,'Agents Hrs'!H:H,0,0)</f>
        <v>6.75</v>
      </c>
      <c r="P3" s="23">
        <v>3</v>
      </c>
      <c r="Q3" s="27">
        <v>3</v>
      </c>
      <c r="R3" s="27"/>
      <c r="S3" s="49">
        <f t="shared" ref="S3:S16" si="2">IFERROR(Q3/O3, 0)</f>
        <v>0.44444444444444442</v>
      </c>
      <c r="T3" s="50"/>
      <c r="U3" s="48">
        <f t="array" ref="U3">_xlfn.XLOOKUP(A3,'Agents Hrs'!A:A,'Agents Hrs'!J:J,0,0)</f>
        <v>6.75</v>
      </c>
      <c r="V3" s="27">
        <v>2</v>
      </c>
      <c r="W3" s="27">
        <v>0</v>
      </c>
      <c r="X3" s="27"/>
      <c r="Y3" s="49">
        <f t="shared" ref="Y3:Y16" si="3">IFERROR(W3/U3, 0)</f>
        <v>0</v>
      </c>
      <c r="Z3" s="61"/>
      <c r="AA3" s="63">
        <f t="array" ref="AA3">_xlfn.XLOOKUP(A3,'Agents Hrs'!A:A,'Agents Hrs'!L:L,0,0)</f>
        <v>7.5</v>
      </c>
      <c r="AB3" s="27">
        <v>1</v>
      </c>
      <c r="AC3" s="27">
        <v>0</v>
      </c>
      <c r="AD3" s="27"/>
      <c r="AE3" s="49">
        <f t="shared" ref="AE3:AE16" si="4">IFERROR(AC3/AA3, 0)</f>
        <v>0</v>
      </c>
      <c r="AF3" s="61"/>
      <c r="AG3" s="67">
        <f t="shared" ref="AG3:AG15" si="5">SUM(E3,K3,Q3,W3,AC3)</f>
        <v>4</v>
      </c>
      <c r="AH3" s="34"/>
      <c r="AI3" s="71">
        <f t="shared" ref="AI3:AI15" si="6">SUM(F3,L3,R3,X3,AD3)</f>
        <v>0</v>
      </c>
      <c r="AJ3" s="71">
        <f t="shared" ref="AJ3:AJ16" si="7">AG3-AH3</f>
        <v>4</v>
      </c>
      <c r="AK3" s="72">
        <v>4</v>
      </c>
      <c r="AL3" s="75">
        <f t="shared" ref="AL3:AL16" si="8">AG3-AK3</f>
        <v>0</v>
      </c>
      <c r="AM3" s="28">
        <f t="shared" ref="AM3:AM15" si="9">SUM(C3,I3,O3,U3,AA3)</f>
        <v>35.5</v>
      </c>
      <c r="AN3" s="76">
        <f t="shared" ref="AN3:AN16" si="10">IFERROR(AG3/AM3, 0)</f>
        <v>0.11267605633802817</v>
      </c>
      <c r="AO3" s="28">
        <f t="shared" ref="AO3:AO15" si="11">SUM(H3,N3,T3,Z3,AF3)</f>
        <v>0</v>
      </c>
      <c r="AP3" s="28" t="s">
        <v>48</v>
      </c>
      <c r="AQ3" s="39" t="s">
        <v>49</v>
      </c>
    </row>
    <row r="4" spans="1:45" ht="15.75" customHeight="1" x14ac:dyDescent="0.25">
      <c r="A4" s="23">
        <v>1292</v>
      </c>
      <c r="B4" s="79" t="s">
        <v>59</v>
      </c>
      <c r="C4" s="48">
        <f t="array" ref="C4">_xlfn.XLOOKUP(A4,'Agents Hrs'!A:A,'Agents Hrs'!D:D,0,0)</f>
        <v>7</v>
      </c>
      <c r="D4" s="23"/>
      <c r="E4" s="23">
        <v>1</v>
      </c>
      <c r="F4" s="23"/>
      <c r="G4" s="49">
        <f t="shared" si="0"/>
        <v>0.14285714285714285</v>
      </c>
      <c r="H4" s="50"/>
      <c r="I4" s="48">
        <f t="array" ref="I4">_xlfn.XLOOKUP(A4,'Agents Hrs'!A:A,'Agents Hrs'!F:F,0,0)</f>
        <v>7</v>
      </c>
      <c r="J4" s="23"/>
      <c r="K4" s="23"/>
      <c r="L4" s="23"/>
      <c r="M4" s="49">
        <f t="shared" si="1"/>
        <v>0</v>
      </c>
      <c r="N4" s="50"/>
      <c r="O4" s="48">
        <f t="array" ref="O4">_xlfn.XLOOKUP(A4,'Agents Hrs'!A:A,'Agents Hrs'!H:H,0,0)</f>
        <v>8</v>
      </c>
      <c r="P4" s="23">
        <v>0</v>
      </c>
      <c r="Q4" s="27">
        <v>0</v>
      </c>
      <c r="R4" s="27"/>
      <c r="S4" s="49">
        <f t="shared" si="2"/>
        <v>0</v>
      </c>
      <c r="T4" s="50"/>
      <c r="U4" s="48">
        <f t="array" ref="U4">_xlfn.XLOOKUP(A4,'Agents Hrs'!A:A,'Agents Hrs'!J:J,0,0)</f>
        <v>7.75</v>
      </c>
      <c r="V4" s="27"/>
      <c r="W4" s="27">
        <v>0</v>
      </c>
      <c r="X4" s="27"/>
      <c r="Y4" s="49">
        <f t="shared" si="3"/>
        <v>0</v>
      </c>
      <c r="Z4" s="61"/>
      <c r="AA4" s="63">
        <f t="array" ref="AA4">_xlfn.XLOOKUP(A4,'Agents Hrs'!A:A,'Agents Hrs'!L:L,0,0)</f>
        <v>3.15</v>
      </c>
      <c r="AB4" s="27">
        <v>0</v>
      </c>
      <c r="AC4" s="27">
        <v>0</v>
      </c>
      <c r="AD4" s="27"/>
      <c r="AE4" s="49">
        <f t="shared" si="4"/>
        <v>0</v>
      </c>
      <c r="AF4" s="61"/>
      <c r="AG4" s="67">
        <f t="shared" si="5"/>
        <v>1</v>
      </c>
      <c r="AH4" s="34"/>
      <c r="AI4" s="71">
        <f t="shared" si="6"/>
        <v>0</v>
      </c>
      <c r="AJ4" s="71">
        <f t="shared" si="7"/>
        <v>1</v>
      </c>
      <c r="AK4" s="72">
        <v>1</v>
      </c>
      <c r="AL4" s="75">
        <f t="shared" si="8"/>
        <v>0</v>
      </c>
      <c r="AM4" s="28">
        <f t="shared" si="9"/>
        <v>32.9</v>
      </c>
      <c r="AN4" s="76">
        <f t="shared" si="10"/>
        <v>3.0395136778115502E-2</v>
      </c>
      <c r="AO4" s="28">
        <f t="shared" si="11"/>
        <v>0</v>
      </c>
      <c r="AP4" s="28" t="s">
        <v>48</v>
      </c>
      <c r="AQ4" s="39" t="s">
        <v>49</v>
      </c>
    </row>
    <row r="5" spans="1:45" ht="15.75" customHeight="1" x14ac:dyDescent="0.25">
      <c r="A5" s="23">
        <v>1295</v>
      </c>
      <c r="B5" s="46" t="s">
        <v>98</v>
      </c>
      <c r="C5" s="48">
        <f t="array" ref="C5">_xlfn.XLOOKUP(A5,'Agents Hrs'!A:A,'Agents Hrs'!D:D,0,0)</f>
        <v>7</v>
      </c>
      <c r="D5" s="23"/>
      <c r="E5" s="23"/>
      <c r="F5" s="23"/>
      <c r="G5" s="49">
        <f t="shared" si="0"/>
        <v>0</v>
      </c>
      <c r="H5" s="50"/>
      <c r="I5" s="48">
        <f t="array" ref="I5">_xlfn.XLOOKUP(A5,'Agents Hrs'!A:A,'Agents Hrs'!F:F,0,0)</f>
        <v>7</v>
      </c>
      <c r="J5" s="23"/>
      <c r="K5" s="23"/>
      <c r="L5" s="23"/>
      <c r="M5" s="49">
        <f t="shared" si="1"/>
        <v>0</v>
      </c>
      <c r="N5" s="50"/>
      <c r="O5" s="48">
        <f t="array" ref="O5">_xlfn.XLOOKUP(A5,'Agents Hrs'!A:A,'Agents Hrs'!H:H,0,0)</f>
        <v>7</v>
      </c>
      <c r="P5" s="23">
        <v>0</v>
      </c>
      <c r="Q5" s="27">
        <v>0</v>
      </c>
      <c r="R5" s="27"/>
      <c r="S5" s="49">
        <f t="shared" si="2"/>
        <v>0</v>
      </c>
      <c r="T5" s="50"/>
      <c r="U5" s="48">
        <f t="array" ref="U5">_xlfn.XLOOKUP(A5,'Agents Hrs'!A:A,'Agents Hrs'!J:J,0,0)</f>
        <v>6.75</v>
      </c>
      <c r="V5" s="27"/>
      <c r="W5" s="27">
        <v>0</v>
      </c>
      <c r="X5" s="27"/>
      <c r="Y5" s="49">
        <f t="shared" si="3"/>
        <v>0</v>
      </c>
      <c r="Z5" s="61"/>
      <c r="AA5" s="63">
        <f t="array" ref="AA5">_xlfn.XLOOKUP(A5,'Agents Hrs'!A:A,'Agents Hrs'!L:L,0,0)</f>
        <v>7.75</v>
      </c>
      <c r="AB5" s="27">
        <v>0</v>
      </c>
      <c r="AC5" s="27">
        <v>0</v>
      </c>
      <c r="AD5" s="27"/>
      <c r="AE5" s="49">
        <f t="shared" si="4"/>
        <v>0</v>
      </c>
      <c r="AF5" s="61"/>
      <c r="AG5" s="67">
        <f t="shared" si="5"/>
        <v>0</v>
      </c>
      <c r="AH5" s="34"/>
      <c r="AI5" s="71">
        <f t="shared" si="6"/>
        <v>0</v>
      </c>
      <c r="AJ5" s="71">
        <f t="shared" si="7"/>
        <v>0</v>
      </c>
      <c r="AK5" s="72">
        <v>1</v>
      </c>
      <c r="AL5" s="75">
        <f t="shared" si="8"/>
        <v>-1</v>
      </c>
      <c r="AM5" s="28">
        <f t="shared" si="9"/>
        <v>35.5</v>
      </c>
      <c r="AN5" s="76">
        <f t="shared" si="10"/>
        <v>0</v>
      </c>
      <c r="AO5" s="28">
        <f t="shared" si="11"/>
        <v>0</v>
      </c>
      <c r="AP5" s="28" t="s">
        <v>48</v>
      </c>
      <c r="AQ5" s="39" t="s">
        <v>49</v>
      </c>
    </row>
    <row r="6" spans="1:45" ht="15.75" customHeight="1" x14ac:dyDescent="0.25">
      <c r="A6" s="23">
        <v>1288</v>
      </c>
      <c r="B6" s="79" t="s">
        <v>102</v>
      </c>
      <c r="C6" s="48">
        <f t="array" ref="C6">_xlfn.XLOOKUP(A6,'Agents Hrs'!A:A,'Agents Hrs'!D:D,0,0)</f>
        <v>7</v>
      </c>
      <c r="D6" s="23"/>
      <c r="E6" s="23"/>
      <c r="F6" s="23"/>
      <c r="G6" s="49">
        <f t="shared" si="0"/>
        <v>0</v>
      </c>
      <c r="H6" s="50"/>
      <c r="I6" s="48">
        <f t="array" ref="I6">_xlfn.XLOOKUP(A6,'Agents Hrs'!A:A,'Agents Hrs'!F:F,0,0)</f>
        <v>7</v>
      </c>
      <c r="J6" s="23"/>
      <c r="K6" s="23"/>
      <c r="L6" s="23"/>
      <c r="M6" s="49">
        <f t="shared" si="1"/>
        <v>0</v>
      </c>
      <c r="N6" s="50"/>
      <c r="O6" s="48">
        <f t="array" ref="O6">_xlfn.XLOOKUP(A6,'Agents Hrs'!A:A,'Agents Hrs'!H:H,0,0)</f>
        <v>7.5</v>
      </c>
      <c r="P6" s="23">
        <v>0</v>
      </c>
      <c r="Q6" s="27">
        <v>0</v>
      </c>
      <c r="R6" s="27"/>
      <c r="S6" s="49">
        <f t="shared" si="2"/>
        <v>0</v>
      </c>
      <c r="T6" s="50"/>
      <c r="U6" s="48">
        <f t="array" ref="U6">_xlfn.XLOOKUP(A6,'Agents Hrs'!A:A,'Agents Hrs'!J:J,0,0)</f>
        <v>7.25</v>
      </c>
      <c r="V6" s="27"/>
      <c r="W6" s="27">
        <v>0</v>
      </c>
      <c r="X6" s="27"/>
      <c r="Y6" s="49">
        <f t="shared" si="3"/>
        <v>0</v>
      </c>
      <c r="Z6" s="61"/>
      <c r="AA6" s="63">
        <f t="array" ref="AA6">_xlfn.XLOOKUP(A6,'Agents Hrs'!A:A,'Agents Hrs'!L:L,0,0)</f>
        <v>6.25</v>
      </c>
      <c r="AB6" s="27">
        <v>0</v>
      </c>
      <c r="AC6" s="27">
        <v>0</v>
      </c>
      <c r="AD6" s="27"/>
      <c r="AE6" s="49">
        <f t="shared" si="4"/>
        <v>0</v>
      </c>
      <c r="AF6" s="61"/>
      <c r="AG6" s="67">
        <f t="shared" si="5"/>
        <v>0</v>
      </c>
      <c r="AH6" s="34"/>
      <c r="AI6" s="71">
        <f t="shared" si="6"/>
        <v>0</v>
      </c>
      <c r="AJ6" s="71">
        <f t="shared" si="7"/>
        <v>0</v>
      </c>
      <c r="AK6" s="72">
        <v>4</v>
      </c>
      <c r="AL6" s="75">
        <f t="shared" si="8"/>
        <v>-4</v>
      </c>
      <c r="AM6" s="28">
        <f t="shared" si="9"/>
        <v>35</v>
      </c>
      <c r="AN6" s="76">
        <f t="shared" si="10"/>
        <v>0</v>
      </c>
      <c r="AO6" s="28">
        <f t="shared" si="11"/>
        <v>0</v>
      </c>
      <c r="AP6" s="28" t="s">
        <v>48</v>
      </c>
      <c r="AQ6" s="39" t="s">
        <v>49</v>
      </c>
    </row>
    <row r="7" spans="1:45" ht="15.75" customHeight="1" x14ac:dyDescent="0.25">
      <c r="A7" s="23">
        <v>1175</v>
      </c>
      <c r="B7" s="79" t="s">
        <v>65</v>
      </c>
      <c r="C7" s="48">
        <f t="array" ref="C7">_xlfn.XLOOKUP(A7,'Agents Hrs'!A:A,'Agents Hrs'!D:D,0,0)</f>
        <v>8</v>
      </c>
      <c r="D7" s="23"/>
      <c r="E7" s="23">
        <v>2</v>
      </c>
      <c r="F7" s="23"/>
      <c r="G7" s="49">
        <f t="shared" si="0"/>
        <v>0.25</v>
      </c>
      <c r="H7" s="50"/>
      <c r="I7" s="48">
        <f t="array" ref="I7">_xlfn.XLOOKUP(A7,'Agents Hrs'!A:A,'Agents Hrs'!F:F,0,0)</f>
        <v>8</v>
      </c>
      <c r="J7" s="23"/>
      <c r="K7" s="23"/>
      <c r="L7" s="23"/>
      <c r="M7" s="49">
        <f t="shared" si="1"/>
        <v>0</v>
      </c>
      <c r="N7" s="50"/>
      <c r="O7" s="48">
        <f t="array" ref="O7">_xlfn.XLOOKUP(A7,'Agents Hrs'!A:A,'Agents Hrs'!H:H,0,0)</f>
        <v>7.25</v>
      </c>
      <c r="P7" s="23">
        <v>0</v>
      </c>
      <c r="Q7" s="27">
        <v>0</v>
      </c>
      <c r="R7" s="27"/>
      <c r="S7" s="49">
        <f t="shared" si="2"/>
        <v>0</v>
      </c>
      <c r="T7" s="50"/>
      <c r="U7" s="48">
        <f t="array" ref="U7">_xlfn.XLOOKUP(A7,'Agents Hrs'!A:A,'Agents Hrs'!J:J,0,0)</f>
        <v>7.75</v>
      </c>
      <c r="V7" s="27">
        <v>1</v>
      </c>
      <c r="W7" s="27">
        <v>1</v>
      </c>
      <c r="X7" s="27"/>
      <c r="Y7" s="49">
        <f t="shared" si="3"/>
        <v>0.12903225806451613</v>
      </c>
      <c r="Z7" s="61"/>
      <c r="AA7" s="63">
        <f t="array" ref="AA7">_xlfn.XLOOKUP(A7,'Agents Hrs'!A:A,'Agents Hrs'!L:L,0,0)</f>
        <v>7.75</v>
      </c>
      <c r="AB7" s="27">
        <v>2</v>
      </c>
      <c r="AC7" s="27">
        <v>1</v>
      </c>
      <c r="AD7" s="27"/>
      <c r="AE7" s="49">
        <f t="shared" si="4"/>
        <v>0.12903225806451613</v>
      </c>
      <c r="AF7" s="61"/>
      <c r="AG7" s="67">
        <f t="shared" si="5"/>
        <v>4</v>
      </c>
      <c r="AH7" s="34"/>
      <c r="AI7" s="71">
        <f t="shared" si="6"/>
        <v>0</v>
      </c>
      <c r="AJ7" s="71">
        <f t="shared" si="7"/>
        <v>4</v>
      </c>
      <c r="AK7" s="72">
        <v>4</v>
      </c>
      <c r="AL7" s="75">
        <f t="shared" si="8"/>
        <v>0</v>
      </c>
      <c r="AM7" s="28">
        <f t="shared" si="9"/>
        <v>38.75</v>
      </c>
      <c r="AN7" s="76">
        <f t="shared" si="10"/>
        <v>0.1032258064516129</v>
      </c>
      <c r="AO7" s="28">
        <f t="shared" si="11"/>
        <v>0</v>
      </c>
      <c r="AP7" s="28" t="s">
        <v>48</v>
      </c>
      <c r="AQ7" s="39" t="s">
        <v>49</v>
      </c>
    </row>
    <row r="8" spans="1:45" ht="15.75" customHeight="1" x14ac:dyDescent="0.25">
      <c r="A8" s="23">
        <v>1294</v>
      </c>
      <c r="B8" s="79" t="s">
        <v>107</v>
      </c>
      <c r="C8" s="48">
        <f t="array" ref="C8">_xlfn.XLOOKUP(A8,'Agents Hrs'!A:A,'Agents Hrs'!D:D,0,0)</f>
        <v>7</v>
      </c>
      <c r="D8" s="23"/>
      <c r="E8" s="23"/>
      <c r="F8" s="23"/>
      <c r="G8" s="49">
        <f t="shared" si="0"/>
        <v>0</v>
      </c>
      <c r="H8" s="50"/>
      <c r="I8" s="48">
        <f t="array" ref="I8">_xlfn.XLOOKUP(A8,'Agents Hrs'!A:A,'Agents Hrs'!F:F,0,0)</f>
        <v>7.5</v>
      </c>
      <c r="J8" s="23"/>
      <c r="K8" s="23">
        <v>1</v>
      </c>
      <c r="L8" s="23"/>
      <c r="M8" s="49">
        <f t="shared" si="1"/>
        <v>0.13333333333333333</v>
      </c>
      <c r="N8" s="50"/>
      <c r="O8" s="48">
        <f t="array" ref="O8">_xlfn.XLOOKUP(A8,'Agents Hrs'!A:A,'Agents Hrs'!H:H,0,0)</f>
        <v>7</v>
      </c>
      <c r="P8" s="23">
        <v>0</v>
      </c>
      <c r="Q8" s="27">
        <v>0</v>
      </c>
      <c r="R8" s="27"/>
      <c r="S8" s="49">
        <f t="shared" si="2"/>
        <v>0</v>
      </c>
      <c r="T8" s="50"/>
      <c r="U8" s="48">
        <f t="array" ref="U8">_xlfn.XLOOKUP(A8,'Agents Hrs'!A:A,'Agents Hrs'!J:J,0,0)</f>
        <v>7</v>
      </c>
      <c r="V8" s="27"/>
      <c r="W8" s="27">
        <v>0</v>
      </c>
      <c r="X8" s="27"/>
      <c r="Y8" s="49">
        <f t="shared" si="3"/>
        <v>0</v>
      </c>
      <c r="Z8" s="61"/>
      <c r="AA8" s="63">
        <f t="array" ref="AA8">_xlfn.XLOOKUP(A8,'Agents Hrs'!A:A,'Agents Hrs'!L:L,0,0)</f>
        <v>7.75</v>
      </c>
      <c r="AB8" s="27">
        <v>0</v>
      </c>
      <c r="AC8" s="27">
        <v>0</v>
      </c>
      <c r="AD8" s="27"/>
      <c r="AE8" s="49">
        <f t="shared" si="4"/>
        <v>0</v>
      </c>
      <c r="AF8" s="61"/>
      <c r="AG8" s="67">
        <f t="shared" si="5"/>
        <v>1</v>
      </c>
      <c r="AH8" s="34"/>
      <c r="AI8" s="71">
        <f t="shared" si="6"/>
        <v>0</v>
      </c>
      <c r="AJ8" s="71">
        <f t="shared" si="7"/>
        <v>1</v>
      </c>
      <c r="AK8" s="72">
        <v>1</v>
      </c>
      <c r="AL8" s="75">
        <f t="shared" si="8"/>
        <v>0</v>
      </c>
      <c r="AM8" s="28">
        <f t="shared" si="9"/>
        <v>36.25</v>
      </c>
      <c r="AN8" s="76">
        <f t="shared" si="10"/>
        <v>2.7586206896551724E-2</v>
      </c>
      <c r="AO8" s="28">
        <f t="shared" si="11"/>
        <v>0</v>
      </c>
      <c r="AP8" s="28" t="s">
        <v>48</v>
      </c>
      <c r="AQ8" s="39" t="s">
        <v>49</v>
      </c>
    </row>
    <row r="9" spans="1:45" ht="15.75" customHeight="1" x14ac:dyDescent="0.25">
      <c r="A9" s="23">
        <v>1280</v>
      </c>
      <c r="B9" s="79" t="s">
        <v>108</v>
      </c>
      <c r="C9" s="48">
        <f t="array" ref="C9">_xlfn.XLOOKUP(A9,'Agents Hrs'!A:A,'Agents Hrs'!D:D,0,0)</f>
        <v>6.5</v>
      </c>
      <c r="D9" s="23"/>
      <c r="E9" s="23"/>
      <c r="F9" s="23"/>
      <c r="G9" s="49">
        <f t="shared" si="0"/>
        <v>0</v>
      </c>
      <c r="H9" s="50"/>
      <c r="I9" s="48">
        <f t="array" ref="I9">_xlfn.XLOOKUP(A9,'Agents Hrs'!A:A,'Agents Hrs'!F:F,0,0)</f>
        <v>6.5</v>
      </c>
      <c r="J9" s="23"/>
      <c r="K9" s="23"/>
      <c r="L9" s="23"/>
      <c r="M9" s="49">
        <f t="shared" si="1"/>
        <v>0</v>
      </c>
      <c r="N9" s="50"/>
      <c r="O9" s="48">
        <f t="array" ref="O9">_xlfn.XLOOKUP(A9,'Agents Hrs'!A:A,'Agents Hrs'!H:H,0,0)</f>
        <v>6.75</v>
      </c>
      <c r="P9" s="23">
        <v>4</v>
      </c>
      <c r="Q9" s="27">
        <v>4</v>
      </c>
      <c r="R9" s="27"/>
      <c r="S9" s="49">
        <f t="shared" si="2"/>
        <v>0.59259259259259256</v>
      </c>
      <c r="T9" s="50"/>
      <c r="U9" s="48">
        <f t="array" ref="U9">_xlfn.XLOOKUP(A9,'Agents Hrs'!A:A,'Agents Hrs'!J:J,0,0)</f>
        <v>6.5</v>
      </c>
      <c r="V9" s="27"/>
      <c r="W9" s="27">
        <v>0</v>
      </c>
      <c r="X9" s="27"/>
      <c r="Y9" s="49">
        <f t="shared" si="3"/>
        <v>0</v>
      </c>
      <c r="Z9" s="61"/>
      <c r="AA9" s="63">
        <f t="array" ref="AA9">_xlfn.XLOOKUP(A9,'Agents Hrs'!A:A,'Agents Hrs'!L:L,0,0)</f>
        <v>6</v>
      </c>
      <c r="AB9" s="27">
        <v>0</v>
      </c>
      <c r="AC9" s="27">
        <v>1</v>
      </c>
      <c r="AD9" s="27"/>
      <c r="AE9" s="49">
        <f t="shared" si="4"/>
        <v>0.16666666666666666</v>
      </c>
      <c r="AF9" s="61"/>
      <c r="AG9" s="67">
        <f t="shared" si="5"/>
        <v>5</v>
      </c>
      <c r="AH9" s="34"/>
      <c r="AI9" s="71">
        <f t="shared" si="6"/>
        <v>0</v>
      </c>
      <c r="AJ9" s="71">
        <f t="shared" si="7"/>
        <v>5</v>
      </c>
      <c r="AK9" s="72">
        <v>0</v>
      </c>
      <c r="AL9" s="75">
        <f t="shared" si="8"/>
        <v>5</v>
      </c>
      <c r="AM9" s="28">
        <f t="shared" si="9"/>
        <v>32.25</v>
      </c>
      <c r="AN9" s="76">
        <f t="shared" si="10"/>
        <v>0.15503875968992248</v>
      </c>
      <c r="AO9" s="28">
        <f t="shared" si="11"/>
        <v>0</v>
      </c>
      <c r="AP9" s="28" t="s">
        <v>48</v>
      </c>
      <c r="AQ9" s="39" t="s">
        <v>49</v>
      </c>
    </row>
    <row r="10" spans="1:45" ht="15.75" customHeight="1" x14ac:dyDescent="0.25">
      <c r="A10" s="23">
        <v>1298</v>
      </c>
      <c r="B10" s="79" t="s">
        <v>110</v>
      </c>
      <c r="C10" s="48">
        <f t="array" ref="C10">_xlfn.XLOOKUP(A10,'Agents Hrs'!A:A,'Agents Hrs'!D:D,0,0)</f>
        <v>7</v>
      </c>
      <c r="D10" s="23"/>
      <c r="E10" s="23"/>
      <c r="F10" s="23"/>
      <c r="G10" s="49">
        <f t="shared" si="0"/>
        <v>0</v>
      </c>
      <c r="H10" s="50"/>
      <c r="I10" s="48">
        <f t="array" ref="I10">_xlfn.XLOOKUP(A10,'Agents Hrs'!A:A,'Agents Hrs'!F:F,0,0)</f>
        <v>7</v>
      </c>
      <c r="J10" s="23"/>
      <c r="K10" s="23">
        <v>0</v>
      </c>
      <c r="L10" s="23"/>
      <c r="M10" s="49">
        <f t="shared" si="1"/>
        <v>0</v>
      </c>
      <c r="N10" s="50"/>
      <c r="O10" s="48">
        <f t="array" ref="O10">_xlfn.XLOOKUP(A10,'Agents Hrs'!A:A,'Agents Hrs'!H:H,0,0)</f>
        <v>7.5</v>
      </c>
      <c r="P10" s="23">
        <v>2</v>
      </c>
      <c r="Q10" s="27">
        <v>0</v>
      </c>
      <c r="R10" s="27"/>
      <c r="S10" s="49">
        <f t="shared" si="2"/>
        <v>0</v>
      </c>
      <c r="T10" s="50"/>
      <c r="U10" s="48">
        <f t="array" ref="U10">_xlfn.XLOOKUP(A10,'Agents Hrs'!A:A,'Agents Hrs'!J:J,0,0)</f>
        <v>7.75</v>
      </c>
      <c r="V10" s="27">
        <v>1</v>
      </c>
      <c r="W10" s="27">
        <v>1</v>
      </c>
      <c r="X10" s="27"/>
      <c r="Y10" s="49">
        <f t="shared" si="3"/>
        <v>0.12903225806451613</v>
      </c>
      <c r="Z10" s="61"/>
      <c r="AA10" s="63">
        <f t="array" ref="AA10">_xlfn.XLOOKUP(A10,'Agents Hrs'!A:A,'Agents Hrs'!L:L,0,0)</f>
        <v>7.5</v>
      </c>
      <c r="AB10" s="27">
        <v>1</v>
      </c>
      <c r="AC10" s="27">
        <v>0</v>
      </c>
      <c r="AD10" s="27"/>
      <c r="AE10" s="49">
        <f t="shared" si="4"/>
        <v>0</v>
      </c>
      <c r="AF10" s="61"/>
      <c r="AG10" s="67">
        <f t="shared" si="5"/>
        <v>1</v>
      </c>
      <c r="AH10" s="34"/>
      <c r="AI10" s="71">
        <f t="shared" si="6"/>
        <v>0</v>
      </c>
      <c r="AJ10" s="71">
        <f t="shared" si="7"/>
        <v>1</v>
      </c>
      <c r="AK10" s="72">
        <v>1</v>
      </c>
      <c r="AL10" s="75">
        <f t="shared" si="8"/>
        <v>0</v>
      </c>
      <c r="AM10" s="28">
        <f t="shared" si="9"/>
        <v>36.75</v>
      </c>
      <c r="AN10" s="76">
        <f t="shared" si="10"/>
        <v>2.7210884353741496E-2</v>
      </c>
      <c r="AO10" s="28">
        <f t="shared" si="11"/>
        <v>0</v>
      </c>
      <c r="AP10" s="28" t="s">
        <v>48</v>
      </c>
      <c r="AQ10" s="39" t="s">
        <v>49</v>
      </c>
    </row>
    <row r="11" spans="1:45" ht="15.75" customHeight="1" x14ac:dyDescent="0.25">
      <c r="A11" s="23">
        <v>1301</v>
      </c>
      <c r="B11" s="79" t="s">
        <v>80</v>
      </c>
      <c r="C11" s="48">
        <f t="array" ref="C11">_xlfn.XLOOKUP(A11,'Agents Hrs'!A:A,'Agents Hrs'!D:D,0,0)</f>
        <v>0</v>
      </c>
      <c r="D11" s="23"/>
      <c r="E11" s="23"/>
      <c r="F11" s="23"/>
      <c r="G11" s="49">
        <f t="shared" si="0"/>
        <v>0</v>
      </c>
      <c r="H11" s="50"/>
      <c r="I11" s="48">
        <f t="array" ref="I11">_xlfn.XLOOKUP(A11,'Agents Hrs'!A:A,'Agents Hrs'!F:F,0,0)</f>
        <v>6.5</v>
      </c>
      <c r="J11" s="23"/>
      <c r="K11" s="23"/>
      <c r="L11" s="23"/>
      <c r="M11" s="49">
        <f t="shared" si="1"/>
        <v>0</v>
      </c>
      <c r="N11" s="50"/>
      <c r="O11" s="48">
        <f t="array" ref="O11">_xlfn.XLOOKUP(A11,'Agents Hrs'!A:A,'Agents Hrs'!H:H,0,0)</f>
        <v>7</v>
      </c>
      <c r="P11" s="23">
        <v>0</v>
      </c>
      <c r="Q11" s="27">
        <v>0</v>
      </c>
      <c r="R11" s="27"/>
      <c r="S11" s="49">
        <f t="shared" si="2"/>
        <v>0</v>
      </c>
      <c r="T11" s="50"/>
      <c r="U11" s="48">
        <f t="array" ref="U11">_xlfn.XLOOKUP(A11,'Agents Hrs'!A:A,'Agents Hrs'!J:J,0,0)</f>
        <v>6.5</v>
      </c>
      <c r="V11" s="27"/>
      <c r="W11" s="27">
        <v>0</v>
      </c>
      <c r="X11" s="27"/>
      <c r="Y11" s="49">
        <f t="shared" si="3"/>
        <v>0</v>
      </c>
      <c r="Z11" s="61"/>
      <c r="AA11" s="63">
        <f t="array" ref="AA11">_xlfn.XLOOKUP(A11,'Agents Hrs'!A:A,'Agents Hrs'!L:L,0,0)</f>
        <v>7.5</v>
      </c>
      <c r="AB11" s="27">
        <v>0</v>
      </c>
      <c r="AC11" s="27">
        <v>0</v>
      </c>
      <c r="AD11" s="27"/>
      <c r="AE11" s="49">
        <f t="shared" si="4"/>
        <v>0</v>
      </c>
      <c r="AF11" s="61"/>
      <c r="AG11" s="67">
        <f t="shared" si="5"/>
        <v>0</v>
      </c>
      <c r="AH11" s="34"/>
      <c r="AI11" s="71">
        <f t="shared" si="6"/>
        <v>0</v>
      </c>
      <c r="AJ11" s="71">
        <f t="shared" si="7"/>
        <v>0</v>
      </c>
      <c r="AK11" s="72">
        <v>1</v>
      </c>
      <c r="AL11" s="75">
        <f t="shared" si="8"/>
        <v>-1</v>
      </c>
      <c r="AM11" s="28">
        <f t="shared" si="9"/>
        <v>27.5</v>
      </c>
      <c r="AN11" s="76">
        <f t="shared" si="10"/>
        <v>0</v>
      </c>
      <c r="AO11" s="28">
        <f t="shared" si="11"/>
        <v>0</v>
      </c>
      <c r="AP11" s="28" t="s">
        <v>48</v>
      </c>
      <c r="AQ11" s="39" t="s">
        <v>49</v>
      </c>
    </row>
    <row r="12" spans="1:45" ht="15.75" customHeight="1" x14ac:dyDescent="0.25">
      <c r="A12" s="23">
        <v>1290</v>
      </c>
      <c r="B12" s="46" t="s">
        <v>113</v>
      </c>
      <c r="C12" s="48">
        <f t="array" ref="C12">_xlfn.XLOOKUP(A12,'Agents Hrs'!A:A,'Agents Hrs'!D:D,0,0)</f>
        <v>0</v>
      </c>
      <c r="D12" s="23"/>
      <c r="E12" s="23"/>
      <c r="F12" s="23"/>
      <c r="G12" s="49">
        <f t="shared" si="0"/>
        <v>0</v>
      </c>
      <c r="H12" s="50"/>
      <c r="I12" s="48">
        <f t="array" ref="I12">_xlfn.XLOOKUP(A12,'Agents Hrs'!A:A,'Agents Hrs'!F:F,0,0)</f>
        <v>0</v>
      </c>
      <c r="J12" s="23"/>
      <c r="K12" s="23">
        <v>1</v>
      </c>
      <c r="L12" s="23"/>
      <c r="M12" s="49">
        <f t="shared" si="1"/>
        <v>0</v>
      </c>
      <c r="N12" s="50"/>
      <c r="O12" s="48">
        <f t="array" ref="O12">_xlfn.XLOOKUP(A12,'Agents Hrs'!A:A,'Agents Hrs'!H:H,0,0)</f>
        <v>0</v>
      </c>
      <c r="P12" s="23">
        <v>0</v>
      </c>
      <c r="Q12" s="27">
        <v>0</v>
      </c>
      <c r="R12" s="27"/>
      <c r="S12" s="49">
        <f t="shared" si="2"/>
        <v>0</v>
      </c>
      <c r="T12" s="50"/>
      <c r="U12" s="48">
        <f t="array" ref="U12">_xlfn.XLOOKUP(A12,'Agents Hrs'!A:A,'Agents Hrs'!J:J,0,0)</f>
        <v>0</v>
      </c>
      <c r="V12" s="27"/>
      <c r="W12" s="27">
        <v>0</v>
      </c>
      <c r="X12" s="27"/>
      <c r="Y12" s="49">
        <f t="shared" si="3"/>
        <v>0</v>
      </c>
      <c r="Z12" s="61"/>
      <c r="AA12" s="63">
        <f t="array" ref="AA12">_xlfn.XLOOKUP(A12,'Agents Hrs'!A:A,'Agents Hrs'!L:L,0,0)</f>
        <v>0</v>
      </c>
      <c r="AB12" s="27">
        <v>0</v>
      </c>
      <c r="AC12" s="27">
        <v>0</v>
      </c>
      <c r="AD12" s="27"/>
      <c r="AE12" s="49">
        <f t="shared" si="4"/>
        <v>0</v>
      </c>
      <c r="AF12" s="61"/>
      <c r="AG12" s="67">
        <f t="shared" si="5"/>
        <v>1</v>
      </c>
      <c r="AH12" s="34"/>
      <c r="AI12" s="71">
        <f t="shared" si="6"/>
        <v>0</v>
      </c>
      <c r="AJ12" s="71">
        <f t="shared" si="7"/>
        <v>1</v>
      </c>
      <c r="AK12" s="72">
        <v>5</v>
      </c>
      <c r="AL12" s="75">
        <f t="shared" si="8"/>
        <v>-4</v>
      </c>
      <c r="AM12" s="28">
        <f t="shared" si="9"/>
        <v>0</v>
      </c>
      <c r="AN12" s="76">
        <f t="shared" si="10"/>
        <v>0</v>
      </c>
      <c r="AO12" s="28">
        <f t="shared" si="11"/>
        <v>0</v>
      </c>
      <c r="AP12" s="28" t="s">
        <v>48</v>
      </c>
      <c r="AQ12" s="39" t="s">
        <v>49</v>
      </c>
    </row>
    <row r="13" spans="1:45" ht="15.75" customHeight="1" x14ac:dyDescent="0.25">
      <c r="A13" s="62">
        <v>1151</v>
      </c>
      <c r="B13" s="98" t="s">
        <v>115</v>
      </c>
      <c r="C13" s="48">
        <f t="array" ref="C13">_xlfn.XLOOKUP(A13,'Agents Hrs'!A:A,'Agents Hrs'!D:D,0,0)</f>
        <v>0</v>
      </c>
      <c r="D13" s="16"/>
      <c r="E13" s="16"/>
      <c r="F13" s="16"/>
      <c r="G13" s="49">
        <f t="shared" si="0"/>
        <v>0</v>
      </c>
      <c r="H13" s="99"/>
      <c r="I13" s="48">
        <f t="array" ref="I13">_xlfn.XLOOKUP(A13,'Agents Hrs'!A:A,'Agents Hrs'!F:F,0,0)</f>
        <v>0</v>
      </c>
      <c r="J13" s="16"/>
      <c r="K13" s="16">
        <v>1</v>
      </c>
      <c r="L13" s="16"/>
      <c r="M13" s="49">
        <f t="shared" si="1"/>
        <v>0</v>
      </c>
      <c r="N13" s="99"/>
      <c r="O13" s="48">
        <f t="array" ref="O13">_xlfn.XLOOKUP(A13,'Agents Hrs'!A:A,'Agents Hrs'!H:H,0,0)</f>
        <v>0</v>
      </c>
      <c r="P13" s="16">
        <v>0</v>
      </c>
      <c r="Q13" s="27">
        <v>0</v>
      </c>
      <c r="R13" s="27"/>
      <c r="S13" s="49">
        <f t="shared" si="2"/>
        <v>0</v>
      </c>
      <c r="T13" s="99"/>
      <c r="U13" s="48">
        <f t="array" ref="U13">_xlfn.XLOOKUP(A13,'Agents Hrs'!A:A,'Agents Hrs'!J:J,0,0)</f>
        <v>0</v>
      </c>
      <c r="V13" s="27"/>
      <c r="W13" s="27">
        <v>0</v>
      </c>
      <c r="X13" s="27"/>
      <c r="Y13" s="49">
        <f t="shared" si="3"/>
        <v>0</v>
      </c>
      <c r="Z13" s="61"/>
      <c r="AA13" s="63">
        <f t="array" ref="AA13">_xlfn.XLOOKUP(A13,'Agents Hrs'!A:A,'Agents Hrs'!L:L,0,0)</f>
        <v>0</v>
      </c>
      <c r="AB13" s="27">
        <v>0</v>
      </c>
      <c r="AC13" s="27">
        <v>0</v>
      </c>
      <c r="AD13" s="27"/>
      <c r="AE13" s="49">
        <f t="shared" si="4"/>
        <v>0</v>
      </c>
      <c r="AF13" s="61"/>
      <c r="AG13" s="67">
        <f t="shared" si="5"/>
        <v>1</v>
      </c>
      <c r="AH13" s="34"/>
      <c r="AI13" s="71">
        <f t="shared" si="6"/>
        <v>0</v>
      </c>
      <c r="AJ13" s="71">
        <f t="shared" si="7"/>
        <v>1</v>
      </c>
      <c r="AK13" s="72">
        <v>0</v>
      </c>
      <c r="AL13" s="75">
        <f t="shared" si="8"/>
        <v>1</v>
      </c>
      <c r="AM13" s="28">
        <f t="shared" si="9"/>
        <v>0</v>
      </c>
      <c r="AN13" s="76">
        <f t="shared" si="10"/>
        <v>0</v>
      </c>
      <c r="AO13" s="28">
        <f t="shared" si="11"/>
        <v>0</v>
      </c>
      <c r="AP13" s="28" t="s">
        <v>48</v>
      </c>
      <c r="AQ13" s="39" t="s">
        <v>49</v>
      </c>
    </row>
    <row r="14" spans="1:45" ht="15.75" customHeight="1" x14ac:dyDescent="0.25">
      <c r="A14" s="23">
        <v>1300</v>
      </c>
      <c r="B14" s="79" t="s">
        <v>117</v>
      </c>
      <c r="C14" s="48">
        <f t="array" ref="C14">_xlfn.XLOOKUP(A14,'Agents Hrs'!A:A,'Agents Hrs'!D:D,0,0)</f>
        <v>8</v>
      </c>
      <c r="D14" s="23"/>
      <c r="E14" s="23">
        <v>2</v>
      </c>
      <c r="F14" s="23"/>
      <c r="G14" s="49">
        <f t="shared" si="0"/>
        <v>0.25</v>
      </c>
      <c r="H14" s="50"/>
      <c r="I14" s="48">
        <f t="array" ref="I14">_xlfn.XLOOKUP(A14,'Agents Hrs'!A:A,'Agents Hrs'!F:F,0,0)</f>
        <v>8</v>
      </c>
      <c r="J14" s="23"/>
      <c r="K14" s="23"/>
      <c r="L14" s="23"/>
      <c r="M14" s="49">
        <f t="shared" si="1"/>
        <v>0</v>
      </c>
      <c r="N14" s="50"/>
      <c r="O14" s="48">
        <f t="array" ref="O14">_xlfn.XLOOKUP(A14,'Agents Hrs'!A:A,'Agents Hrs'!H:H,0,0)</f>
        <v>7.25</v>
      </c>
      <c r="P14" s="23">
        <v>0</v>
      </c>
      <c r="Q14" s="27">
        <v>14</v>
      </c>
      <c r="R14" s="27"/>
      <c r="S14" s="49">
        <f t="shared" si="2"/>
        <v>1.9310344827586208</v>
      </c>
      <c r="T14" s="50"/>
      <c r="U14" s="48">
        <f t="array" ref="U14">_xlfn.XLOOKUP(A14,'Agents Hrs'!A:A,'Agents Hrs'!J:J,0,0)</f>
        <v>7.5</v>
      </c>
      <c r="V14" s="27"/>
      <c r="W14" s="27">
        <v>0</v>
      </c>
      <c r="X14" s="27"/>
      <c r="Y14" s="49">
        <f t="shared" si="3"/>
        <v>0</v>
      </c>
      <c r="Z14" s="61"/>
      <c r="AA14" s="63">
        <f t="array" ref="AA14">_xlfn.XLOOKUP(A14,'Agents Hrs'!A:A,'Agents Hrs'!L:L,0,0)</f>
        <v>7.5</v>
      </c>
      <c r="AB14" s="27">
        <v>0</v>
      </c>
      <c r="AC14" s="27">
        <v>0</v>
      </c>
      <c r="AD14" s="27"/>
      <c r="AE14" s="49">
        <f t="shared" si="4"/>
        <v>0</v>
      </c>
      <c r="AF14" s="61"/>
      <c r="AG14" s="67">
        <f t="shared" si="5"/>
        <v>16</v>
      </c>
      <c r="AH14" s="34"/>
      <c r="AI14" s="71">
        <f t="shared" si="6"/>
        <v>0</v>
      </c>
      <c r="AJ14" s="71">
        <f t="shared" si="7"/>
        <v>16</v>
      </c>
      <c r="AK14" s="72">
        <v>5</v>
      </c>
      <c r="AL14" s="75">
        <f t="shared" si="8"/>
        <v>11</v>
      </c>
      <c r="AM14" s="28">
        <f t="shared" si="9"/>
        <v>38.25</v>
      </c>
      <c r="AN14" s="76">
        <f t="shared" si="10"/>
        <v>0.41830065359477125</v>
      </c>
      <c r="AO14" s="28">
        <f t="shared" si="11"/>
        <v>0</v>
      </c>
      <c r="AP14" s="28" t="s">
        <v>48</v>
      </c>
      <c r="AQ14" s="39" t="s">
        <v>49</v>
      </c>
    </row>
    <row r="15" spans="1:45" ht="15.75" customHeight="1" x14ac:dyDescent="0.25">
      <c r="A15" s="62"/>
      <c r="B15" s="102"/>
      <c r="C15" s="103">
        <f t="array" ref="C15">_xlfn.XLOOKUP(A15,'Agents Hrs'!A:A,'Agents Hrs'!D:D,0,0)</f>
        <v>0</v>
      </c>
      <c r="D15" s="104"/>
      <c r="E15" s="104"/>
      <c r="F15" s="104"/>
      <c r="G15" s="105">
        <f t="shared" si="0"/>
        <v>0</v>
      </c>
      <c r="H15" s="106"/>
      <c r="I15" s="48">
        <f t="array" ref="I15">_xlfn.XLOOKUP(A15,'Agents Hrs'!A:A,'Agents Hrs'!F:F,0,0)</f>
        <v>0</v>
      </c>
      <c r="J15" s="104"/>
      <c r="K15" s="104"/>
      <c r="L15" s="104"/>
      <c r="M15" s="105">
        <f t="shared" si="1"/>
        <v>0</v>
      </c>
      <c r="N15" s="106"/>
      <c r="O15" s="48">
        <f t="array" ref="O15">_xlfn.XLOOKUP(A15,'Agents Hrs'!A:A,'Agents Hrs'!H:H,0,0)</f>
        <v>0</v>
      </c>
      <c r="P15" s="104">
        <v>0</v>
      </c>
      <c r="Q15" s="42"/>
      <c r="R15" s="42"/>
      <c r="S15" s="105">
        <f t="shared" si="2"/>
        <v>0</v>
      </c>
      <c r="T15" s="106"/>
      <c r="U15" s="48">
        <f t="array" ref="U15">_xlfn.XLOOKUP(A15,'Agents Hrs'!A:A,'Agents Hrs'!J:J,0,0)</f>
        <v>0</v>
      </c>
      <c r="V15" s="42"/>
      <c r="W15" s="42"/>
      <c r="X15" s="42"/>
      <c r="Y15" s="105">
        <f t="shared" si="3"/>
        <v>0</v>
      </c>
      <c r="Z15" s="107"/>
      <c r="AA15" s="63">
        <f t="array" ref="AA15">_xlfn.XLOOKUP(A15,'Agents Hrs'!A:A,'Agents Hrs'!L:L,0,0)</f>
        <v>0</v>
      </c>
      <c r="AB15" s="42">
        <v>0</v>
      </c>
      <c r="AC15" s="42">
        <v>0</v>
      </c>
      <c r="AD15" s="42"/>
      <c r="AE15" s="105">
        <f t="shared" si="4"/>
        <v>0</v>
      </c>
      <c r="AF15" s="107"/>
      <c r="AG15" s="67">
        <f t="shared" si="5"/>
        <v>0</v>
      </c>
      <c r="AH15" s="45"/>
      <c r="AI15" s="71">
        <f t="shared" si="6"/>
        <v>0</v>
      </c>
      <c r="AJ15" s="108">
        <f t="shared" si="7"/>
        <v>0</v>
      </c>
      <c r="AK15" s="109"/>
      <c r="AL15" s="110">
        <f t="shared" si="8"/>
        <v>0</v>
      </c>
      <c r="AM15" s="28">
        <f t="shared" si="9"/>
        <v>0</v>
      </c>
      <c r="AN15" s="111">
        <f t="shared" si="10"/>
        <v>0</v>
      </c>
      <c r="AO15" s="28">
        <f t="shared" si="11"/>
        <v>0</v>
      </c>
      <c r="AP15" s="112" t="s">
        <v>48</v>
      </c>
      <c r="AQ15" s="113" t="s">
        <v>49</v>
      </c>
    </row>
    <row r="16" spans="1:45" ht="15.75" customHeight="1" x14ac:dyDescent="0.25">
      <c r="A16" s="62"/>
      <c r="B16" s="114" t="s">
        <v>74</v>
      </c>
      <c r="C16" s="53">
        <f t="shared" ref="C16:E16" si="12">SUM(C3:C15)</f>
        <v>64.5</v>
      </c>
      <c r="D16" s="54">
        <f t="shared" si="12"/>
        <v>0</v>
      </c>
      <c r="E16" s="54">
        <f t="shared" si="12"/>
        <v>5</v>
      </c>
      <c r="F16" s="54"/>
      <c r="G16" s="115">
        <f t="shared" si="0"/>
        <v>7.7519379844961239E-2</v>
      </c>
      <c r="H16" s="116">
        <f t="shared" ref="H16:K16" si="13">SUM(H3:H15)</f>
        <v>0</v>
      </c>
      <c r="I16" s="117">
        <f t="shared" si="13"/>
        <v>72</v>
      </c>
      <c r="J16" s="54">
        <f t="shared" si="13"/>
        <v>0</v>
      </c>
      <c r="K16" s="54">
        <f t="shared" si="13"/>
        <v>4</v>
      </c>
      <c r="L16" s="54"/>
      <c r="M16" s="115">
        <f t="shared" si="1"/>
        <v>5.5555555555555552E-2</v>
      </c>
      <c r="N16" s="116">
        <f t="shared" ref="N16:Q16" si="14">SUM(N3:N15)</f>
        <v>0</v>
      </c>
      <c r="O16" s="117">
        <f t="shared" si="14"/>
        <v>72</v>
      </c>
      <c r="P16" s="54">
        <f t="shared" si="14"/>
        <v>9</v>
      </c>
      <c r="Q16" s="54">
        <f t="shared" si="14"/>
        <v>21</v>
      </c>
      <c r="R16" s="54"/>
      <c r="S16" s="115">
        <f t="shared" si="2"/>
        <v>0.29166666666666669</v>
      </c>
      <c r="T16" s="116">
        <f t="shared" ref="T16:W16" si="15">SUM(T3:T15)</f>
        <v>0</v>
      </c>
      <c r="U16" s="117">
        <f t="shared" si="15"/>
        <v>71.5</v>
      </c>
      <c r="V16" s="54">
        <f t="shared" si="15"/>
        <v>4</v>
      </c>
      <c r="W16" s="54">
        <f t="shared" si="15"/>
        <v>2</v>
      </c>
      <c r="X16" s="54"/>
      <c r="Y16" s="115">
        <f t="shared" si="3"/>
        <v>2.7972027972027972E-2</v>
      </c>
      <c r="Z16" s="116">
        <f t="shared" ref="Z16:AC16" si="16">SUM(Z3:Z15)</f>
        <v>0</v>
      </c>
      <c r="AA16" s="117">
        <f t="shared" si="16"/>
        <v>68.650000000000006</v>
      </c>
      <c r="AB16" s="54">
        <f t="shared" si="16"/>
        <v>4</v>
      </c>
      <c r="AC16" s="54">
        <f t="shared" si="16"/>
        <v>2</v>
      </c>
      <c r="AD16" s="54"/>
      <c r="AE16" s="115">
        <f t="shared" si="4"/>
        <v>2.91332847778587E-2</v>
      </c>
      <c r="AF16" s="116">
        <f t="shared" ref="AF16:AG16" si="17">SUM(AF3:AF15)</f>
        <v>0</v>
      </c>
      <c r="AG16" s="118">
        <f t="shared" si="17"/>
        <v>34</v>
      </c>
      <c r="AH16" s="117"/>
      <c r="AI16" s="119">
        <f>SUM(AI3:AI15)</f>
        <v>0</v>
      </c>
      <c r="AJ16" s="120">
        <f t="shared" si="7"/>
        <v>34</v>
      </c>
      <c r="AK16" s="121">
        <v>15</v>
      </c>
      <c r="AL16" s="122">
        <f t="shared" si="8"/>
        <v>19</v>
      </c>
      <c r="AM16" s="123">
        <f>SUM(AM3:AM15)</f>
        <v>348.65</v>
      </c>
      <c r="AN16" s="124">
        <f t="shared" si="10"/>
        <v>9.7519001864333862E-2</v>
      </c>
      <c r="AO16" s="125">
        <f>SUM(AO3:AO15)</f>
        <v>0</v>
      </c>
      <c r="AP16" s="123" t="s">
        <v>48</v>
      </c>
      <c r="AQ16" s="126" t="s">
        <v>49</v>
      </c>
    </row>
    <row r="17" spans="1:45" ht="15.75" customHeight="1" x14ac:dyDescent="0.25">
      <c r="A17" s="18"/>
      <c r="B17" s="127" t="s">
        <v>93</v>
      </c>
      <c r="C17" s="128"/>
      <c r="D17" s="129"/>
      <c r="E17" s="129"/>
      <c r="F17" s="129"/>
      <c r="G17" s="129"/>
      <c r="H17" s="130"/>
      <c r="I17" s="128"/>
      <c r="J17" s="129"/>
      <c r="K17" s="129"/>
      <c r="L17" s="129"/>
      <c r="M17" s="129"/>
      <c r="N17" s="130"/>
      <c r="O17" s="128"/>
      <c r="P17" s="129"/>
      <c r="Q17" s="58"/>
      <c r="R17" s="58"/>
      <c r="S17" s="58"/>
      <c r="T17" s="131"/>
      <c r="U17" s="132"/>
      <c r="V17" s="58"/>
      <c r="W17" s="58"/>
      <c r="X17" s="58"/>
      <c r="Y17" s="58"/>
      <c r="Z17" s="131"/>
      <c r="AA17" s="132"/>
      <c r="AB17" s="58"/>
      <c r="AC17" s="58"/>
      <c r="AD17" s="58"/>
      <c r="AE17" s="58"/>
      <c r="AF17" s="131"/>
      <c r="AG17" s="133"/>
      <c r="AH17" s="60"/>
      <c r="AI17" s="134"/>
      <c r="AJ17" s="134"/>
      <c r="AK17" s="135"/>
      <c r="AL17" s="136"/>
      <c r="AM17" s="58"/>
      <c r="AN17" s="137"/>
      <c r="AO17" s="58"/>
      <c r="AP17" s="58"/>
      <c r="AQ17" s="58"/>
    </row>
    <row r="18" spans="1:45" ht="15.75" customHeight="1" x14ac:dyDescent="0.25">
      <c r="A18" s="6" t="s">
        <v>1</v>
      </c>
      <c r="B18" s="138" t="s">
        <v>3</v>
      </c>
      <c r="C18" s="139"/>
      <c r="D18" s="6"/>
      <c r="E18" s="6"/>
      <c r="F18" s="6"/>
      <c r="G18" s="6"/>
      <c r="H18" s="140"/>
      <c r="I18" s="139"/>
      <c r="J18" s="6"/>
      <c r="K18" s="6"/>
      <c r="L18" s="6"/>
      <c r="M18" s="6"/>
      <c r="N18" s="140"/>
      <c r="O18" s="139"/>
      <c r="P18" s="6"/>
      <c r="Q18" s="6"/>
      <c r="R18" s="6"/>
      <c r="S18" s="6"/>
      <c r="T18" s="140"/>
      <c r="U18" s="139"/>
      <c r="V18" s="6"/>
      <c r="W18" s="6"/>
      <c r="X18" s="6"/>
      <c r="Y18" s="6"/>
      <c r="Z18" s="140"/>
      <c r="AA18" s="139"/>
      <c r="AB18" s="6"/>
      <c r="AC18" s="6"/>
      <c r="AD18" s="6"/>
      <c r="AE18" s="6"/>
      <c r="AF18" s="140"/>
      <c r="AG18" s="141"/>
      <c r="AH18" s="6"/>
      <c r="AI18" s="142"/>
      <c r="AJ18" s="142"/>
      <c r="AK18" s="72"/>
      <c r="AL18" s="141"/>
      <c r="AM18" s="6"/>
      <c r="AN18" s="143"/>
      <c r="AO18" s="6"/>
      <c r="AP18" s="6"/>
      <c r="AQ18" s="6"/>
    </row>
    <row r="19" spans="1:45" ht="15.75" customHeight="1" x14ac:dyDescent="0.25">
      <c r="A19" s="62"/>
      <c r="B19" s="74"/>
      <c r="C19" s="144"/>
      <c r="D19" s="16"/>
      <c r="E19" s="16"/>
      <c r="F19" s="16"/>
      <c r="G19" s="16"/>
      <c r="H19" s="99"/>
      <c r="I19" s="144"/>
      <c r="J19" s="16"/>
      <c r="K19" s="16"/>
      <c r="L19" s="16"/>
      <c r="M19" s="16"/>
      <c r="N19" s="99"/>
      <c r="O19" s="144"/>
      <c r="P19" s="16"/>
      <c r="Q19" s="27"/>
      <c r="R19" s="27"/>
      <c r="S19" s="27"/>
      <c r="T19" s="61"/>
      <c r="U19" s="63"/>
      <c r="V19" s="27"/>
      <c r="W19" s="27"/>
      <c r="X19" s="27"/>
      <c r="Y19" s="27"/>
      <c r="Z19" s="61"/>
      <c r="AA19" s="63"/>
      <c r="AB19" s="27"/>
      <c r="AC19" s="27"/>
      <c r="AD19" s="27"/>
      <c r="AE19" s="27"/>
      <c r="AF19" s="61"/>
      <c r="AG19" s="67">
        <f t="shared" ref="AG19:AG21" si="18">SUM(Q19:AC19)</f>
        <v>0</v>
      </c>
      <c r="AH19" s="34"/>
      <c r="AI19" s="71"/>
      <c r="AJ19" s="71">
        <f t="shared" ref="AJ19:AJ21" si="19">AG19-AH19</f>
        <v>0</v>
      </c>
      <c r="AK19" s="72">
        <v>0</v>
      </c>
      <c r="AL19" s="75">
        <f t="shared" ref="AL19:AL22" si="20">AG19-AK19</f>
        <v>0</v>
      </c>
      <c r="AM19" s="28"/>
      <c r="AN19" s="76"/>
      <c r="AO19" s="28"/>
      <c r="AP19" s="28" t="s">
        <v>48</v>
      </c>
      <c r="AQ19" s="39" t="s">
        <v>49</v>
      </c>
    </row>
    <row r="20" spans="1:45" ht="15.75" customHeight="1" x14ac:dyDescent="0.25">
      <c r="A20" s="62"/>
      <c r="B20" s="98"/>
      <c r="C20" s="144"/>
      <c r="D20" s="16"/>
      <c r="E20" s="16"/>
      <c r="F20" s="16"/>
      <c r="G20" s="16"/>
      <c r="H20" s="99"/>
      <c r="I20" s="144"/>
      <c r="J20" s="16"/>
      <c r="K20" s="16"/>
      <c r="L20" s="16"/>
      <c r="M20" s="16"/>
      <c r="N20" s="99"/>
      <c r="O20" s="144"/>
      <c r="P20" s="16"/>
      <c r="Q20" s="27"/>
      <c r="R20" s="27"/>
      <c r="S20" s="27"/>
      <c r="T20" s="61"/>
      <c r="U20" s="63"/>
      <c r="V20" s="27"/>
      <c r="W20" s="27"/>
      <c r="X20" s="27"/>
      <c r="Y20" s="27"/>
      <c r="Z20" s="61"/>
      <c r="AA20" s="63"/>
      <c r="AB20" s="27"/>
      <c r="AC20" s="27"/>
      <c r="AD20" s="27"/>
      <c r="AE20" s="27"/>
      <c r="AF20" s="61"/>
      <c r="AG20" s="67">
        <f t="shared" si="18"/>
        <v>0</v>
      </c>
      <c r="AH20" s="34"/>
      <c r="AI20" s="71"/>
      <c r="AJ20" s="71">
        <f t="shared" si="19"/>
        <v>0</v>
      </c>
      <c r="AK20" s="72">
        <v>0</v>
      </c>
      <c r="AL20" s="75">
        <f t="shared" si="20"/>
        <v>0</v>
      </c>
      <c r="AM20" s="28"/>
      <c r="AN20" s="76"/>
      <c r="AO20" s="28"/>
      <c r="AP20" s="28" t="s">
        <v>48</v>
      </c>
      <c r="AQ20" s="39" t="s">
        <v>49</v>
      </c>
    </row>
    <row r="21" spans="1:45" ht="15.75" customHeight="1" x14ac:dyDescent="0.25">
      <c r="A21" s="62"/>
      <c r="B21" s="102"/>
      <c r="C21" s="145"/>
      <c r="D21" s="104"/>
      <c r="E21" s="104"/>
      <c r="F21" s="104"/>
      <c r="G21" s="104"/>
      <c r="H21" s="106"/>
      <c r="I21" s="145"/>
      <c r="J21" s="104"/>
      <c r="K21" s="104"/>
      <c r="L21" s="104"/>
      <c r="M21" s="104"/>
      <c r="N21" s="106"/>
      <c r="O21" s="145"/>
      <c r="P21" s="104"/>
      <c r="Q21" s="42"/>
      <c r="R21" s="42"/>
      <c r="S21" s="42"/>
      <c r="T21" s="107"/>
      <c r="U21" s="146"/>
      <c r="V21" s="42"/>
      <c r="W21" s="42"/>
      <c r="X21" s="42"/>
      <c r="Y21" s="42"/>
      <c r="Z21" s="107"/>
      <c r="AA21" s="146"/>
      <c r="AB21" s="42"/>
      <c r="AC21" s="42"/>
      <c r="AD21" s="42"/>
      <c r="AE21" s="42"/>
      <c r="AF21" s="107"/>
      <c r="AG21" s="67">
        <f t="shared" si="18"/>
        <v>0</v>
      </c>
      <c r="AH21" s="34"/>
      <c r="AI21" s="71"/>
      <c r="AJ21" s="71">
        <f t="shared" si="19"/>
        <v>0</v>
      </c>
      <c r="AK21" s="72">
        <v>0</v>
      </c>
      <c r="AL21" s="75">
        <f t="shared" si="20"/>
        <v>0</v>
      </c>
      <c r="AM21" s="28"/>
      <c r="AN21" s="76"/>
      <c r="AO21" s="28"/>
      <c r="AP21" s="28" t="s">
        <v>48</v>
      </c>
      <c r="AQ21" s="39" t="s">
        <v>49</v>
      </c>
    </row>
    <row r="22" spans="1:45" ht="15.75" customHeight="1" x14ac:dyDescent="0.25">
      <c r="A22" s="62"/>
      <c r="B22" s="114" t="s">
        <v>74</v>
      </c>
      <c r="C22" s="53"/>
      <c r="D22" s="54">
        <f t="shared" ref="D22:E22" si="21">SUM(D19:D20)</f>
        <v>0</v>
      </c>
      <c r="E22" s="54">
        <f t="shared" si="21"/>
        <v>0</v>
      </c>
      <c r="F22" s="54"/>
      <c r="G22" s="54"/>
      <c r="H22" s="116"/>
      <c r="I22" s="117"/>
      <c r="J22" s="54">
        <f t="shared" ref="J22:K22" si="22">SUM(J19:J20)</f>
        <v>0</v>
      </c>
      <c r="K22" s="54">
        <f t="shared" si="22"/>
        <v>0</v>
      </c>
      <c r="L22" s="54"/>
      <c r="M22" s="54"/>
      <c r="N22" s="116"/>
      <c r="O22" s="117"/>
      <c r="P22" s="54">
        <f t="shared" ref="P22:Q22" si="23">SUM(P19:P20)</f>
        <v>0</v>
      </c>
      <c r="Q22" s="54">
        <f t="shared" si="23"/>
        <v>0</v>
      </c>
      <c r="R22" s="54"/>
      <c r="S22" s="54"/>
      <c r="T22" s="116"/>
      <c r="U22" s="117"/>
      <c r="V22" s="54">
        <f t="shared" ref="V22:W22" si="24">SUM(V19:V20)</f>
        <v>0</v>
      </c>
      <c r="W22" s="54">
        <f t="shared" si="24"/>
        <v>0</v>
      </c>
      <c r="X22" s="54"/>
      <c r="Y22" s="54"/>
      <c r="Z22" s="116"/>
      <c r="AA22" s="117"/>
      <c r="AB22" s="54">
        <f t="shared" ref="AB22:AC22" si="25">SUM(AB19:AB20)</f>
        <v>0</v>
      </c>
      <c r="AC22" s="54">
        <f t="shared" si="25"/>
        <v>0</v>
      </c>
      <c r="AD22" s="54"/>
      <c r="AE22" s="54"/>
      <c r="AF22" s="116"/>
      <c r="AG22" s="151">
        <f t="shared" ref="AG22:AH22" si="26">SUM(AG19:AG20)</f>
        <v>0</v>
      </c>
      <c r="AH22" s="54">
        <f t="shared" si="26"/>
        <v>0</v>
      </c>
      <c r="AI22" s="153"/>
      <c r="AJ22" s="153">
        <f t="shared" ref="AJ22:AK22" si="27">SUM(AJ19:AJ20)</f>
        <v>0</v>
      </c>
      <c r="AK22" s="121">
        <f t="shared" si="27"/>
        <v>0</v>
      </c>
      <c r="AL22" s="75">
        <f t="shared" si="20"/>
        <v>0</v>
      </c>
      <c r="AM22" s="28"/>
      <c r="AN22" s="76"/>
      <c r="AO22" s="28"/>
      <c r="AP22" s="28" t="s">
        <v>48</v>
      </c>
      <c r="AQ22" s="39" t="s">
        <v>49</v>
      </c>
    </row>
    <row r="23" spans="1:45" ht="15.75" customHeight="1" x14ac:dyDescent="0.25">
      <c r="A23" s="18"/>
      <c r="B23" s="157" t="s">
        <v>97</v>
      </c>
      <c r="C23" s="158"/>
      <c r="D23" s="159"/>
      <c r="E23" s="159"/>
      <c r="F23" s="159"/>
      <c r="G23" s="159"/>
      <c r="H23" s="160"/>
      <c r="I23" s="158"/>
      <c r="J23" s="159"/>
      <c r="K23" s="159"/>
      <c r="L23" s="159"/>
      <c r="M23" s="159"/>
      <c r="N23" s="160"/>
      <c r="O23" s="158"/>
      <c r="P23" s="159"/>
      <c r="Q23" s="58"/>
      <c r="R23" s="58"/>
      <c r="S23" s="58"/>
      <c r="T23" s="131"/>
      <c r="U23" s="132"/>
      <c r="V23" s="58"/>
      <c r="W23" s="58"/>
      <c r="X23" s="58"/>
      <c r="Y23" s="58"/>
      <c r="Z23" s="131"/>
      <c r="AA23" s="132"/>
      <c r="AB23" s="58"/>
      <c r="AC23" s="58"/>
      <c r="AD23" s="58"/>
      <c r="AE23" s="58"/>
      <c r="AF23" s="131"/>
      <c r="AG23" s="141"/>
      <c r="AH23" s="6"/>
      <c r="AI23" s="142"/>
      <c r="AJ23" s="142"/>
      <c r="AK23" s="162"/>
      <c r="AL23" s="163"/>
      <c r="AM23" s="86"/>
      <c r="AN23" s="165"/>
      <c r="AO23" s="86"/>
      <c r="AP23" s="86"/>
      <c r="AQ23" s="86"/>
    </row>
    <row r="24" spans="1:45" ht="15.75" customHeight="1" x14ac:dyDescent="0.25">
      <c r="A24" s="87"/>
      <c r="B24" s="166"/>
      <c r="C24" s="167"/>
      <c r="D24" s="62"/>
      <c r="E24" s="62"/>
      <c r="F24" s="62"/>
      <c r="G24" s="62"/>
      <c r="H24" s="168"/>
      <c r="I24" s="167"/>
      <c r="J24" s="62"/>
      <c r="K24" s="62"/>
      <c r="L24" s="62"/>
      <c r="M24" s="62"/>
      <c r="N24" s="168"/>
      <c r="O24" s="167"/>
      <c r="P24" s="62"/>
      <c r="Q24" s="27"/>
      <c r="R24" s="27"/>
      <c r="S24" s="27"/>
      <c r="T24" s="61"/>
      <c r="U24" s="63"/>
      <c r="V24" s="27"/>
      <c r="W24" s="27"/>
      <c r="X24" s="27"/>
      <c r="Y24" s="27"/>
      <c r="Z24" s="61"/>
      <c r="AA24" s="63"/>
      <c r="AB24" s="27"/>
      <c r="AC24" s="27"/>
      <c r="AD24" s="27"/>
      <c r="AE24" s="27"/>
      <c r="AF24" s="61"/>
      <c r="AG24" s="67">
        <f t="shared" ref="AG24:AG27" si="28">SUM(Q24:AC24)</f>
        <v>0</v>
      </c>
      <c r="AH24" s="34"/>
      <c r="AI24" s="71"/>
      <c r="AJ24" s="71">
        <f t="shared" ref="AJ24:AJ27" si="29">AG24-AH24</f>
        <v>0</v>
      </c>
      <c r="AK24" s="162">
        <v>0</v>
      </c>
      <c r="AL24" s="75">
        <f t="shared" ref="AL24:AL28" si="30">AG24-AK24</f>
        <v>0</v>
      </c>
      <c r="AM24" s="28"/>
      <c r="AN24" s="76"/>
      <c r="AO24" s="28"/>
      <c r="AP24" s="28" t="s">
        <v>48</v>
      </c>
      <c r="AQ24" s="39" t="s">
        <v>49</v>
      </c>
    </row>
    <row r="25" spans="1:45" ht="15.75" customHeight="1" x14ac:dyDescent="0.25">
      <c r="A25" s="87"/>
      <c r="B25" s="166"/>
      <c r="C25" s="167"/>
      <c r="D25" s="62"/>
      <c r="E25" s="62"/>
      <c r="F25" s="62"/>
      <c r="G25" s="62"/>
      <c r="H25" s="168"/>
      <c r="I25" s="167"/>
      <c r="J25" s="62"/>
      <c r="K25" s="62"/>
      <c r="L25" s="62"/>
      <c r="M25" s="62"/>
      <c r="N25" s="168"/>
      <c r="O25" s="167"/>
      <c r="P25" s="62"/>
      <c r="Q25" s="27"/>
      <c r="R25" s="27"/>
      <c r="S25" s="27"/>
      <c r="T25" s="61"/>
      <c r="U25" s="63"/>
      <c r="V25" s="27"/>
      <c r="W25" s="27"/>
      <c r="X25" s="27"/>
      <c r="Y25" s="27"/>
      <c r="Z25" s="61"/>
      <c r="AA25" s="63"/>
      <c r="AB25" s="27"/>
      <c r="AC25" s="27"/>
      <c r="AD25" s="27"/>
      <c r="AE25" s="27"/>
      <c r="AF25" s="61"/>
      <c r="AG25" s="67">
        <f t="shared" si="28"/>
        <v>0</v>
      </c>
      <c r="AH25" s="34"/>
      <c r="AI25" s="71"/>
      <c r="AJ25" s="71">
        <f t="shared" si="29"/>
        <v>0</v>
      </c>
      <c r="AK25" s="162">
        <v>0</v>
      </c>
      <c r="AL25" s="75">
        <f t="shared" si="30"/>
        <v>0</v>
      </c>
      <c r="AM25" s="28"/>
      <c r="AN25" s="76"/>
      <c r="AO25" s="28"/>
      <c r="AP25" s="28" t="s">
        <v>48</v>
      </c>
      <c r="AQ25" s="39" t="s">
        <v>49</v>
      </c>
    </row>
    <row r="26" spans="1:45" ht="15.75" customHeight="1" x14ac:dyDescent="0.25">
      <c r="A26" s="87"/>
      <c r="B26" s="166"/>
      <c r="C26" s="167"/>
      <c r="D26" s="62"/>
      <c r="E26" s="62"/>
      <c r="F26" s="62"/>
      <c r="G26" s="62"/>
      <c r="H26" s="168"/>
      <c r="I26" s="167"/>
      <c r="J26" s="62"/>
      <c r="K26" s="62"/>
      <c r="L26" s="62"/>
      <c r="M26" s="62"/>
      <c r="N26" s="168"/>
      <c r="O26" s="167"/>
      <c r="P26" s="62"/>
      <c r="Q26" s="27"/>
      <c r="R26" s="27"/>
      <c r="S26" s="27"/>
      <c r="T26" s="61"/>
      <c r="U26" s="63"/>
      <c r="V26" s="27"/>
      <c r="W26" s="27"/>
      <c r="X26" s="27"/>
      <c r="Y26" s="27"/>
      <c r="Z26" s="61"/>
      <c r="AA26" s="63"/>
      <c r="AB26" s="27"/>
      <c r="AC26" s="27"/>
      <c r="AD26" s="27"/>
      <c r="AE26" s="27"/>
      <c r="AF26" s="61"/>
      <c r="AG26" s="67">
        <f t="shared" si="28"/>
        <v>0</v>
      </c>
      <c r="AH26" s="34"/>
      <c r="AI26" s="71"/>
      <c r="AJ26" s="71">
        <f t="shared" si="29"/>
        <v>0</v>
      </c>
      <c r="AK26" s="162">
        <v>0</v>
      </c>
      <c r="AL26" s="75">
        <f t="shared" si="30"/>
        <v>0</v>
      </c>
      <c r="AM26" s="28"/>
      <c r="AN26" s="76"/>
      <c r="AO26" s="28"/>
      <c r="AP26" s="28" t="s">
        <v>48</v>
      </c>
      <c r="AQ26" s="39" t="s">
        <v>49</v>
      </c>
    </row>
    <row r="27" spans="1:45" ht="15.75" customHeight="1" x14ac:dyDescent="0.25">
      <c r="A27" s="87"/>
      <c r="B27" s="173"/>
      <c r="C27" s="174"/>
      <c r="D27" s="175"/>
      <c r="E27" s="175"/>
      <c r="F27" s="175"/>
      <c r="G27" s="175"/>
      <c r="H27" s="176"/>
      <c r="I27" s="174"/>
      <c r="J27" s="175"/>
      <c r="K27" s="175"/>
      <c r="L27" s="175"/>
      <c r="M27" s="175"/>
      <c r="N27" s="176"/>
      <c r="O27" s="174"/>
      <c r="P27" s="175"/>
      <c r="Q27" s="42"/>
      <c r="R27" s="42"/>
      <c r="S27" s="42"/>
      <c r="T27" s="107"/>
      <c r="U27" s="146"/>
      <c r="V27" s="42"/>
      <c r="W27" s="42"/>
      <c r="X27" s="42"/>
      <c r="Y27" s="42"/>
      <c r="Z27" s="107"/>
      <c r="AA27" s="146"/>
      <c r="AB27" s="42"/>
      <c r="AC27" s="42"/>
      <c r="AD27" s="42"/>
      <c r="AE27" s="42"/>
      <c r="AF27" s="107"/>
      <c r="AG27" s="177">
        <f t="shared" si="28"/>
        <v>0</v>
      </c>
      <c r="AH27" s="34"/>
      <c r="AI27" s="71"/>
      <c r="AJ27" s="71">
        <f t="shared" si="29"/>
        <v>0</v>
      </c>
      <c r="AK27" s="162">
        <v>0</v>
      </c>
      <c r="AL27" s="75">
        <f t="shared" si="30"/>
        <v>0</v>
      </c>
      <c r="AM27" s="28"/>
      <c r="AN27" s="76"/>
      <c r="AO27" s="28"/>
      <c r="AP27" s="28" t="s">
        <v>48</v>
      </c>
      <c r="AQ27" s="39" t="s">
        <v>49</v>
      </c>
    </row>
    <row r="28" spans="1:45" ht="15.75" customHeight="1" x14ac:dyDescent="0.25">
      <c r="A28" s="178"/>
      <c r="B28" s="179" t="s">
        <v>74</v>
      </c>
      <c r="C28" s="180"/>
      <c r="D28" s="181">
        <f t="shared" ref="D28:E28" si="31">D16</f>
        <v>0</v>
      </c>
      <c r="E28" s="181">
        <f t="shared" si="31"/>
        <v>5</v>
      </c>
      <c r="F28" s="181"/>
      <c r="G28" s="181"/>
      <c r="H28" s="182"/>
      <c r="I28" s="180"/>
      <c r="J28" s="181">
        <f t="shared" ref="J28:K28" si="32">J16</f>
        <v>0</v>
      </c>
      <c r="K28" s="181">
        <f t="shared" si="32"/>
        <v>4</v>
      </c>
      <c r="L28" s="181"/>
      <c r="M28" s="181"/>
      <c r="N28" s="182"/>
      <c r="O28" s="180"/>
      <c r="P28" s="181">
        <f t="shared" ref="P28:Q28" si="33">P16</f>
        <v>9</v>
      </c>
      <c r="Q28" s="181">
        <f t="shared" si="33"/>
        <v>21</v>
      </c>
      <c r="R28" s="181"/>
      <c r="S28" s="181"/>
      <c r="T28" s="182"/>
      <c r="U28" s="180"/>
      <c r="V28" s="181">
        <f t="shared" ref="V28:W28" si="34">V16</f>
        <v>4</v>
      </c>
      <c r="W28" s="181">
        <f t="shared" si="34"/>
        <v>2</v>
      </c>
      <c r="X28" s="181"/>
      <c r="Y28" s="181"/>
      <c r="Z28" s="182"/>
      <c r="AA28" s="180"/>
      <c r="AB28" s="181">
        <f t="shared" ref="AB28:AC28" si="35">AB16</f>
        <v>4</v>
      </c>
      <c r="AC28" s="181">
        <f t="shared" si="35"/>
        <v>2</v>
      </c>
      <c r="AD28" s="181"/>
      <c r="AE28" s="181"/>
      <c r="AF28" s="182"/>
      <c r="AG28" s="183">
        <f t="shared" ref="AG28:AH28" si="36">AG16</f>
        <v>34</v>
      </c>
      <c r="AH28" s="141">
        <f t="shared" si="36"/>
        <v>0</v>
      </c>
      <c r="AI28" s="184"/>
      <c r="AJ28" s="142">
        <f t="shared" ref="AJ28:AK28" si="37">AJ16</f>
        <v>34</v>
      </c>
      <c r="AK28" s="185">
        <f t="shared" si="37"/>
        <v>15</v>
      </c>
      <c r="AL28" s="75">
        <f t="shared" si="30"/>
        <v>19</v>
      </c>
      <c r="AM28" s="28"/>
      <c r="AN28" s="76"/>
      <c r="AO28" s="28"/>
      <c r="AP28" s="28"/>
      <c r="AQ28" s="39"/>
    </row>
    <row r="29" spans="1:45" ht="15.75" customHeight="1" x14ac:dyDescent="0.25">
      <c r="A29" s="28"/>
      <c r="B29" s="187" t="s">
        <v>20</v>
      </c>
      <c r="C29" s="188"/>
      <c r="D29" s="189"/>
      <c r="E29" s="189"/>
      <c r="F29" s="189"/>
      <c r="G29" s="189"/>
      <c r="H29" s="191"/>
      <c r="I29" s="188"/>
      <c r="J29" s="189"/>
      <c r="K29" s="189"/>
      <c r="L29" s="189"/>
      <c r="M29" s="189"/>
      <c r="N29" s="191"/>
      <c r="O29" s="188"/>
      <c r="P29" s="189"/>
      <c r="Q29" s="189">
        <v>2</v>
      </c>
      <c r="R29" s="189"/>
      <c r="S29" s="189"/>
      <c r="T29" s="193"/>
      <c r="U29" s="194"/>
      <c r="V29" s="189">
        <v>1</v>
      </c>
      <c r="W29" s="196">
        <v>2</v>
      </c>
      <c r="X29" s="196"/>
      <c r="Y29" s="196"/>
      <c r="Z29" s="193"/>
      <c r="AA29" s="194"/>
      <c r="AB29" s="189">
        <v>2</v>
      </c>
      <c r="AC29" s="189">
        <v>0</v>
      </c>
      <c r="AD29" s="189"/>
      <c r="AE29" s="189"/>
      <c r="AF29" s="191"/>
      <c r="AG29" s="198">
        <v>7</v>
      </c>
      <c r="AH29" s="89"/>
      <c r="AI29" s="89"/>
      <c r="AJ29" s="89"/>
      <c r="AK29" s="89"/>
      <c r="AL29" s="90"/>
      <c r="AM29" s="89"/>
      <c r="AN29" s="199"/>
      <c r="AO29" s="89"/>
      <c r="AP29" s="90"/>
      <c r="AQ29" s="7"/>
    </row>
    <row r="30" spans="1:45" ht="15.75" customHeight="1" x14ac:dyDescent="0.25">
      <c r="A30" s="89"/>
      <c r="B30" s="200" t="s">
        <v>21</v>
      </c>
      <c r="C30" s="202"/>
      <c r="D30" s="203"/>
      <c r="E30" s="203"/>
      <c r="F30" s="203"/>
      <c r="G30" s="203"/>
      <c r="H30" s="204"/>
      <c r="I30" s="202"/>
      <c r="J30" s="203"/>
      <c r="K30" s="203"/>
      <c r="L30" s="203"/>
      <c r="M30" s="203"/>
      <c r="N30" s="204"/>
      <c r="O30" s="202"/>
      <c r="P30" s="203"/>
      <c r="Q30" s="203">
        <f>Q28-Q29</f>
        <v>19</v>
      </c>
      <c r="R30" s="203"/>
      <c r="S30" s="203"/>
      <c r="T30" s="204"/>
      <c r="U30" s="202"/>
      <c r="V30" s="203">
        <f t="shared" ref="V30:W30" si="38">V28-V29</f>
        <v>3</v>
      </c>
      <c r="W30" s="203">
        <f t="shared" si="38"/>
        <v>0</v>
      </c>
      <c r="X30" s="203"/>
      <c r="Y30" s="203"/>
      <c r="Z30" s="204"/>
      <c r="AA30" s="202"/>
      <c r="AB30" s="203">
        <f t="shared" ref="AB30:AC30" si="39">AB28-AB29</f>
        <v>2</v>
      </c>
      <c r="AC30" s="203">
        <f t="shared" si="39"/>
        <v>2</v>
      </c>
      <c r="AD30" s="203"/>
      <c r="AE30" s="203"/>
      <c r="AF30" s="204"/>
      <c r="AG30" s="206">
        <f>AG28-AG29</f>
        <v>27</v>
      </c>
      <c r="AH30" s="89"/>
      <c r="AI30" s="89"/>
      <c r="AJ30" s="89"/>
      <c r="AK30" s="7"/>
      <c r="AL30" s="89"/>
      <c r="AM30" s="89"/>
      <c r="AN30" s="199"/>
      <c r="AO30" s="89"/>
      <c r="AP30" s="89"/>
      <c r="AQ30" s="7"/>
      <c r="AS30" s="207" t="s">
        <v>125</v>
      </c>
    </row>
    <row r="31" spans="1:45" ht="15.75" customHeight="1" x14ac:dyDescent="0.25"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208"/>
      <c r="P31" s="209"/>
      <c r="Q31" s="89"/>
      <c r="R31" s="89"/>
      <c r="S31" s="89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M31" s="89"/>
      <c r="AN31" s="199"/>
      <c r="AO31" s="89"/>
    </row>
    <row r="32" spans="1:45" ht="15.75" customHeight="1" x14ac:dyDescent="0.25"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208"/>
      <c r="P32" s="209"/>
      <c r="Q32" s="89"/>
      <c r="R32" s="89"/>
      <c r="S32" s="89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M32" s="89"/>
      <c r="AN32" s="199"/>
      <c r="AO32" s="89"/>
    </row>
    <row r="33" spans="3:41" ht="15.75" customHeight="1" x14ac:dyDescent="0.25"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208"/>
      <c r="P33" s="20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M33" s="89"/>
      <c r="AN33" s="199"/>
      <c r="AO33" s="89"/>
    </row>
    <row r="34" spans="3:41" ht="15.75" customHeight="1" x14ac:dyDescent="0.25"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208"/>
      <c r="P34" s="209"/>
      <c r="Q34" s="89"/>
      <c r="R34" s="89"/>
      <c r="S34" s="89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M34" s="89"/>
      <c r="AN34" s="199"/>
      <c r="AO34" s="89"/>
    </row>
    <row r="35" spans="3:41" ht="15.75" customHeight="1" x14ac:dyDescent="0.25"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208"/>
      <c r="P35" s="20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M35" s="89"/>
      <c r="AN35" s="199"/>
      <c r="AO35" s="89"/>
    </row>
    <row r="36" spans="3:41" ht="15.75" customHeight="1" x14ac:dyDescent="0.25"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208"/>
      <c r="P36" s="209"/>
      <c r="Q36" s="89"/>
      <c r="R36" s="89"/>
      <c r="S36" s="89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M36" s="89"/>
      <c r="AN36" s="199"/>
      <c r="AO36" s="89"/>
    </row>
    <row r="37" spans="3:41" ht="15.75" customHeight="1" x14ac:dyDescent="0.25"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208"/>
      <c r="P37" s="20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M37" s="89"/>
      <c r="AN37" s="199"/>
      <c r="AO37" s="89"/>
    </row>
    <row r="38" spans="3:41" ht="15.75" customHeight="1" x14ac:dyDescent="0.25"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208"/>
      <c r="P38" s="20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M38" s="89"/>
      <c r="AN38" s="199"/>
      <c r="AO38" s="89"/>
    </row>
    <row r="39" spans="3:41" ht="15.75" customHeight="1" x14ac:dyDescent="0.25"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208"/>
      <c r="P39" s="20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M39" s="89"/>
      <c r="AN39" s="199"/>
      <c r="AO39" s="89"/>
    </row>
    <row r="40" spans="3:41" ht="15.75" customHeight="1" x14ac:dyDescent="0.25"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208"/>
      <c r="P40" s="20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M40" s="89"/>
      <c r="AN40" s="199"/>
      <c r="AO40" s="89"/>
    </row>
    <row r="41" spans="3:41" ht="15.75" customHeight="1" x14ac:dyDescent="0.25"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208"/>
      <c r="P41" s="20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M41" s="89"/>
      <c r="AN41" s="199"/>
      <c r="AO41" s="89"/>
    </row>
    <row r="42" spans="3:41" ht="15.75" customHeight="1" x14ac:dyDescent="0.25"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208"/>
      <c r="P42" s="20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M42" s="89"/>
      <c r="AN42" s="199"/>
      <c r="AO42" s="89"/>
    </row>
    <row r="43" spans="3:41" ht="15.75" customHeight="1" x14ac:dyDescent="0.25"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208"/>
      <c r="P43" s="209"/>
      <c r="Q43" s="89"/>
      <c r="R43" s="89"/>
      <c r="S43" s="89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M43" s="89"/>
      <c r="AN43" s="199"/>
      <c r="AO43" s="89"/>
    </row>
    <row r="44" spans="3:41" ht="15.75" customHeight="1" x14ac:dyDescent="0.25"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208"/>
      <c r="P44" s="209"/>
      <c r="Q44" s="89"/>
      <c r="R44" s="89"/>
      <c r="S44" s="89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M44" s="89"/>
      <c r="AN44" s="199"/>
      <c r="AO44" s="89"/>
    </row>
    <row r="45" spans="3:41" ht="15.75" customHeight="1" x14ac:dyDescent="0.25"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208"/>
      <c r="P45" s="20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M45" s="89"/>
      <c r="AN45" s="199"/>
      <c r="AO45" s="89"/>
    </row>
    <row r="46" spans="3:41" ht="15.75" customHeight="1" x14ac:dyDescent="0.25"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208"/>
      <c r="P46" s="209"/>
      <c r="Q46" s="89"/>
      <c r="R46" s="89"/>
      <c r="S46" s="89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M46" s="89"/>
      <c r="AN46" s="199"/>
      <c r="AO46" s="89"/>
    </row>
    <row r="47" spans="3:41" ht="15.75" customHeight="1" x14ac:dyDescent="0.25"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208"/>
      <c r="P47" s="20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M47" s="89"/>
      <c r="AN47" s="199"/>
      <c r="AO47" s="89"/>
    </row>
    <row r="48" spans="3:41" ht="15.75" customHeight="1" x14ac:dyDescent="0.25"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208"/>
      <c r="P48" s="20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M48" s="89"/>
      <c r="AN48" s="199"/>
      <c r="AO48" s="89"/>
    </row>
    <row r="49" spans="3:41" ht="15.75" customHeight="1" x14ac:dyDescent="0.25"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208"/>
      <c r="P49" s="20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M49" s="89"/>
      <c r="AN49" s="199"/>
      <c r="AO49" s="89"/>
    </row>
    <row r="50" spans="3:41" ht="15.75" customHeight="1" x14ac:dyDescent="0.25"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208"/>
      <c r="P50" s="20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M50" s="89"/>
      <c r="AN50" s="199"/>
      <c r="AO50" s="89"/>
    </row>
    <row r="51" spans="3:41" ht="15.75" customHeight="1" x14ac:dyDescent="0.25"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208"/>
      <c r="P51" s="209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M51" s="89"/>
      <c r="AN51" s="199"/>
      <c r="AO51" s="89"/>
    </row>
    <row r="52" spans="3:41" ht="15.75" customHeight="1" x14ac:dyDescent="0.25"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208"/>
      <c r="P52" s="209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M52" s="89"/>
      <c r="AN52" s="199"/>
      <c r="AO52" s="89"/>
    </row>
    <row r="53" spans="3:41" ht="15.75" customHeight="1" x14ac:dyDescent="0.25"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208"/>
      <c r="P53" s="209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M53" s="89"/>
      <c r="AN53" s="199"/>
      <c r="AO53" s="89"/>
    </row>
    <row r="54" spans="3:41" ht="15.75" customHeight="1" x14ac:dyDescent="0.25"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208"/>
      <c r="P54" s="20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M54" s="89"/>
      <c r="AN54" s="199"/>
      <c r="AO54" s="89"/>
    </row>
    <row r="55" spans="3:41" ht="15.75" customHeight="1" x14ac:dyDescent="0.25"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208"/>
      <c r="P55" s="20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M55" s="89"/>
      <c r="AN55" s="199"/>
      <c r="AO55" s="89"/>
    </row>
    <row r="56" spans="3:41" ht="15.75" customHeight="1" x14ac:dyDescent="0.25"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208"/>
      <c r="P56" s="209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M56" s="89"/>
      <c r="AN56" s="199"/>
      <c r="AO56" s="89"/>
    </row>
    <row r="57" spans="3:41" ht="15.75" customHeight="1" x14ac:dyDescent="0.25"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208"/>
      <c r="P57" s="20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M57" s="89"/>
      <c r="AN57" s="199"/>
      <c r="AO57" s="89"/>
    </row>
    <row r="58" spans="3:41" ht="15.75" customHeight="1" x14ac:dyDescent="0.25"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208"/>
      <c r="P58" s="20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M58" s="89"/>
      <c r="AN58" s="199"/>
      <c r="AO58" s="89"/>
    </row>
    <row r="59" spans="3:41" ht="15.75" customHeight="1" x14ac:dyDescent="0.25"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208"/>
      <c r="P59" s="20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M59" s="89"/>
      <c r="AN59" s="199"/>
      <c r="AO59" s="89"/>
    </row>
    <row r="60" spans="3:41" ht="15.75" customHeight="1" x14ac:dyDescent="0.25"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208"/>
      <c r="P60" s="20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M60" s="89"/>
      <c r="AN60" s="199"/>
      <c r="AO60" s="89"/>
    </row>
    <row r="61" spans="3:41" ht="15.75" customHeight="1" x14ac:dyDescent="0.25"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208"/>
      <c r="P61" s="20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M61" s="89"/>
      <c r="AN61" s="199"/>
      <c r="AO61" s="89"/>
    </row>
    <row r="62" spans="3:41" ht="15.75" customHeight="1" x14ac:dyDescent="0.25"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208"/>
      <c r="P62" s="20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M62" s="89"/>
      <c r="AN62" s="199"/>
      <c r="AO62" s="89"/>
    </row>
    <row r="63" spans="3:41" ht="15.75" customHeight="1" x14ac:dyDescent="0.25"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208"/>
      <c r="P63" s="20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M63" s="89"/>
      <c r="AN63" s="199"/>
      <c r="AO63" s="89"/>
    </row>
    <row r="64" spans="3:41" ht="15.75" customHeight="1" x14ac:dyDescent="0.25"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208"/>
      <c r="P64" s="20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M64" s="89"/>
      <c r="AN64" s="199"/>
      <c r="AO64" s="89"/>
    </row>
    <row r="65" spans="3:41" ht="15.75" customHeight="1" x14ac:dyDescent="0.25"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208"/>
      <c r="P65" s="20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M65" s="89"/>
      <c r="AN65" s="199"/>
      <c r="AO65" s="89"/>
    </row>
    <row r="66" spans="3:41" ht="15.75" customHeight="1" x14ac:dyDescent="0.25"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208"/>
      <c r="P66" s="209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M66" s="89"/>
      <c r="AN66" s="199"/>
      <c r="AO66" s="89"/>
    </row>
    <row r="67" spans="3:41" ht="15.75" customHeight="1" x14ac:dyDescent="0.25"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208"/>
      <c r="P67" s="209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M67" s="89"/>
      <c r="AN67" s="199"/>
      <c r="AO67" s="89"/>
    </row>
    <row r="68" spans="3:41" ht="15.75" customHeight="1" x14ac:dyDescent="0.25"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208"/>
      <c r="P68" s="20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M68" s="89"/>
      <c r="AN68" s="199"/>
      <c r="AO68" s="89"/>
    </row>
    <row r="69" spans="3:41" ht="15.75" customHeight="1" x14ac:dyDescent="0.25"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208"/>
      <c r="P69" s="20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M69" s="89"/>
      <c r="AN69" s="199"/>
      <c r="AO69" s="89"/>
    </row>
    <row r="70" spans="3:41" ht="15.75" customHeight="1" x14ac:dyDescent="0.25"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208"/>
      <c r="P70" s="20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M70" s="89"/>
      <c r="AN70" s="199"/>
      <c r="AO70" s="89"/>
    </row>
    <row r="71" spans="3:41" ht="15.75" customHeight="1" x14ac:dyDescent="0.25"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208"/>
      <c r="P71" s="209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M71" s="89"/>
      <c r="AN71" s="199"/>
      <c r="AO71" s="89"/>
    </row>
    <row r="72" spans="3:41" ht="15.75" customHeight="1" x14ac:dyDescent="0.25"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208"/>
      <c r="P72" s="209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M72" s="89"/>
      <c r="AN72" s="199"/>
      <c r="AO72" s="89"/>
    </row>
    <row r="73" spans="3:41" ht="15.75" customHeight="1" x14ac:dyDescent="0.25"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208"/>
      <c r="P73" s="209"/>
      <c r="Q73" s="89"/>
      <c r="R73" s="89"/>
      <c r="S73" s="89"/>
      <c r="T73" s="89"/>
      <c r="U73" s="89"/>
      <c r="V73" s="89"/>
      <c r="W73" s="89"/>
      <c r="X73" s="89"/>
      <c r="Y73" s="89"/>
      <c r="Z73" s="89"/>
      <c r="AA73" s="89"/>
      <c r="AB73" s="89"/>
      <c r="AC73" s="89"/>
      <c r="AD73" s="89"/>
      <c r="AE73" s="89"/>
      <c r="AF73" s="89"/>
      <c r="AM73" s="89"/>
      <c r="AN73" s="199"/>
      <c r="AO73" s="89"/>
    </row>
    <row r="74" spans="3:41" ht="15.75" customHeight="1" x14ac:dyDescent="0.25"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208"/>
      <c r="P74" s="209"/>
      <c r="Q74" s="89"/>
      <c r="R74" s="89"/>
      <c r="S74" s="89"/>
      <c r="T74" s="89"/>
      <c r="U74" s="89"/>
      <c r="V74" s="89"/>
      <c r="W74" s="89"/>
      <c r="X74" s="89"/>
      <c r="Y74" s="89"/>
      <c r="Z74" s="89"/>
      <c r="AA74" s="89"/>
      <c r="AB74" s="89"/>
      <c r="AC74" s="89"/>
      <c r="AD74" s="89"/>
      <c r="AE74" s="89"/>
      <c r="AF74" s="89"/>
      <c r="AM74" s="89"/>
      <c r="AN74" s="199"/>
      <c r="AO74" s="89"/>
    </row>
    <row r="75" spans="3:41" ht="15.75" customHeight="1" x14ac:dyDescent="0.25"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208"/>
      <c r="P75" s="20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M75" s="89"/>
      <c r="AN75" s="199"/>
      <c r="AO75" s="89"/>
    </row>
    <row r="76" spans="3:41" ht="15.75" customHeight="1" x14ac:dyDescent="0.25"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208"/>
      <c r="P76" s="209"/>
      <c r="Q76" s="89"/>
      <c r="R76" s="89"/>
      <c r="S76" s="89"/>
      <c r="T76" s="89"/>
      <c r="U76" s="89"/>
      <c r="V76" s="89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M76" s="89"/>
      <c r="AN76" s="199"/>
      <c r="AO76" s="89"/>
    </row>
    <row r="77" spans="3:41" ht="15.75" customHeight="1" x14ac:dyDescent="0.25"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208"/>
      <c r="P77" s="20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89"/>
      <c r="AB77" s="89"/>
      <c r="AC77" s="89"/>
      <c r="AD77" s="89"/>
      <c r="AE77" s="89"/>
      <c r="AF77" s="89"/>
      <c r="AM77" s="89"/>
      <c r="AN77" s="199"/>
      <c r="AO77" s="89"/>
    </row>
    <row r="78" spans="3:41" ht="15.75" customHeight="1" x14ac:dyDescent="0.25"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208"/>
      <c r="P78" s="209"/>
      <c r="Q78" s="89"/>
      <c r="R78" s="89"/>
      <c r="S78" s="89"/>
      <c r="T78" s="89"/>
      <c r="U78" s="89"/>
      <c r="V78" s="89"/>
      <c r="W78" s="89"/>
      <c r="X78" s="89"/>
      <c r="Y78" s="89"/>
      <c r="Z78" s="89"/>
      <c r="AA78" s="89"/>
      <c r="AB78" s="89"/>
      <c r="AC78" s="89"/>
      <c r="AD78" s="89"/>
      <c r="AE78" s="89"/>
      <c r="AF78" s="89"/>
      <c r="AM78" s="89"/>
      <c r="AN78" s="199"/>
      <c r="AO78" s="89"/>
    </row>
    <row r="79" spans="3:41" ht="15.75" customHeight="1" x14ac:dyDescent="0.25"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208"/>
      <c r="P79" s="20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M79" s="89"/>
      <c r="AN79" s="199"/>
      <c r="AO79" s="89"/>
    </row>
    <row r="80" spans="3:41" ht="15.75" customHeight="1" x14ac:dyDescent="0.25"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208"/>
      <c r="P80" s="20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M80" s="89"/>
      <c r="AN80" s="199"/>
      <c r="AO80" s="89"/>
    </row>
    <row r="81" spans="3:41" ht="15.75" customHeight="1" x14ac:dyDescent="0.25"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208"/>
      <c r="P81" s="20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M81" s="89"/>
      <c r="AN81" s="199"/>
      <c r="AO81" s="89"/>
    </row>
    <row r="82" spans="3:41" ht="15.75" customHeight="1" x14ac:dyDescent="0.25"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208"/>
      <c r="P82" s="20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M82" s="89"/>
      <c r="AN82" s="199"/>
      <c r="AO82" s="89"/>
    </row>
    <row r="83" spans="3:41" ht="15.75" customHeight="1" x14ac:dyDescent="0.25"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208"/>
      <c r="P83" s="20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M83" s="89"/>
      <c r="AN83" s="199"/>
      <c r="AO83" s="89"/>
    </row>
    <row r="84" spans="3:41" ht="15.75" customHeight="1" x14ac:dyDescent="0.25"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208"/>
      <c r="P84" s="20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M84" s="89"/>
      <c r="AN84" s="199"/>
      <c r="AO84" s="89"/>
    </row>
    <row r="85" spans="3:41" ht="15.75" customHeight="1" x14ac:dyDescent="0.25"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208"/>
      <c r="P85" s="20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M85" s="89"/>
      <c r="AN85" s="199"/>
      <c r="AO85" s="89"/>
    </row>
    <row r="86" spans="3:41" ht="15.75" customHeight="1" x14ac:dyDescent="0.25"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208"/>
      <c r="P86" s="20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M86" s="89"/>
      <c r="AN86" s="199"/>
      <c r="AO86" s="89"/>
    </row>
    <row r="87" spans="3:41" ht="15.75" customHeight="1" x14ac:dyDescent="0.25"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208"/>
      <c r="P87" s="20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M87" s="89"/>
      <c r="AN87" s="199"/>
      <c r="AO87" s="89"/>
    </row>
    <row r="88" spans="3:41" ht="15.75" customHeight="1" x14ac:dyDescent="0.25"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208"/>
      <c r="P88" s="20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M88" s="89"/>
      <c r="AN88" s="199"/>
      <c r="AO88" s="89"/>
    </row>
    <row r="89" spans="3:41" ht="15.75" customHeight="1" x14ac:dyDescent="0.25"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208"/>
      <c r="P89" s="20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M89" s="89"/>
      <c r="AN89" s="199"/>
      <c r="AO89" s="89"/>
    </row>
    <row r="90" spans="3:41" ht="15.75" customHeight="1" x14ac:dyDescent="0.25"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208"/>
      <c r="P90" s="20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M90" s="89"/>
      <c r="AN90" s="199"/>
      <c r="AO90" s="89"/>
    </row>
    <row r="91" spans="3:41" ht="15.75" customHeight="1" x14ac:dyDescent="0.25"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208"/>
      <c r="P91" s="20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M91" s="89"/>
      <c r="AN91" s="199"/>
      <c r="AO91" s="89"/>
    </row>
    <row r="92" spans="3:41" ht="15.75" customHeight="1" x14ac:dyDescent="0.25"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208"/>
      <c r="P92" s="20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M92" s="89"/>
      <c r="AN92" s="199"/>
      <c r="AO92" s="89"/>
    </row>
    <row r="93" spans="3:41" ht="15.75" customHeight="1" x14ac:dyDescent="0.25"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208"/>
      <c r="P93" s="20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M93" s="89"/>
      <c r="AN93" s="199"/>
      <c r="AO93" s="89"/>
    </row>
    <row r="94" spans="3:41" ht="15.75" customHeight="1" x14ac:dyDescent="0.25"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208"/>
      <c r="P94" s="20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M94" s="89"/>
      <c r="AN94" s="199"/>
      <c r="AO94" s="89"/>
    </row>
    <row r="95" spans="3:41" ht="15.75" customHeight="1" x14ac:dyDescent="0.25"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208"/>
      <c r="P95" s="20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M95" s="89"/>
      <c r="AN95" s="199"/>
      <c r="AO95" s="89"/>
    </row>
    <row r="96" spans="3:41" ht="15.75" customHeight="1" x14ac:dyDescent="0.25"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208"/>
      <c r="P96" s="20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M96" s="89"/>
      <c r="AN96" s="199"/>
      <c r="AO96" s="89"/>
    </row>
    <row r="97" spans="3:41" ht="15.75" customHeight="1" x14ac:dyDescent="0.25"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208"/>
      <c r="P97" s="20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M97" s="89"/>
      <c r="AN97" s="199"/>
      <c r="AO97" s="89"/>
    </row>
    <row r="98" spans="3:41" ht="15.75" customHeight="1" x14ac:dyDescent="0.25"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208"/>
      <c r="P98" s="20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M98" s="89"/>
      <c r="AN98" s="199"/>
      <c r="AO98" s="89"/>
    </row>
    <row r="99" spans="3:41" ht="15.75" customHeight="1" x14ac:dyDescent="0.25"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208"/>
      <c r="P99" s="20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M99" s="89"/>
      <c r="AN99" s="199"/>
      <c r="AO99" s="89"/>
    </row>
    <row r="100" spans="3:41" ht="15.75" customHeight="1" x14ac:dyDescent="0.25"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208"/>
      <c r="P100" s="20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M100" s="89"/>
      <c r="AN100" s="199"/>
      <c r="AO100" s="89"/>
    </row>
    <row r="101" spans="3:41" ht="15.75" customHeight="1" x14ac:dyDescent="0.25"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208"/>
      <c r="P101" s="20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M101" s="89"/>
      <c r="AN101" s="199"/>
      <c r="AO101" s="89"/>
    </row>
    <row r="102" spans="3:41" ht="15.75" customHeight="1" x14ac:dyDescent="0.25"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208"/>
      <c r="P102" s="20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M102" s="89"/>
      <c r="AN102" s="199"/>
      <c r="AO102" s="89"/>
    </row>
    <row r="103" spans="3:41" ht="15.75" customHeight="1" x14ac:dyDescent="0.25"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208"/>
      <c r="P103" s="20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M103" s="89"/>
      <c r="AN103" s="199"/>
      <c r="AO103" s="89"/>
    </row>
    <row r="104" spans="3:41" ht="15.75" customHeight="1" x14ac:dyDescent="0.25"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208"/>
      <c r="P104" s="20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M104" s="89"/>
      <c r="AN104" s="199"/>
      <c r="AO104" s="89"/>
    </row>
    <row r="105" spans="3:41" ht="15.75" customHeight="1" x14ac:dyDescent="0.25"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208"/>
      <c r="P105" s="20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M105" s="89"/>
      <c r="AN105" s="199"/>
      <c r="AO105" s="89"/>
    </row>
    <row r="106" spans="3:41" ht="15.75" customHeight="1" x14ac:dyDescent="0.25"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208"/>
      <c r="P106" s="20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M106" s="89"/>
      <c r="AN106" s="199"/>
      <c r="AO106" s="89"/>
    </row>
    <row r="107" spans="3:41" ht="15.75" customHeight="1" x14ac:dyDescent="0.25"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208"/>
      <c r="P107" s="20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M107" s="89"/>
      <c r="AN107" s="199"/>
      <c r="AO107" s="89"/>
    </row>
    <row r="108" spans="3:41" ht="15.75" customHeight="1" x14ac:dyDescent="0.25"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208"/>
      <c r="P108" s="20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M108" s="89"/>
      <c r="AN108" s="199"/>
      <c r="AO108" s="89"/>
    </row>
    <row r="109" spans="3:41" ht="15.75" customHeight="1" x14ac:dyDescent="0.25"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208"/>
      <c r="P109" s="20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M109" s="89"/>
      <c r="AN109" s="199"/>
      <c r="AO109" s="89"/>
    </row>
    <row r="110" spans="3:41" ht="15.75" customHeight="1" x14ac:dyDescent="0.25"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208"/>
      <c r="P110" s="20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M110" s="89"/>
      <c r="AN110" s="199"/>
      <c r="AO110" s="89"/>
    </row>
    <row r="111" spans="3:41" ht="15.75" customHeight="1" x14ac:dyDescent="0.25"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208"/>
      <c r="P111" s="20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M111" s="89"/>
      <c r="AN111" s="199"/>
      <c r="AO111" s="89"/>
    </row>
    <row r="112" spans="3:41" ht="15.75" customHeight="1" x14ac:dyDescent="0.25"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208"/>
      <c r="P112" s="20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M112" s="89"/>
      <c r="AN112" s="199"/>
      <c r="AO112" s="89"/>
    </row>
    <row r="113" spans="3:41" ht="15.75" customHeight="1" x14ac:dyDescent="0.25"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208"/>
      <c r="P113" s="20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M113" s="89"/>
      <c r="AN113" s="199"/>
      <c r="AO113" s="89"/>
    </row>
    <row r="114" spans="3:41" ht="15.75" customHeight="1" x14ac:dyDescent="0.25"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208"/>
      <c r="P114" s="20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M114" s="89"/>
      <c r="AN114" s="199"/>
      <c r="AO114" s="89"/>
    </row>
    <row r="115" spans="3:41" ht="15.75" customHeight="1" x14ac:dyDescent="0.25"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208"/>
      <c r="P115" s="20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M115" s="89"/>
      <c r="AN115" s="199"/>
      <c r="AO115" s="89"/>
    </row>
    <row r="116" spans="3:41" ht="15.75" customHeight="1" x14ac:dyDescent="0.25"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208"/>
      <c r="P116" s="20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M116" s="89"/>
      <c r="AN116" s="199"/>
      <c r="AO116" s="89"/>
    </row>
    <row r="117" spans="3:41" ht="15.75" customHeight="1" x14ac:dyDescent="0.25"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208"/>
      <c r="P117" s="20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M117" s="89"/>
      <c r="AN117" s="199"/>
      <c r="AO117" s="89"/>
    </row>
    <row r="118" spans="3:41" ht="15.75" customHeight="1" x14ac:dyDescent="0.25"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208"/>
      <c r="P118" s="20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M118" s="89"/>
      <c r="AN118" s="199"/>
      <c r="AO118" s="89"/>
    </row>
    <row r="119" spans="3:41" ht="15.75" customHeight="1" x14ac:dyDescent="0.25"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208"/>
      <c r="P119" s="20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M119" s="89"/>
      <c r="AN119" s="199"/>
      <c r="AO119" s="89"/>
    </row>
    <row r="120" spans="3:41" ht="15.75" customHeight="1" x14ac:dyDescent="0.25"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208"/>
      <c r="P120" s="20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89"/>
      <c r="AB120" s="89"/>
      <c r="AC120" s="89"/>
      <c r="AD120" s="89"/>
      <c r="AE120" s="89"/>
      <c r="AF120" s="89"/>
      <c r="AM120" s="89"/>
      <c r="AN120" s="199"/>
      <c r="AO120" s="89"/>
    </row>
    <row r="121" spans="3:41" ht="15.75" customHeight="1" x14ac:dyDescent="0.25"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208"/>
      <c r="P121" s="209"/>
      <c r="Q121" s="89"/>
      <c r="R121" s="89"/>
      <c r="S121" s="89"/>
      <c r="T121" s="89"/>
      <c r="U121" s="89"/>
      <c r="V121" s="89"/>
      <c r="W121" s="89"/>
      <c r="X121" s="89"/>
      <c r="Y121" s="89"/>
      <c r="Z121" s="89"/>
      <c r="AA121" s="89"/>
      <c r="AB121" s="89"/>
      <c r="AC121" s="89"/>
      <c r="AD121" s="89"/>
      <c r="AE121" s="89"/>
      <c r="AF121" s="89"/>
      <c r="AM121" s="89"/>
      <c r="AN121" s="199"/>
      <c r="AO121" s="89"/>
    </row>
    <row r="122" spans="3:41" ht="15.75" customHeight="1" x14ac:dyDescent="0.25"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208"/>
      <c r="P122" s="209"/>
      <c r="Q122" s="89"/>
      <c r="R122" s="89"/>
      <c r="S122" s="89"/>
      <c r="T122" s="89"/>
      <c r="U122" s="89"/>
      <c r="V122" s="89"/>
      <c r="W122" s="89"/>
      <c r="X122" s="89"/>
      <c r="Y122" s="89"/>
      <c r="Z122" s="89"/>
      <c r="AA122" s="89"/>
      <c r="AB122" s="89"/>
      <c r="AC122" s="89"/>
      <c r="AD122" s="89"/>
      <c r="AE122" s="89"/>
      <c r="AF122" s="89"/>
      <c r="AM122" s="89"/>
      <c r="AN122" s="199"/>
      <c r="AO122" s="89"/>
    </row>
    <row r="123" spans="3:41" ht="15.75" customHeight="1" x14ac:dyDescent="0.25"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208"/>
      <c r="P123" s="209"/>
      <c r="Q123" s="89"/>
      <c r="R123" s="89"/>
      <c r="S123" s="89"/>
      <c r="T123" s="89"/>
      <c r="U123" s="89"/>
      <c r="V123" s="89"/>
      <c r="W123" s="89"/>
      <c r="X123" s="89"/>
      <c r="Y123" s="89"/>
      <c r="Z123" s="89"/>
      <c r="AA123" s="89"/>
      <c r="AB123" s="89"/>
      <c r="AC123" s="89"/>
      <c r="AD123" s="89"/>
      <c r="AE123" s="89"/>
      <c r="AF123" s="89"/>
      <c r="AM123" s="89"/>
      <c r="AN123" s="199"/>
      <c r="AO123" s="89"/>
    </row>
    <row r="124" spans="3:41" ht="15.75" customHeight="1" x14ac:dyDescent="0.25"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208"/>
      <c r="P124" s="20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89"/>
      <c r="AB124" s="89"/>
      <c r="AC124" s="89"/>
      <c r="AD124" s="89"/>
      <c r="AE124" s="89"/>
      <c r="AF124" s="89"/>
      <c r="AM124" s="89"/>
      <c r="AN124" s="199"/>
      <c r="AO124" s="89"/>
    </row>
    <row r="125" spans="3:41" ht="15.75" customHeight="1" x14ac:dyDescent="0.25"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208"/>
      <c r="P125" s="20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89"/>
      <c r="AB125" s="89"/>
      <c r="AC125" s="89"/>
      <c r="AD125" s="89"/>
      <c r="AE125" s="89"/>
      <c r="AF125" s="89"/>
      <c r="AM125" s="89"/>
      <c r="AN125" s="199"/>
      <c r="AO125" s="89"/>
    </row>
    <row r="126" spans="3:41" ht="15.75" customHeight="1" x14ac:dyDescent="0.25"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208"/>
      <c r="P126" s="209"/>
      <c r="Q126" s="89"/>
      <c r="R126" s="89"/>
      <c r="S126" s="89"/>
      <c r="T126" s="89"/>
      <c r="U126" s="89"/>
      <c r="V126" s="89"/>
      <c r="W126" s="89"/>
      <c r="X126" s="89"/>
      <c r="Y126" s="89"/>
      <c r="Z126" s="89"/>
      <c r="AA126" s="89"/>
      <c r="AB126" s="89"/>
      <c r="AC126" s="89"/>
      <c r="AD126" s="89"/>
      <c r="AE126" s="89"/>
      <c r="AF126" s="89"/>
      <c r="AM126" s="89"/>
      <c r="AN126" s="199"/>
      <c r="AO126" s="89"/>
    </row>
    <row r="127" spans="3:41" ht="15.75" customHeight="1" x14ac:dyDescent="0.25"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208"/>
      <c r="P127" s="209"/>
      <c r="Q127" s="89"/>
      <c r="R127" s="89"/>
      <c r="S127" s="89"/>
      <c r="T127" s="89"/>
      <c r="U127" s="89"/>
      <c r="V127" s="89"/>
      <c r="W127" s="89"/>
      <c r="X127" s="89"/>
      <c r="Y127" s="89"/>
      <c r="Z127" s="89"/>
      <c r="AA127" s="89"/>
      <c r="AB127" s="89"/>
      <c r="AC127" s="89"/>
      <c r="AD127" s="89"/>
      <c r="AE127" s="89"/>
      <c r="AF127" s="89"/>
      <c r="AM127" s="89"/>
      <c r="AN127" s="199"/>
      <c r="AO127" s="89"/>
    </row>
    <row r="128" spans="3:41" ht="15.75" customHeight="1" x14ac:dyDescent="0.25"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208"/>
      <c r="P128" s="209"/>
      <c r="Q128" s="89"/>
      <c r="R128" s="89"/>
      <c r="S128" s="89"/>
      <c r="T128" s="89"/>
      <c r="U128" s="89"/>
      <c r="V128" s="89"/>
      <c r="W128" s="89"/>
      <c r="X128" s="89"/>
      <c r="Y128" s="89"/>
      <c r="Z128" s="89"/>
      <c r="AA128" s="89"/>
      <c r="AB128" s="89"/>
      <c r="AC128" s="89"/>
      <c r="AD128" s="89"/>
      <c r="AE128" s="89"/>
      <c r="AF128" s="89"/>
      <c r="AM128" s="89"/>
      <c r="AN128" s="199"/>
      <c r="AO128" s="89"/>
    </row>
    <row r="129" spans="3:41" ht="15.75" customHeight="1" x14ac:dyDescent="0.25"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208"/>
      <c r="P129" s="209"/>
      <c r="Q129" s="89"/>
      <c r="R129" s="89"/>
      <c r="S129" s="89"/>
      <c r="T129" s="89"/>
      <c r="U129" s="89"/>
      <c r="V129" s="89"/>
      <c r="W129" s="89"/>
      <c r="X129" s="89"/>
      <c r="Y129" s="89"/>
      <c r="Z129" s="89"/>
      <c r="AA129" s="89"/>
      <c r="AB129" s="89"/>
      <c r="AC129" s="89"/>
      <c r="AD129" s="89"/>
      <c r="AE129" s="89"/>
      <c r="AF129" s="89"/>
      <c r="AM129" s="89"/>
      <c r="AN129" s="199"/>
      <c r="AO129" s="89"/>
    </row>
    <row r="130" spans="3:41" ht="15.75" customHeight="1" x14ac:dyDescent="0.25"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208"/>
      <c r="P130" s="20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89"/>
      <c r="AB130" s="89"/>
      <c r="AC130" s="89"/>
      <c r="AD130" s="89"/>
      <c r="AE130" s="89"/>
      <c r="AF130" s="89"/>
      <c r="AM130" s="89"/>
      <c r="AN130" s="199"/>
      <c r="AO130" s="89"/>
    </row>
    <row r="131" spans="3:41" ht="15.75" customHeight="1" x14ac:dyDescent="0.25"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208"/>
      <c r="P131" s="209"/>
      <c r="Q131" s="89"/>
      <c r="R131" s="89"/>
      <c r="S131" s="89"/>
      <c r="T131" s="89"/>
      <c r="U131" s="89"/>
      <c r="V131" s="89"/>
      <c r="W131" s="89"/>
      <c r="X131" s="89"/>
      <c r="Y131" s="89"/>
      <c r="Z131" s="89"/>
      <c r="AA131" s="89"/>
      <c r="AB131" s="89"/>
      <c r="AC131" s="89"/>
      <c r="AD131" s="89"/>
      <c r="AE131" s="89"/>
      <c r="AF131" s="89"/>
      <c r="AM131" s="89"/>
      <c r="AN131" s="199"/>
      <c r="AO131" s="89"/>
    </row>
    <row r="132" spans="3:41" ht="15.75" customHeight="1" x14ac:dyDescent="0.25"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208"/>
      <c r="P132" s="209"/>
      <c r="Q132" s="89"/>
      <c r="R132" s="89"/>
      <c r="S132" s="89"/>
      <c r="T132" s="89"/>
      <c r="U132" s="89"/>
      <c r="V132" s="89"/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M132" s="89"/>
      <c r="AN132" s="199"/>
      <c r="AO132" s="89"/>
    </row>
    <row r="133" spans="3:41" ht="15.75" customHeight="1" x14ac:dyDescent="0.25"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208"/>
      <c r="P133" s="209"/>
      <c r="Q133" s="89"/>
      <c r="R133" s="89"/>
      <c r="S133" s="89"/>
      <c r="T133" s="89"/>
      <c r="U133" s="89"/>
      <c r="V133" s="89"/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M133" s="89"/>
      <c r="AN133" s="199"/>
      <c r="AO133" s="89"/>
    </row>
    <row r="134" spans="3:41" ht="15.75" customHeight="1" x14ac:dyDescent="0.25"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208"/>
      <c r="P134" s="209"/>
      <c r="Q134" s="89"/>
      <c r="R134" s="89"/>
      <c r="S134" s="89"/>
      <c r="T134" s="89"/>
      <c r="U134" s="89"/>
      <c r="V134" s="89"/>
      <c r="W134" s="89"/>
      <c r="X134" s="89"/>
      <c r="Y134" s="89"/>
      <c r="Z134" s="89"/>
      <c r="AA134" s="89"/>
      <c r="AB134" s="89"/>
      <c r="AC134" s="89"/>
      <c r="AD134" s="89"/>
      <c r="AE134" s="89"/>
      <c r="AF134" s="89"/>
      <c r="AM134" s="89"/>
      <c r="AN134" s="199"/>
      <c r="AO134" s="89"/>
    </row>
    <row r="135" spans="3:41" ht="15.75" customHeight="1" x14ac:dyDescent="0.25"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208"/>
      <c r="P135" s="20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89"/>
      <c r="AB135" s="89"/>
      <c r="AC135" s="89"/>
      <c r="AD135" s="89"/>
      <c r="AE135" s="89"/>
      <c r="AF135" s="89"/>
      <c r="AM135" s="89"/>
      <c r="AN135" s="199"/>
      <c r="AO135" s="89"/>
    </row>
    <row r="136" spans="3:41" ht="15.75" customHeight="1" x14ac:dyDescent="0.25"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208"/>
      <c r="P136" s="209"/>
      <c r="Q136" s="89"/>
      <c r="R136" s="89"/>
      <c r="S136" s="89"/>
      <c r="T136" s="89"/>
      <c r="U136" s="89"/>
      <c r="V136" s="89"/>
      <c r="W136" s="89"/>
      <c r="X136" s="89"/>
      <c r="Y136" s="89"/>
      <c r="Z136" s="89"/>
      <c r="AA136" s="89"/>
      <c r="AB136" s="89"/>
      <c r="AC136" s="89"/>
      <c r="AD136" s="89"/>
      <c r="AE136" s="89"/>
      <c r="AF136" s="89"/>
      <c r="AM136" s="89"/>
      <c r="AN136" s="199"/>
      <c r="AO136" s="89"/>
    </row>
    <row r="137" spans="3:41" ht="15.75" customHeight="1" x14ac:dyDescent="0.25"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208"/>
      <c r="P137" s="209"/>
      <c r="Q137" s="89"/>
      <c r="R137" s="89"/>
      <c r="S137" s="89"/>
      <c r="T137" s="89"/>
      <c r="U137" s="89"/>
      <c r="V137" s="89"/>
      <c r="W137" s="89"/>
      <c r="X137" s="89"/>
      <c r="Y137" s="89"/>
      <c r="Z137" s="89"/>
      <c r="AA137" s="89"/>
      <c r="AB137" s="89"/>
      <c r="AC137" s="89"/>
      <c r="AD137" s="89"/>
      <c r="AE137" s="89"/>
      <c r="AF137" s="89"/>
      <c r="AM137" s="89"/>
      <c r="AN137" s="199"/>
      <c r="AO137" s="89"/>
    </row>
    <row r="138" spans="3:41" ht="15.75" customHeight="1" x14ac:dyDescent="0.25"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208"/>
      <c r="P138" s="209"/>
      <c r="Q138" s="89"/>
      <c r="R138" s="89"/>
      <c r="S138" s="89"/>
      <c r="T138" s="89"/>
      <c r="U138" s="89"/>
      <c r="V138" s="89"/>
      <c r="W138" s="89"/>
      <c r="X138" s="89"/>
      <c r="Y138" s="89"/>
      <c r="Z138" s="89"/>
      <c r="AA138" s="89"/>
      <c r="AB138" s="89"/>
      <c r="AC138" s="89"/>
      <c r="AD138" s="89"/>
      <c r="AE138" s="89"/>
      <c r="AF138" s="89"/>
      <c r="AM138" s="89"/>
      <c r="AN138" s="199"/>
      <c r="AO138" s="89"/>
    </row>
    <row r="139" spans="3:41" ht="15.75" customHeight="1" x14ac:dyDescent="0.25"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208"/>
      <c r="P139" s="209"/>
      <c r="Q139" s="89"/>
      <c r="R139" s="89"/>
      <c r="S139" s="89"/>
      <c r="T139" s="89"/>
      <c r="U139" s="89"/>
      <c r="V139" s="89"/>
      <c r="W139" s="89"/>
      <c r="X139" s="89"/>
      <c r="Y139" s="89"/>
      <c r="Z139" s="89"/>
      <c r="AA139" s="89"/>
      <c r="AB139" s="89"/>
      <c r="AC139" s="89"/>
      <c r="AD139" s="89"/>
      <c r="AE139" s="89"/>
      <c r="AF139" s="89"/>
      <c r="AM139" s="89"/>
      <c r="AN139" s="199"/>
      <c r="AO139" s="89"/>
    </row>
    <row r="140" spans="3:41" ht="15.75" customHeight="1" x14ac:dyDescent="0.25"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208"/>
      <c r="P140" s="20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89"/>
      <c r="AB140" s="89"/>
      <c r="AC140" s="89"/>
      <c r="AD140" s="89"/>
      <c r="AE140" s="89"/>
      <c r="AF140" s="89"/>
      <c r="AM140" s="89"/>
      <c r="AN140" s="199"/>
      <c r="AO140" s="89"/>
    </row>
    <row r="141" spans="3:41" ht="15.75" customHeight="1" x14ac:dyDescent="0.25"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208"/>
      <c r="P141" s="20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89"/>
      <c r="AB141" s="89"/>
      <c r="AC141" s="89"/>
      <c r="AD141" s="89"/>
      <c r="AE141" s="89"/>
      <c r="AF141" s="89"/>
      <c r="AM141" s="89"/>
      <c r="AN141" s="199"/>
      <c r="AO141" s="89"/>
    </row>
    <row r="142" spans="3:41" ht="15.75" customHeight="1" x14ac:dyDescent="0.25"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208"/>
      <c r="P142" s="209"/>
      <c r="Q142" s="89"/>
      <c r="R142" s="89"/>
      <c r="S142" s="89"/>
      <c r="T142" s="89"/>
      <c r="U142" s="89"/>
      <c r="V142" s="89"/>
      <c r="W142" s="89"/>
      <c r="X142" s="89"/>
      <c r="Y142" s="89"/>
      <c r="Z142" s="89"/>
      <c r="AA142" s="89"/>
      <c r="AB142" s="89"/>
      <c r="AC142" s="89"/>
      <c r="AD142" s="89"/>
      <c r="AE142" s="89"/>
      <c r="AF142" s="89"/>
      <c r="AM142" s="89"/>
      <c r="AN142" s="199"/>
      <c r="AO142" s="89"/>
    </row>
    <row r="143" spans="3:41" ht="15.75" customHeight="1" x14ac:dyDescent="0.25"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208"/>
      <c r="P143" s="209"/>
      <c r="Q143" s="89"/>
      <c r="R143" s="89"/>
      <c r="S143" s="89"/>
      <c r="T143" s="89"/>
      <c r="U143" s="89"/>
      <c r="V143" s="89"/>
      <c r="W143" s="89"/>
      <c r="X143" s="89"/>
      <c r="Y143" s="89"/>
      <c r="Z143" s="89"/>
      <c r="AA143" s="89"/>
      <c r="AB143" s="89"/>
      <c r="AC143" s="89"/>
      <c r="AD143" s="89"/>
      <c r="AE143" s="89"/>
      <c r="AF143" s="89"/>
      <c r="AM143" s="89"/>
      <c r="AN143" s="199"/>
      <c r="AO143" s="89"/>
    </row>
    <row r="144" spans="3:41" ht="15.75" customHeight="1" x14ac:dyDescent="0.25"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208"/>
      <c r="P144" s="209"/>
      <c r="Q144" s="89"/>
      <c r="R144" s="89"/>
      <c r="S144" s="89"/>
      <c r="T144" s="89"/>
      <c r="U144" s="89"/>
      <c r="V144" s="89"/>
      <c r="W144" s="89"/>
      <c r="X144" s="89"/>
      <c r="Y144" s="89"/>
      <c r="Z144" s="89"/>
      <c r="AA144" s="89"/>
      <c r="AB144" s="89"/>
      <c r="AC144" s="89"/>
      <c r="AD144" s="89"/>
      <c r="AE144" s="89"/>
      <c r="AF144" s="89"/>
      <c r="AM144" s="89"/>
      <c r="AN144" s="199"/>
      <c r="AO144" s="89"/>
    </row>
    <row r="145" spans="3:41" ht="15.75" customHeight="1" x14ac:dyDescent="0.25"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208"/>
      <c r="P145" s="209"/>
      <c r="Q145" s="89"/>
      <c r="R145" s="89"/>
      <c r="S145" s="89"/>
      <c r="T145" s="89"/>
      <c r="U145" s="89"/>
      <c r="V145" s="89"/>
      <c r="W145" s="89"/>
      <c r="X145" s="89"/>
      <c r="Y145" s="89"/>
      <c r="Z145" s="89"/>
      <c r="AA145" s="89"/>
      <c r="AB145" s="89"/>
      <c r="AC145" s="89"/>
      <c r="AD145" s="89"/>
      <c r="AE145" s="89"/>
      <c r="AF145" s="89"/>
      <c r="AM145" s="89"/>
      <c r="AN145" s="199"/>
      <c r="AO145" s="89"/>
    </row>
    <row r="146" spans="3:41" ht="15.75" customHeight="1" x14ac:dyDescent="0.25"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208"/>
      <c r="P146" s="20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89"/>
      <c r="AB146" s="89"/>
      <c r="AC146" s="89"/>
      <c r="AD146" s="89"/>
      <c r="AE146" s="89"/>
      <c r="AF146" s="89"/>
      <c r="AM146" s="89"/>
      <c r="AN146" s="199"/>
      <c r="AO146" s="89"/>
    </row>
    <row r="147" spans="3:41" ht="15.75" customHeight="1" x14ac:dyDescent="0.25"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208"/>
      <c r="P147" s="209"/>
      <c r="Q147" s="89"/>
      <c r="R147" s="89"/>
      <c r="S147" s="89"/>
      <c r="T147" s="89"/>
      <c r="U147" s="89"/>
      <c r="V147" s="89"/>
      <c r="W147" s="89"/>
      <c r="X147" s="89"/>
      <c r="Y147" s="89"/>
      <c r="Z147" s="89"/>
      <c r="AA147" s="89"/>
      <c r="AB147" s="89"/>
      <c r="AC147" s="89"/>
      <c r="AD147" s="89"/>
      <c r="AE147" s="89"/>
      <c r="AF147" s="89"/>
      <c r="AM147" s="89"/>
      <c r="AN147" s="199"/>
      <c r="AO147" s="89"/>
    </row>
    <row r="148" spans="3:41" ht="15.75" customHeight="1" x14ac:dyDescent="0.25"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208"/>
      <c r="P148" s="209"/>
      <c r="Q148" s="89"/>
      <c r="R148" s="89"/>
      <c r="S148" s="89"/>
      <c r="T148" s="89"/>
      <c r="U148" s="89"/>
      <c r="V148" s="89"/>
      <c r="W148" s="89"/>
      <c r="X148" s="89"/>
      <c r="Y148" s="89"/>
      <c r="Z148" s="89"/>
      <c r="AA148" s="89"/>
      <c r="AB148" s="89"/>
      <c r="AC148" s="89"/>
      <c r="AD148" s="89"/>
      <c r="AE148" s="89"/>
      <c r="AF148" s="89"/>
      <c r="AM148" s="89"/>
      <c r="AN148" s="199"/>
      <c r="AO148" s="89"/>
    </row>
    <row r="149" spans="3:41" ht="15.75" customHeight="1" x14ac:dyDescent="0.25"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208"/>
      <c r="P149" s="209"/>
      <c r="Q149" s="89"/>
      <c r="R149" s="89"/>
      <c r="S149" s="89"/>
      <c r="T149" s="89"/>
      <c r="U149" s="89"/>
      <c r="V149" s="89"/>
      <c r="W149" s="89"/>
      <c r="X149" s="89"/>
      <c r="Y149" s="89"/>
      <c r="Z149" s="89"/>
      <c r="AA149" s="89"/>
      <c r="AB149" s="89"/>
      <c r="AC149" s="89"/>
      <c r="AD149" s="89"/>
      <c r="AE149" s="89"/>
      <c r="AF149" s="89"/>
      <c r="AM149" s="89"/>
      <c r="AN149" s="199"/>
      <c r="AO149" s="89"/>
    </row>
    <row r="150" spans="3:41" ht="15.75" customHeight="1" x14ac:dyDescent="0.25"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208"/>
      <c r="P150" s="209"/>
      <c r="Q150" s="89"/>
      <c r="R150" s="89"/>
      <c r="S150" s="89"/>
      <c r="T150" s="89"/>
      <c r="U150" s="89"/>
      <c r="V150" s="89"/>
      <c r="W150" s="89"/>
      <c r="X150" s="89"/>
      <c r="Y150" s="89"/>
      <c r="Z150" s="89"/>
      <c r="AA150" s="89"/>
      <c r="AB150" s="89"/>
      <c r="AC150" s="89"/>
      <c r="AD150" s="89"/>
      <c r="AE150" s="89"/>
      <c r="AF150" s="89"/>
      <c r="AM150" s="89"/>
      <c r="AN150" s="199"/>
      <c r="AO150" s="89"/>
    </row>
    <row r="151" spans="3:41" ht="15.75" customHeight="1" x14ac:dyDescent="0.25"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208"/>
      <c r="P151" s="209"/>
      <c r="Q151" s="89"/>
      <c r="R151" s="89"/>
      <c r="S151" s="89"/>
      <c r="T151" s="89"/>
      <c r="U151" s="89"/>
      <c r="V151" s="89"/>
      <c r="W151" s="89"/>
      <c r="X151" s="89"/>
      <c r="Y151" s="89"/>
      <c r="Z151" s="89"/>
      <c r="AA151" s="89"/>
      <c r="AB151" s="89"/>
      <c r="AC151" s="89"/>
      <c r="AD151" s="89"/>
      <c r="AE151" s="89"/>
      <c r="AF151" s="89"/>
      <c r="AM151" s="89"/>
      <c r="AN151" s="199"/>
      <c r="AO151" s="89"/>
    </row>
    <row r="152" spans="3:41" ht="15.75" customHeight="1" x14ac:dyDescent="0.25"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208"/>
      <c r="P152" s="209"/>
      <c r="Q152" s="89"/>
      <c r="R152" s="89"/>
      <c r="S152" s="89"/>
      <c r="T152" s="89"/>
      <c r="U152" s="89"/>
      <c r="V152" s="89"/>
      <c r="W152" s="89"/>
      <c r="X152" s="89"/>
      <c r="Y152" s="89"/>
      <c r="Z152" s="89"/>
      <c r="AA152" s="89"/>
      <c r="AB152" s="89"/>
      <c r="AC152" s="89"/>
      <c r="AD152" s="89"/>
      <c r="AE152" s="89"/>
      <c r="AF152" s="89"/>
      <c r="AM152" s="89"/>
      <c r="AN152" s="199"/>
      <c r="AO152" s="89"/>
    </row>
    <row r="153" spans="3:41" ht="15.75" customHeight="1" x14ac:dyDescent="0.25"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208"/>
      <c r="P153" s="209"/>
      <c r="Q153" s="89"/>
      <c r="R153" s="89"/>
      <c r="S153" s="89"/>
      <c r="T153" s="89"/>
      <c r="U153" s="89"/>
      <c r="V153" s="89"/>
      <c r="W153" s="89"/>
      <c r="X153" s="89"/>
      <c r="Y153" s="89"/>
      <c r="Z153" s="89"/>
      <c r="AA153" s="89"/>
      <c r="AB153" s="89"/>
      <c r="AC153" s="89"/>
      <c r="AD153" s="89"/>
      <c r="AE153" s="89"/>
      <c r="AF153" s="89"/>
      <c r="AM153" s="89"/>
      <c r="AN153" s="199"/>
      <c r="AO153" s="89"/>
    </row>
    <row r="154" spans="3:41" ht="15.75" customHeight="1" x14ac:dyDescent="0.25"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208"/>
      <c r="P154" s="209"/>
      <c r="Q154" s="89"/>
      <c r="R154" s="89"/>
      <c r="S154" s="89"/>
      <c r="T154" s="89"/>
      <c r="U154" s="89"/>
      <c r="V154" s="89"/>
      <c r="W154" s="89"/>
      <c r="X154" s="89"/>
      <c r="Y154" s="89"/>
      <c r="Z154" s="89"/>
      <c r="AA154" s="89"/>
      <c r="AB154" s="89"/>
      <c r="AC154" s="89"/>
      <c r="AD154" s="89"/>
      <c r="AE154" s="89"/>
      <c r="AF154" s="89"/>
      <c r="AM154" s="89"/>
      <c r="AN154" s="199"/>
      <c r="AO154" s="89"/>
    </row>
    <row r="155" spans="3:41" ht="15.75" customHeight="1" x14ac:dyDescent="0.25"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208"/>
      <c r="P155" s="20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M155" s="89"/>
      <c r="AN155" s="199"/>
      <c r="AO155" s="89"/>
    </row>
    <row r="156" spans="3:41" ht="15.75" customHeight="1" x14ac:dyDescent="0.25"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208"/>
      <c r="P156" s="209"/>
      <c r="Q156" s="89"/>
      <c r="R156" s="89"/>
      <c r="S156" s="89"/>
      <c r="T156" s="89"/>
      <c r="U156" s="89"/>
      <c r="V156" s="89"/>
      <c r="W156" s="89"/>
      <c r="X156" s="89"/>
      <c r="Y156" s="89"/>
      <c r="Z156" s="89"/>
      <c r="AA156" s="89"/>
      <c r="AB156" s="89"/>
      <c r="AC156" s="89"/>
      <c r="AD156" s="89"/>
      <c r="AE156" s="89"/>
      <c r="AF156" s="89"/>
      <c r="AM156" s="89"/>
      <c r="AN156" s="199"/>
      <c r="AO156" s="89"/>
    </row>
    <row r="157" spans="3:41" ht="15.75" customHeight="1" x14ac:dyDescent="0.25"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208"/>
      <c r="P157" s="209"/>
      <c r="Q157" s="89"/>
      <c r="R157" s="89"/>
      <c r="S157" s="89"/>
      <c r="T157" s="89"/>
      <c r="U157" s="89"/>
      <c r="V157" s="89"/>
      <c r="W157" s="89"/>
      <c r="X157" s="89"/>
      <c r="Y157" s="89"/>
      <c r="Z157" s="89"/>
      <c r="AA157" s="89"/>
      <c r="AB157" s="89"/>
      <c r="AC157" s="89"/>
      <c r="AD157" s="89"/>
      <c r="AE157" s="89"/>
      <c r="AF157" s="89"/>
      <c r="AM157" s="89"/>
      <c r="AN157" s="199"/>
      <c r="AO157" s="89"/>
    </row>
    <row r="158" spans="3:41" ht="15.75" customHeight="1" x14ac:dyDescent="0.25"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208"/>
      <c r="P158" s="209"/>
      <c r="Q158" s="89"/>
      <c r="R158" s="89"/>
      <c r="S158" s="89"/>
      <c r="T158" s="89"/>
      <c r="U158" s="89"/>
      <c r="V158" s="89"/>
      <c r="W158" s="89"/>
      <c r="X158" s="89"/>
      <c r="Y158" s="89"/>
      <c r="Z158" s="89"/>
      <c r="AA158" s="89"/>
      <c r="AB158" s="89"/>
      <c r="AC158" s="89"/>
      <c r="AD158" s="89"/>
      <c r="AE158" s="89"/>
      <c r="AF158" s="89"/>
      <c r="AM158" s="89"/>
      <c r="AN158" s="199"/>
      <c r="AO158" s="89"/>
    </row>
    <row r="159" spans="3:41" ht="15.75" customHeight="1" x14ac:dyDescent="0.25"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208"/>
      <c r="P159" s="209"/>
      <c r="Q159" s="89"/>
      <c r="R159" s="89"/>
      <c r="S159" s="89"/>
      <c r="T159" s="89"/>
      <c r="U159" s="89"/>
      <c r="V159" s="89"/>
      <c r="W159" s="89"/>
      <c r="X159" s="89"/>
      <c r="Y159" s="89"/>
      <c r="Z159" s="89"/>
      <c r="AA159" s="89"/>
      <c r="AB159" s="89"/>
      <c r="AC159" s="89"/>
      <c r="AD159" s="89"/>
      <c r="AE159" s="89"/>
      <c r="AF159" s="89"/>
      <c r="AM159" s="89"/>
      <c r="AN159" s="199"/>
      <c r="AO159" s="89"/>
    </row>
    <row r="160" spans="3:41" ht="15.75" customHeight="1" x14ac:dyDescent="0.25"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208"/>
      <c r="P160" s="20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89"/>
      <c r="AB160" s="89"/>
      <c r="AC160" s="89"/>
      <c r="AD160" s="89"/>
      <c r="AE160" s="89"/>
      <c r="AF160" s="89"/>
      <c r="AM160" s="89"/>
      <c r="AN160" s="199"/>
      <c r="AO160" s="89"/>
    </row>
    <row r="161" spans="3:41" ht="15.75" customHeight="1" x14ac:dyDescent="0.25"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208"/>
      <c r="P161" s="20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M161" s="89"/>
      <c r="AN161" s="199"/>
      <c r="AO161" s="89"/>
    </row>
    <row r="162" spans="3:41" ht="15.75" customHeight="1" x14ac:dyDescent="0.25"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208"/>
      <c r="P162" s="209"/>
      <c r="Q162" s="89"/>
      <c r="R162" s="89"/>
      <c r="S162" s="89"/>
      <c r="T162" s="89"/>
      <c r="U162" s="89"/>
      <c r="V162" s="89"/>
      <c r="W162" s="89"/>
      <c r="X162" s="89"/>
      <c r="Y162" s="89"/>
      <c r="Z162" s="89"/>
      <c r="AA162" s="89"/>
      <c r="AB162" s="89"/>
      <c r="AC162" s="89"/>
      <c r="AD162" s="89"/>
      <c r="AE162" s="89"/>
      <c r="AF162" s="89"/>
      <c r="AM162" s="89"/>
      <c r="AN162" s="199"/>
      <c r="AO162" s="89"/>
    </row>
    <row r="163" spans="3:41" ht="15.75" customHeight="1" x14ac:dyDescent="0.25"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208"/>
      <c r="P163" s="209"/>
      <c r="Q163" s="89"/>
      <c r="R163" s="89"/>
      <c r="S163" s="89"/>
      <c r="T163" s="89"/>
      <c r="U163" s="89"/>
      <c r="V163" s="89"/>
      <c r="W163" s="89"/>
      <c r="X163" s="89"/>
      <c r="Y163" s="89"/>
      <c r="Z163" s="89"/>
      <c r="AA163" s="89"/>
      <c r="AB163" s="89"/>
      <c r="AC163" s="89"/>
      <c r="AD163" s="89"/>
      <c r="AE163" s="89"/>
      <c r="AF163" s="89"/>
      <c r="AM163" s="89"/>
      <c r="AN163" s="199"/>
      <c r="AO163" s="89"/>
    </row>
    <row r="164" spans="3:41" ht="15.75" customHeight="1" x14ac:dyDescent="0.25"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208"/>
      <c r="P164" s="20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M164" s="89"/>
      <c r="AN164" s="199"/>
      <c r="AO164" s="89"/>
    </row>
    <row r="165" spans="3:41" ht="15.75" customHeight="1" x14ac:dyDescent="0.25"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208"/>
      <c r="P165" s="20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89"/>
      <c r="AB165" s="89"/>
      <c r="AC165" s="89"/>
      <c r="AD165" s="89"/>
      <c r="AE165" s="89"/>
      <c r="AF165" s="89"/>
      <c r="AM165" s="89"/>
      <c r="AN165" s="199"/>
      <c r="AO165" s="89"/>
    </row>
    <row r="166" spans="3:41" ht="15.75" customHeight="1" x14ac:dyDescent="0.25"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208"/>
      <c r="P166" s="209"/>
      <c r="Q166" s="89"/>
      <c r="R166" s="89"/>
      <c r="S166" s="89"/>
      <c r="T166" s="89"/>
      <c r="U166" s="89"/>
      <c r="V166" s="89"/>
      <c r="W166" s="89"/>
      <c r="X166" s="89"/>
      <c r="Y166" s="89"/>
      <c r="Z166" s="89"/>
      <c r="AA166" s="89"/>
      <c r="AB166" s="89"/>
      <c r="AC166" s="89"/>
      <c r="AD166" s="89"/>
      <c r="AE166" s="89"/>
      <c r="AF166" s="89"/>
      <c r="AM166" s="89"/>
      <c r="AN166" s="199"/>
      <c r="AO166" s="89"/>
    </row>
    <row r="167" spans="3:41" ht="15.75" customHeight="1" x14ac:dyDescent="0.25"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208"/>
      <c r="P167" s="209"/>
      <c r="Q167" s="89"/>
      <c r="R167" s="89"/>
      <c r="S167" s="89"/>
      <c r="T167" s="89"/>
      <c r="U167" s="89"/>
      <c r="V167" s="89"/>
      <c r="W167" s="89"/>
      <c r="X167" s="89"/>
      <c r="Y167" s="89"/>
      <c r="Z167" s="89"/>
      <c r="AA167" s="89"/>
      <c r="AB167" s="89"/>
      <c r="AC167" s="89"/>
      <c r="AD167" s="89"/>
      <c r="AE167" s="89"/>
      <c r="AF167" s="89"/>
      <c r="AM167" s="89"/>
      <c r="AN167" s="199"/>
      <c r="AO167" s="89"/>
    </row>
    <row r="168" spans="3:41" ht="15.75" customHeight="1" x14ac:dyDescent="0.25"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208"/>
      <c r="P168" s="209"/>
      <c r="Q168" s="89"/>
      <c r="R168" s="89"/>
      <c r="S168" s="89"/>
      <c r="T168" s="89"/>
      <c r="U168" s="89"/>
      <c r="V168" s="89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M168" s="89"/>
      <c r="AN168" s="199"/>
      <c r="AO168" s="89"/>
    </row>
    <row r="169" spans="3:41" ht="15.75" customHeight="1" x14ac:dyDescent="0.25"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208"/>
      <c r="P169" s="209"/>
      <c r="Q169" s="89"/>
      <c r="R169" s="89"/>
      <c r="S169" s="89"/>
      <c r="T169" s="89"/>
      <c r="U169" s="89"/>
      <c r="V169" s="89"/>
      <c r="W169" s="89"/>
      <c r="X169" s="89"/>
      <c r="Y169" s="89"/>
      <c r="Z169" s="89"/>
      <c r="AA169" s="89"/>
      <c r="AB169" s="89"/>
      <c r="AC169" s="89"/>
      <c r="AD169" s="89"/>
      <c r="AE169" s="89"/>
      <c r="AF169" s="89"/>
      <c r="AM169" s="89"/>
      <c r="AN169" s="199"/>
      <c r="AO169" s="89"/>
    </row>
    <row r="170" spans="3:41" ht="15.75" customHeight="1" x14ac:dyDescent="0.25"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208"/>
      <c r="P170" s="209"/>
      <c r="Q170" s="89"/>
      <c r="R170" s="89"/>
      <c r="S170" s="89"/>
      <c r="T170" s="89"/>
      <c r="U170" s="89"/>
      <c r="V170" s="89"/>
      <c r="W170" s="89"/>
      <c r="X170" s="89"/>
      <c r="Y170" s="89"/>
      <c r="Z170" s="89"/>
      <c r="AA170" s="89"/>
      <c r="AB170" s="89"/>
      <c r="AC170" s="89"/>
      <c r="AD170" s="89"/>
      <c r="AE170" s="89"/>
      <c r="AF170" s="89"/>
      <c r="AM170" s="89"/>
      <c r="AN170" s="199"/>
      <c r="AO170" s="89"/>
    </row>
    <row r="171" spans="3:41" ht="15.75" customHeight="1" x14ac:dyDescent="0.25"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208"/>
      <c r="P171" s="209"/>
      <c r="Q171" s="89"/>
      <c r="R171" s="89"/>
      <c r="S171" s="89"/>
      <c r="T171" s="89"/>
      <c r="U171" s="89"/>
      <c r="V171" s="89"/>
      <c r="W171" s="89"/>
      <c r="X171" s="89"/>
      <c r="Y171" s="89"/>
      <c r="Z171" s="89"/>
      <c r="AA171" s="89"/>
      <c r="AB171" s="89"/>
      <c r="AC171" s="89"/>
      <c r="AD171" s="89"/>
      <c r="AE171" s="89"/>
      <c r="AF171" s="89"/>
      <c r="AM171" s="89"/>
      <c r="AN171" s="199"/>
      <c r="AO171" s="89"/>
    </row>
    <row r="172" spans="3:41" ht="15.75" customHeight="1" x14ac:dyDescent="0.25"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208"/>
      <c r="P172" s="20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M172" s="89"/>
      <c r="AN172" s="199"/>
      <c r="AO172" s="89"/>
    </row>
    <row r="173" spans="3:41" ht="15.75" customHeight="1" x14ac:dyDescent="0.25"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208"/>
      <c r="P173" s="209"/>
      <c r="Q173" s="89"/>
      <c r="R173" s="89"/>
      <c r="S173" s="89"/>
      <c r="T173" s="89"/>
      <c r="U173" s="89"/>
      <c r="V173" s="89"/>
      <c r="W173" s="89"/>
      <c r="X173" s="89"/>
      <c r="Y173" s="89"/>
      <c r="Z173" s="89"/>
      <c r="AA173" s="89"/>
      <c r="AB173" s="89"/>
      <c r="AC173" s="89"/>
      <c r="AD173" s="89"/>
      <c r="AE173" s="89"/>
      <c r="AF173" s="89"/>
      <c r="AM173" s="89"/>
      <c r="AN173" s="199"/>
      <c r="AO173" s="89"/>
    </row>
    <row r="174" spans="3:41" ht="15.75" customHeight="1" x14ac:dyDescent="0.25"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208"/>
      <c r="P174" s="209"/>
      <c r="Q174" s="89"/>
      <c r="R174" s="89"/>
      <c r="S174" s="89"/>
      <c r="T174" s="89"/>
      <c r="U174" s="89"/>
      <c r="V174" s="89"/>
      <c r="W174" s="89"/>
      <c r="X174" s="89"/>
      <c r="Y174" s="89"/>
      <c r="Z174" s="89"/>
      <c r="AA174" s="89"/>
      <c r="AB174" s="89"/>
      <c r="AC174" s="89"/>
      <c r="AD174" s="89"/>
      <c r="AE174" s="89"/>
      <c r="AF174" s="89"/>
      <c r="AM174" s="89"/>
      <c r="AN174" s="199"/>
      <c r="AO174" s="89"/>
    </row>
    <row r="175" spans="3:41" ht="15.75" customHeight="1" x14ac:dyDescent="0.25"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208"/>
      <c r="P175" s="209"/>
      <c r="Q175" s="89"/>
      <c r="R175" s="89"/>
      <c r="S175" s="89"/>
      <c r="T175" s="89"/>
      <c r="U175" s="89"/>
      <c r="V175" s="89"/>
      <c r="W175" s="89"/>
      <c r="X175" s="89"/>
      <c r="Y175" s="89"/>
      <c r="Z175" s="89"/>
      <c r="AA175" s="89"/>
      <c r="AB175" s="89"/>
      <c r="AC175" s="89"/>
      <c r="AD175" s="89"/>
      <c r="AE175" s="89"/>
      <c r="AF175" s="89"/>
      <c r="AM175" s="89"/>
      <c r="AN175" s="199"/>
      <c r="AO175" s="89"/>
    </row>
    <row r="176" spans="3:41" ht="15.75" customHeight="1" x14ac:dyDescent="0.25"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208"/>
      <c r="P176" s="209"/>
      <c r="Q176" s="89"/>
      <c r="R176" s="89"/>
      <c r="S176" s="89"/>
      <c r="T176" s="89"/>
      <c r="U176" s="89"/>
      <c r="V176" s="89"/>
      <c r="W176" s="89"/>
      <c r="X176" s="89"/>
      <c r="Y176" s="89"/>
      <c r="Z176" s="89"/>
      <c r="AA176" s="89"/>
      <c r="AB176" s="89"/>
      <c r="AC176" s="89"/>
      <c r="AD176" s="89"/>
      <c r="AE176" s="89"/>
      <c r="AF176" s="89"/>
      <c r="AM176" s="89"/>
      <c r="AN176" s="199"/>
      <c r="AO176" s="89"/>
    </row>
    <row r="177" spans="3:41" ht="15.75" customHeight="1" x14ac:dyDescent="0.25"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208"/>
      <c r="P177" s="209"/>
      <c r="Q177" s="89"/>
      <c r="R177" s="89"/>
      <c r="S177" s="89"/>
      <c r="T177" s="89"/>
      <c r="U177" s="89"/>
      <c r="V177" s="89"/>
      <c r="W177" s="89"/>
      <c r="X177" s="89"/>
      <c r="Y177" s="89"/>
      <c r="Z177" s="89"/>
      <c r="AA177" s="89"/>
      <c r="AB177" s="89"/>
      <c r="AC177" s="89"/>
      <c r="AD177" s="89"/>
      <c r="AE177" s="89"/>
      <c r="AF177" s="89"/>
      <c r="AM177" s="89"/>
      <c r="AN177" s="199"/>
      <c r="AO177" s="89"/>
    </row>
    <row r="178" spans="3:41" ht="15.75" customHeight="1" x14ac:dyDescent="0.25"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208"/>
      <c r="P178" s="209"/>
      <c r="Q178" s="89"/>
      <c r="R178" s="89"/>
      <c r="S178" s="89"/>
      <c r="T178" s="89"/>
      <c r="U178" s="89"/>
      <c r="V178" s="89"/>
      <c r="W178" s="89"/>
      <c r="X178" s="89"/>
      <c r="Y178" s="89"/>
      <c r="Z178" s="89"/>
      <c r="AA178" s="89"/>
      <c r="AB178" s="89"/>
      <c r="AC178" s="89"/>
      <c r="AD178" s="89"/>
      <c r="AE178" s="89"/>
      <c r="AF178" s="89"/>
      <c r="AM178" s="89"/>
      <c r="AN178" s="199"/>
      <c r="AO178" s="89"/>
    </row>
    <row r="179" spans="3:41" ht="15.75" customHeight="1" x14ac:dyDescent="0.25"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208"/>
      <c r="P179" s="209"/>
      <c r="Q179" s="89"/>
      <c r="R179" s="89"/>
      <c r="S179" s="89"/>
      <c r="T179" s="89"/>
      <c r="U179" s="89"/>
      <c r="V179" s="89"/>
      <c r="W179" s="89"/>
      <c r="X179" s="89"/>
      <c r="Y179" s="89"/>
      <c r="Z179" s="89"/>
      <c r="AA179" s="89"/>
      <c r="AB179" s="89"/>
      <c r="AC179" s="89"/>
      <c r="AD179" s="89"/>
      <c r="AE179" s="89"/>
      <c r="AF179" s="89"/>
      <c r="AM179" s="89"/>
      <c r="AN179" s="199"/>
      <c r="AO179" s="89"/>
    </row>
    <row r="180" spans="3:41" ht="15.75" customHeight="1" x14ac:dyDescent="0.25"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208"/>
      <c r="P180" s="209"/>
      <c r="Q180" s="89"/>
      <c r="R180" s="89"/>
      <c r="S180" s="89"/>
      <c r="T180" s="89"/>
      <c r="U180" s="89"/>
      <c r="V180" s="89"/>
      <c r="W180" s="89"/>
      <c r="X180" s="89"/>
      <c r="Y180" s="89"/>
      <c r="Z180" s="89"/>
      <c r="AA180" s="89"/>
      <c r="AB180" s="89"/>
      <c r="AC180" s="89"/>
      <c r="AD180" s="89"/>
      <c r="AE180" s="89"/>
      <c r="AF180" s="89"/>
      <c r="AM180" s="89"/>
      <c r="AN180" s="199"/>
      <c r="AO180" s="89"/>
    </row>
    <row r="181" spans="3:41" ht="15.75" customHeight="1" x14ac:dyDescent="0.25"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208"/>
      <c r="P181" s="209"/>
      <c r="Q181" s="89"/>
      <c r="R181" s="89"/>
      <c r="S181" s="89"/>
      <c r="T181" s="89"/>
      <c r="U181" s="89"/>
      <c r="V181" s="89"/>
      <c r="W181" s="89"/>
      <c r="X181" s="89"/>
      <c r="Y181" s="89"/>
      <c r="Z181" s="89"/>
      <c r="AA181" s="89"/>
      <c r="AB181" s="89"/>
      <c r="AC181" s="89"/>
      <c r="AD181" s="89"/>
      <c r="AE181" s="89"/>
      <c r="AF181" s="89"/>
      <c r="AM181" s="89"/>
      <c r="AN181" s="199"/>
      <c r="AO181" s="89"/>
    </row>
    <row r="182" spans="3:41" ht="15.75" customHeight="1" x14ac:dyDescent="0.25"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208"/>
      <c r="P182" s="20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89"/>
      <c r="AB182" s="89"/>
      <c r="AC182" s="89"/>
      <c r="AD182" s="89"/>
      <c r="AE182" s="89"/>
      <c r="AF182" s="89"/>
      <c r="AM182" s="89"/>
      <c r="AN182" s="199"/>
      <c r="AO182" s="89"/>
    </row>
    <row r="183" spans="3:41" ht="15.75" customHeight="1" x14ac:dyDescent="0.25"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208"/>
      <c r="P183" s="209"/>
      <c r="Q183" s="89"/>
      <c r="R183" s="89"/>
      <c r="S183" s="89"/>
      <c r="T183" s="89"/>
      <c r="U183" s="89"/>
      <c r="V183" s="89"/>
      <c r="W183" s="89"/>
      <c r="X183" s="89"/>
      <c r="Y183" s="89"/>
      <c r="Z183" s="89"/>
      <c r="AA183" s="89"/>
      <c r="AB183" s="89"/>
      <c r="AC183" s="89"/>
      <c r="AD183" s="89"/>
      <c r="AE183" s="89"/>
      <c r="AF183" s="89"/>
      <c r="AM183" s="89"/>
      <c r="AN183" s="199"/>
      <c r="AO183" s="89"/>
    </row>
    <row r="184" spans="3:41" ht="15.75" customHeight="1" x14ac:dyDescent="0.25"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208"/>
      <c r="P184" s="209"/>
      <c r="Q184" s="89"/>
      <c r="R184" s="89"/>
      <c r="S184" s="89"/>
      <c r="T184" s="89"/>
      <c r="U184" s="89"/>
      <c r="V184" s="89"/>
      <c r="W184" s="89"/>
      <c r="X184" s="89"/>
      <c r="Y184" s="89"/>
      <c r="Z184" s="89"/>
      <c r="AA184" s="89"/>
      <c r="AB184" s="89"/>
      <c r="AC184" s="89"/>
      <c r="AD184" s="89"/>
      <c r="AE184" s="89"/>
      <c r="AF184" s="89"/>
      <c r="AM184" s="89"/>
      <c r="AN184" s="199"/>
      <c r="AO184" s="89"/>
    </row>
    <row r="185" spans="3:41" ht="15.75" customHeight="1" x14ac:dyDescent="0.25"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208"/>
      <c r="P185" s="209"/>
      <c r="Q185" s="89"/>
      <c r="R185" s="89"/>
      <c r="S185" s="89"/>
      <c r="T185" s="89"/>
      <c r="U185" s="89"/>
      <c r="V185" s="89"/>
      <c r="W185" s="89"/>
      <c r="X185" s="89"/>
      <c r="Y185" s="89"/>
      <c r="Z185" s="89"/>
      <c r="AA185" s="89"/>
      <c r="AB185" s="89"/>
      <c r="AC185" s="89"/>
      <c r="AD185" s="89"/>
      <c r="AE185" s="89"/>
      <c r="AF185" s="89"/>
      <c r="AM185" s="89"/>
      <c r="AN185" s="199"/>
      <c r="AO185" s="89"/>
    </row>
    <row r="186" spans="3:41" ht="15.75" customHeight="1" x14ac:dyDescent="0.25"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208"/>
      <c r="P186" s="209"/>
      <c r="Q186" s="89"/>
      <c r="R186" s="89"/>
      <c r="S186" s="89"/>
      <c r="T186" s="89"/>
      <c r="U186" s="89"/>
      <c r="V186" s="89"/>
      <c r="W186" s="89"/>
      <c r="X186" s="89"/>
      <c r="Y186" s="89"/>
      <c r="Z186" s="89"/>
      <c r="AA186" s="89"/>
      <c r="AB186" s="89"/>
      <c r="AC186" s="89"/>
      <c r="AD186" s="89"/>
      <c r="AE186" s="89"/>
      <c r="AF186" s="89"/>
      <c r="AM186" s="89"/>
      <c r="AN186" s="199"/>
      <c r="AO186" s="89"/>
    </row>
    <row r="187" spans="3:41" ht="15.75" customHeight="1" x14ac:dyDescent="0.25"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208"/>
      <c r="P187" s="209"/>
      <c r="Q187" s="89"/>
      <c r="R187" s="89"/>
      <c r="S187" s="89"/>
      <c r="T187" s="89"/>
      <c r="U187" s="89"/>
      <c r="V187" s="89"/>
      <c r="W187" s="89"/>
      <c r="X187" s="89"/>
      <c r="Y187" s="89"/>
      <c r="Z187" s="89"/>
      <c r="AA187" s="89"/>
      <c r="AB187" s="89"/>
      <c r="AC187" s="89"/>
      <c r="AD187" s="89"/>
      <c r="AE187" s="89"/>
      <c r="AF187" s="89"/>
      <c r="AM187" s="89"/>
      <c r="AN187" s="199"/>
      <c r="AO187" s="89"/>
    </row>
    <row r="188" spans="3:41" ht="15.75" customHeight="1" x14ac:dyDescent="0.25"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208"/>
      <c r="P188" s="20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89"/>
      <c r="AB188" s="89"/>
      <c r="AC188" s="89"/>
      <c r="AD188" s="89"/>
      <c r="AE188" s="89"/>
      <c r="AF188" s="89"/>
      <c r="AM188" s="89"/>
      <c r="AN188" s="199"/>
      <c r="AO188" s="89"/>
    </row>
    <row r="189" spans="3:41" ht="15.75" customHeight="1" x14ac:dyDescent="0.25"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208"/>
      <c r="P189" s="209"/>
      <c r="Q189" s="89"/>
      <c r="R189" s="89"/>
      <c r="S189" s="89"/>
      <c r="T189" s="89"/>
      <c r="U189" s="89"/>
      <c r="V189" s="89"/>
      <c r="W189" s="89"/>
      <c r="X189" s="89"/>
      <c r="Y189" s="89"/>
      <c r="Z189" s="89"/>
      <c r="AA189" s="89"/>
      <c r="AB189" s="89"/>
      <c r="AC189" s="89"/>
      <c r="AD189" s="89"/>
      <c r="AE189" s="89"/>
      <c r="AF189" s="89"/>
      <c r="AM189" s="89"/>
      <c r="AN189" s="199"/>
      <c r="AO189" s="89"/>
    </row>
    <row r="190" spans="3:41" ht="15.75" customHeight="1" x14ac:dyDescent="0.25"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208"/>
      <c r="P190" s="209"/>
      <c r="Q190" s="89"/>
      <c r="R190" s="89"/>
      <c r="S190" s="89"/>
      <c r="T190" s="89"/>
      <c r="U190" s="89"/>
      <c r="V190" s="89"/>
      <c r="W190" s="89"/>
      <c r="X190" s="89"/>
      <c r="Y190" s="89"/>
      <c r="Z190" s="89"/>
      <c r="AA190" s="89"/>
      <c r="AB190" s="89"/>
      <c r="AC190" s="89"/>
      <c r="AD190" s="89"/>
      <c r="AE190" s="89"/>
      <c r="AF190" s="89"/>
      <c r="AM190" s="89"/>
      <c r="AN190" s="199"/>
      <c r="AO190" s="89"/>
    </row>
    <row r="191" spans="3:41" ht="15.75" customHeight="1" x14ac:dyDescent="0.25"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208"/>
      <c r="P191" s="209"/>
      <c r="Q191" s="89"/>
      <c r="R191" s="89"/>
      <c r="S191" s="89"/>
      <c r="T191" s="89"/>
      <c r="U191" s="89"/>
      <c r="V191" s="89"/>
      <c r="W191" s="89"/>
      <c r="X191" s="89"/>
      <c r="Y191" s="89"/>
      <c r="Z191" s="89"/>
      <c r="AA191" s="89"/>
      <c r="AB191" s="89"/>
      <c r="AC191" s="89"/>
      <c r="AD191" s="89"/>
      <c r="AE191" s="89"/>
      <c r="AF191" s="89"/>
      <c r="AM191" s="89"/>
      <c r="AN191" s="199"/>
      <c r="AO191" s="89"/>
    </row>
    <row r="192" spans="3:41" ht="15.75" customHeight="1" x14ac:dyDescent="0.25"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208"/>
      <c r="P192" s="20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89"/>
      <c r="AB192" s="89"/>
      <c r="AC192" s="89"/>
      <c r="AD192" s="89"/>
      <c r="AE192" s="89"/>
      <c r="AF192" s="89"/>
      <c r="AM192" s="89"/>
      <c r="AN192" s="199"/>
      <c r="AO192" s="89"/>
    </row>
    <row r="193" spans="3:41" ht="15.75" customHeight="1" x14ac:dyDescent="0.25"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208"/>
      <c r="P193" s="20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M193" s="89"/>
      <c r="AN193" s="199"/>
      <c r="AO193" s="89"/>
    </row>
    <row r="194" spans="3:41" ht="15.75" customHeight="1" x14ac:dyDescent="0.25"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208"/>
      <c r="P194" s="209"/>
      <c r="Q194" s="89"/>
      <c r="R194" s="89"/>
      <c r="S194" s="89"/>
      <c r="T194" s="89"/>
      <c r="U194" s="89"/>
      <c r="V194" s="89"/>
      <c r="W194" s="89"/>
      <c r="X194" s="89"/>
      <c r="Y194" s="89"/>
      <c r="Z194" s="89"/>
      <c r="AA194" s="89"/>
      <c r="AB194" s="89"/>
      <c r="AC194" s="89"/>
      <c r="AD194" s="89"/>
      <c r="AE194" s="89"/>
      <c r="AF194" s="89"/>
      <c r="AM194" s="89"/>
      <c r="AN194" s="199"/>
      <c r="AO194" s="89"/>
    </row>
    <row r="195" spans="3:41" ht="15.75" customHeight="1" x14ac:dyDescent="0.25"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208"/>
      <c r="P195" s="209"/>
      <c r="Q195" s="89"/>
      <c r="R195" s="89"/>
      <c r="S195" s="89"/>
      <c r="T195" s="89"/>
      <c r="U195" s="89"/>
      <c r="V195" s="89"/>
      <c r="W195" s="89"/>
      <c r="X195" s="89"/>
      <c r="Y195" s="89"/>
      <c r="Z195" s="89"/>
      <c r="AA195" s="89"/>
      <c r="AB195" s="89"/>
      <c r="AC195" s="89"/>
      <c r="AD195" s="89"/>
      <c r="AE195" s="89"/>
      <c r="AF195" s="89"/>
      <c r="AM195" s="89"/>
      <c r="AN195" s="199"/>
      <c r="AO195" s="89"/>
    </row>
    <row r="196" spans="3:41" ht="15.75" customHeight="1" x14ac:dyDescent="0.25"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208"/>
      <c r="P196" s="209"/>
      <c r="Q196" s="89"/>
      <c r="R196" s="89"/>
      <c r="S196" s="89"/>
      <c r="T196" s="89"/>
      <c r="U196" s="89"/>
      <c r="V196" s="89"/>
      <c r="W196" s="89"/>
      <c r="X196" s="89"/>
      <c r="Y196" s="89"/>
      <c r="Z196" s="89"/>
      <c r="AA196" s="89"/>
      <c r="AB196" s="89"/>
      <c r="AC196" s="89"/>
      <c r="AD196" s="89"/>
      <c r="AE196" s="89"/>
      <c r="AF196" s="89"/>
      <c r="AM196" s="89"/>
      <c r="AN196" s="199"/>
      <c r="AO196" s="89"/>
    </row>
    <row r="197" spans="3:41" ht="15.75" customHeight="1" x14ac:dyDescent="0.25"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208"/>
      <c r="P197" s="209"/>
      <c r="Q197" s="89"/>
      <c r="R197" s="89"/>
      <c r="S197" s="89"/>
      <c r="T197" s="89"/>
      <c r="U197" s="89"/>
      <c r="V197" s="89"/>
      <c r="W197" s="89"/>
      <c r="X197" s="89"/>
      <c r="Y197" s="89"/>
      <c r="Z197" s="89"/>
      <c r="AA197" s="89"/>
      <c r="AB197" s="89"/>
      <c r="AC197" s="89"/>
      <c r="AD197" s="89"/>
      <c r="AE197" s="89"/>
      <c r="AF197" s="89"/>
      <c r="AM197" s="89"/>
      <c r="AN197" s="199"/>
      <c r="AO197" s="89"/>
    </row>
    <row r="198" spans="3:41" ht="15.75" customHeight="1" x14ac:dyDescent="0.25"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208"/>
      <c r="P198" s="20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89"/>
      <c r="AB198" s="89"/>
      <c r="AC198" s="89"/>
      <c r="AD198" s="89"/>
      <c r="AE198" s="89"/>
      <c r="AF198" s="89"/>
      <c r="AM198" s="89"/>
      <c r="AN198" s="199"/>
      <c r="AO198" s="89"/>
    </row>
    <row r="199" spans="3:41" ht="15.75" customHeight="1" x14ac:dyDescent="0.25"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208"/>
      <c r="P199" s="209"/>
      <c r="Q199" s="89"/>
      <c r="R199" s="89"/>
      <c r="S199" s="89"/>
      <c r="T199" s="89"/>
      <c r="U199" s="89"/>
      <c r="V199" s="89"/>
      <c r="W199" s="89"/>
      <c r="X199" s="89"/>
      <c r="Y199" s="89"/>
      <c r="Z199" s="89"/>
      <c r="AA199" s="89"/>
      <c r="AB199" s="89"/>
      <c r="AC199" s="89"/>
      <c r="AD199" s="89"/>
      <c r="AE199" s="89"/>
      <c r="AF199" s="89"/>
      <c r="AM199" s="89"/>
      <c r="AN199" s="199"/>
      <c r="AO199" s="89"/>
    </row>
    <row r="200" spans="3:41" ht="15.75" customHeight="1" x14ac:dyDescent="0.25"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208"/>
      <c r="P200" s="209"/>
      <c r="Q200" s="89"/>
      <c r="R200" s="89"/>
      <c r="S200" s="89"/>
      <c r="T200" s="89"/>
      <c r="U200" s="89"/>
      <c r="V200" s="89"/>
      <c r="W200" s="89"/>
      <c r="X200" s="89"/>
      <c r="Y200" s="89"/>
      <c r="Z200" s="89"/>
      <c r="AA200" s="89"/>
      <c r="AB200" s="89"/>
      <c r="AC200" s="89"/>
      <c r="AD200" s="89"/>
      <c r="AE200" s="89"/>
      <c r="AF200" s="89"/>
      <c r="AM200" s="89"/>
      <c r="AN200" s="199"/>
      <c r="AO200" s="89"/>
    </row>
    <row r="201" spans="3:41" ht="15.75" customHeight="1" x14ac:dyDescent="0.25"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208"/>
      <c r="P201" s="209"/>
      <c r="Q201" s="89"/>
      <c r="R201" s="89"/>
      <c r="S201" s="89"/>
      <c r="T201" s="89"/>
      <c r="U201" s="89"/>
      <c r="V201" s="89"/>
      <c r="W201" s="89"/>
      <c r="X201" s="89"/>
      <c r="Y201" s="89"/>
      <c r="Z201" s="89"/>
      <c r="AA201" s="89"/>
      <c r="AB201" s="89"/>
      <c r="AC201" s="89"/>
      <c r="AD201" s="89"/>
      <c r="AE201" s="89"/>
      <c r="AF201" s="89"/>
      <c r="AM201" s="89"/>
      <c r="AN201" s="199"/>
      <c r="AO201" s="89"/>
    </row>
    <row r="202" spans="3:41" ht="15.75" customHeight="1" x14ac:dyDescent="0.25"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208"/>
      <c r="P202" s="209"/>
      <c r="Q202" s="89"/>
      <c r="R202" s="89"/>
      <c r="S202" s="89"/>
      <c r="T202" s="89"/>
      <c r="U202" s="89"/>
      <c r="V202" s="89"/>
      <c r="W202" s="89"/>
      <c r="X202" s="89"/>
      <c r="Y202" s="89"/>
      <c r="Z202" s="89"/>
      <c r="AA202" s="89"/>
      <c r="AB202" s="89"/>
      <c r="AC202" s="89"/>
      <c r="AD202" s="89"/>
      <c r="AE202" s="89"/>
      <c r="AF202" s="89"/>
      <c r="AM202" s="89"/>
      <c r="AN202" s="199"/>
      <c r="AO202" s="89"/>
    </row>
    <row r="203" spans="3:41" ht="15.75" customHeight="1" x14ac:dyDescent="0.25"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208"/>
      <c r="P203" s="20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89"/>
      <c r="AB203" s="89"/>
      <c r="AC203" s="89"/>
      <c r="AD203" s="89"/>
      <c r="AE203" s="89"/>
      <c r="AF203" s="89"/>
      <c r="AM203" s="89"/>
      <c r="AN203" s="199"/>
      <c r="AO203" s="89"/>
    </row>
    <row r="204" spans="3:41" ht="15.75" customHeight="1" x14ac:dyDescent="0.25"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208"/>
      <c r="P204" s="209"/>
      <c r="Q204" s="89"/>
      <c r="R204" s="89"/>
      <c r="S204" s="89"/>
      <c r="T204" s="89"/>
      <c r="U204" s="89"/>
      <c r="V204" s="89"/>
      <c r="W204" s="89"/>
      <c r="X204" s="89"/>
      <c r="Y204" s="89"/>
      <c r="Z204" s="89"/>
      <c r="AA204" s="89"/>
      <c r="AB204" s="89"/>
      <c r="AC204" s="89"/>
      <c r="AD204" s="89"/>
      <c r="AE204" s="89"/>
      <c r="AF204" s="89"/>
      <c r="AM204" s="89"/>
      <c r="AN204" s="199"/>
      <c r="AO204" s="89"/>
    </row>
    <row r="205" spans="3:41" ht="15.75" customHeight="1" x14ac:dyDescent="0.25"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208"/>
      <c r="P205" s="209"/>
      <c r="Q205" s="89"/>
      <c r="R205" s="89"/>
      <c r="S205" s="89"/>
      <c r="T205" s="89"/>
      <c r="U205" s="89"/>
      <c r="V205" s="89"/>
      <c r="W205" s="89"/>
      <c r="X205" s="89"/>
      <c r="Y205" s="89"/>
      <c r="Z205" s="89"/>
      <c r="AA205" s="89"/>
      <c r="AB205" s="89"/>
      <c r="AC205" s="89"/>
      <c r="AD205" s="89"/>
      <c r="AE205" s="89"/>
      <c r="AF205" s="89"/>
      <c r="AM205" s="89"/>
      <c r="AN205" s="199"/>
      <c r="AO205" s="89"/>
    </row>
    <row r="206" spans="3:41" ht="15.75" customHeight="1" x14ac:dyDescent="0.25"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208"/>
      <c r="P206" s="209"/>
      <c r="Q206" s="89"/>
      <c r="R206" s="89"/>
      <c r="S206" s="89"/>
      <c r="T206" s="89"/>
      <c r="U206" s="89"/>
      <c r="V206" s="89"/>
      <c r="W206" s="89"/>
      <c r="X206" s="89"/>
      <c r="Y206" s="89"/>
      <c r="Z206" s="89"/>
      <c r="AA206" s="89"/>
      <c r="AB206" s="89"/>
      <c r="AC206" s="89"/>
      <c r="AD206" s="89"/>
      <c r="AE206" s="89"/>
      <c r="AF206" s="89"/>
      <c r="AM206" s="89"/>
      <c r="AN206" s="199"/>
      <c r="AO206" s="89"/>
    </row>
    <row r="207" spans="3:41" ht="15.75" customHeight="1" x14ac:dyDescent="0.25"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208"/>
      <c r="P207" s="209"/>
      <c r="Q207" s="89"/>
      <c r="R207" s="89"/>
      <c r="S207" s="89"/>
      <c r="T207" s="89"/>
      <c r="U207" s="89"/>
      <c r="V207" s="89"/>
      <c r="W207" s="89"/>
      <c r="X207" s="89"/>
      <c r="Y207" s="89"/>
      <c r="Z207" s="89"/>
      <c r="AA207" s="89"/>
      <c r="AB207" s="89"/>
      <c r="AC207" s="89"/>
      <c r="AD207" s="89"/>
      <c r="AE207" s="89"/>
      <c r="AF207" s="89"/>
      <c r="AM207" s="89"/>
      <c r="AN207" s="199"/>
      <c r="AO207" s="89"/>
    </row>
    <row r="208" spans="3:41" ht="15.75" customHeight="1" x14ac:dyDescent="0.25"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208"/>
      <c r="P208" s="209"/>
      <c r="Q208" s="89"/>
      <c r="R208" s="89"/>
      <c r="S208" s="89"/>
      <c r="T208" s="89"/>
      <c r="U208" s="89"/>
      <c r="V208" s="89"/>
      <c r="W208" s="89"/>
      <c r="X208" s="89"/>
      <c r="Y208" s="89"/>
      <c r="Z208" s="89"/>
      <c r="AA208" s="89"/>
      <c r="AB208" s="89"/>
      <c r="AC208" s="89"/>
      <c r="AD208" s="89"/>
      <c r="AE208" s="89"/>
      <c r="AF208" s="89"/>
      <c r="AM208" s="89"/>
      <c r="AN208" s="199"/>
      <c r="AO208" s="89"/>
    </row>
    <row r="209" spans="3:41" ht="15.75" customHeight="1" x14ac:dyDescent="0.25"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208"/>
      <c r="P209" s="209"/>
      <c r="Q209" s="89"/>
      <c r="R209" s="89"/>
      <c r="S209" s="89"/>
      <c r="T209" s="89"/>
      <c r="U209" s="89"/>
      <c r="V209" s="89"/>
      <c r="W209" s="89"/>
      <c r="X209" s="89"/>
      <c r="Y209" s="89"/>
      <c r="Z209" s="89"/>
      <c r="AA209" s="89"/>
      <c r="AB209" s="89"/>
      <c r="AC209" s="89"/>
      <c r="AD209" s="89"/>
      <c r="AE209" s="89"/>
      <c r="AF209" s="89"/>
      <c r="AM209" s="89"/>
      <c r="AN209" s="199"/>
      <c r="AO209" s="89"/>
    </row>
    <row r="210" spans="3:41" ht="15.75" customHeight="1" x14ac:dyDescent="0.25"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208"/>
      <c r="P210" s="209"/>
      <c r="Q210" s="89"/>
      <c r="R210" s="89"/>
      <c r="S210" s="89"/>
      <c r="T210" s="89"/>
      <c r="U210" s="89"/>
      <c r="V210" s="89"/>
      <c r="W210" s="89"/>
      <c r="X210" s="89"/>
      <c r="Y210" s="89"/>
      <c r="Z210" s="89"/>
      <c r="AA210" s="89"/>
      <c r="AB210" s="89"/>
      <c r="AC210" s="89"/>
      <c r="AD210" s="89"/>
      <c r="AE210" s="89"/>
      <c r="AF210" s="89"/>
      <c r="AM210" s="89"/>
      <c r="AN210" s="199"/>
      <c r="AO210" s="89"/>
    </row>
    <row r="211" spans="3:41" ht="15.75" customHeight="1" x14ac:dyDescent="0.25"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208"/>
      <c r="P211" s="209"/>
      <c r="Q211" s="89"/>
      <c r="R211" s="89"/>
      <c r="S211" s="89"/>
      <c r="T211" s="89"/>
      <c r="U211" s="89"/>
      <c r="V211" s="89"/>
      <c r="W211" s="89"/>
      <c r="X211" s="89"/>
      <c r="Y211" s="89"/>
      <c r="Z211" s="89"/>
      <c r="AA211" s="89"/>
      <c r="AB211" s="89"/>
      <c r="AC211" s="89"/>
      <c r="AD211" s="89"/>
      <c r="AE211" s="89"/>
      <c r="AF211" s="89"/>
      <c r="AM211" s="89"/>
      <c r="AN211" s="199"/>
      <c r="AO211" s="89"/>
    </row>
    <row r="212" spans="3:41" ht="15.75" customHeight="1" x14ac:dyDescent="0.25"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208"/>
      <c r="P212" s="209"/>
      <c r="Q212" s="89"/>
      <c r="R212" s="89"/>
      <c r="S212" s="89"/>
      <c r="T212" s="89"/>
      <c r="U212" s="89"/>
      <c r="V212" s="89"/>
      <c r="W212" s="89"/>
      <c r="X212" s="89"/>
      <c r="Y212" s="89"/>
      <c r="Z212" s="89"/>
      <c r="AA212" s="89"/>
      <c r="AB212" s="89"/>
      <c r="AC212" s="89"/>
      <c r="AD212" s="89"/>
      <c r="AE212" s="89"/>
      <c r="AF212" s="89"/>
      <c r="AM212" s="89"/>
      <c r="AN212" s="199"/>
      <c r="AO212" s="89"/>
    </row>
    <row r="213" spans="3:41" ht="15.75" customHeight="1" x14ac:dyDescent="0.25"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208"/>
      <c r="P213" s="209"/>
      <c r="Q213" s="89"/>
      <c r="R213" s="89"/>
      <c r="S213" s="89"/>
      <c r="T213" s="89"/>
      <c r="U213" s="89"/>
      <c r="V213" s="89"/>
      <c r="W213" s="89"/>
      <c r="X213" s="89"/>
      <c r="Y213" s="89"/>
      <c r="Z213" s="89"/>
      <c r="AA213" s="89"/>
      <c r="AB213" s="89"/>
      <c r="AC213" s="89"/>
      <c r="AD213" s="89"/>
      <c r="AE213" s="89"/>
      <c r="AF213" s="89"/>
      <c r="AM213" s="89"/>
      <c r="AN213" s="199"/>
      <c r="AO213" s="89"/>
    </row>
    <row r="214" spans="3:41" ht="15.75" customHeight="1" x14ac:dyDescent="0.25"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208"/>
      <c r="P214" s="20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M214" s="89"/>
      <c r="AN214" s="199"/>
      <c r="AO214" s="89"/>
    </row>
    <row r="215" spans="3:41" ht="15.75" customHeight="1" x14ac:dyDescent="0.25"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208"/>
      <c r="P215" s="20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M215" s="89"/>
      <c r="AN215" s="199"/>
      <c r="AO215" s="89"/>
    </row>
    <row r="216" spans="3:41" ht="15.75" customHeight="1" x14ac:dyDescent="0.25"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208"/>
      <c r="P216" s="209"/>
      <c r="Q216" s="89"/>
      <c r="R216" s="89"/>
      <c r="S216" s="89"/>
      <c r="T216" s="89"/>
      <c r="U216" s="89"/>
      <c r="V216" s="89"/>
      <c r="W216" s="89"/>
      <c r="X216" s="89"/>
      <c r="Y216" s="89"/>
      <c r="Z216" s="89"/>
      <c r="AA216" s="89"/>
      <c r="AB216" s="89"/>
      <c r="AC216" s="89"/>
      <c r="AD216" s="89"/>
      <c r="AE216" s="89"/>
      <c r="AF216" s="89"/>
      <c r="AM216" s="89"/>
      <c r="AN216" s="199"/>
      <c r="AO216" s="89"/>
    </row>
    <row r="217" spans="3:41" ht="15.75" customHeight="1" x14ac:dyDescent="0.25"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208"/>
      <c r="P217" s="209"/>
      <c r="Q217" s="89"/>
      <c r="R217" s="89"/>
      <c r="S217" s="89"/>
      <c r="T217" s="89"/>
      <c r="U217" s="89"/>
      <c r="V217" s="89"/>
      <c r="W217" s="89"/>
      <c r="X217" s="89"/>
      <c r="Y217" s="89"/>
      <c r="Z217" s="89"/>
      <c r="AA217" s="89"/>
      <c r="AB217" s="89"/>
      <c r="AC217" s="89"/>
      <c r="AD217" s="89"/>
      <c r="AE217" s="89"/>
      <c r="AF217" s="89"/>
      <c r="AM217" s="89"/>
      <c r="AN217" s="199"/>
      <c r="AO217" s="89"/>
    </row>
    <row r="218" spans="3:41" ht="15.75" customHeight="1" x14ac:dyDescent="0.25"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208"/>
      <c r="P218" s="209"/>
      <c r="Q218" s="89"/>
      <c r="R218" s="89"/>
      <c r="S218" s="89"/>
      <c r="T218" s="89"/>
      <c r="U218" s="89"/>
      <c r="V218" s="89"/>
      <c r="W218" s="89"/>
      <c r="X218" s="89"/>
      <c r="Y218" s="89"/>
      <c r="Z218" s="89"/>
      <c r="AA218" s="89"/>
      <c r="AB218" s="89"/>
      <c r="AC218" s="89"/>
      <c r="AD218" s="89"/>
      <c r="AE218" s="89"/>
      <c r="AF218" s="89"/>
      <c r="AM218" s="89"/>
      <c r="AN218" s="199"/>
      <c r="AO218" s="89"/>
    </row>
    <row r="219" spans="3:41" ht="15.75" customHeight="1" x14ac:dyDescent="0.25"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208"/>
      <c r="P219" s="209"/>
      <c r="Q219" s="89"/>
      <c r="R219" s="89"/>
      <c r="S219" s="89"/>
      <c r="T219" s="89"/>
      <c r="U219" s="89"/>
      <c r="V219" s="89"/>
      <c r="W219" s="89"/>
      <c r="X219" s="89"/>
      <c r="Y219" s="89"/>
      <c r="Z219" s="89"/>
      <c r="AA219" s="89"/>
      <c r="AB219" s="89"/>
      <c r="AC219" s="89"/>
      <c r="AD219" s="89"/>
      <c r="AE219" s="89"/>
      <c r="AF219" s="89"/>
      <c r="AM219" s="89"/>
      <c r="AN219" s="199"/>
      <c r="AO219" s="89"/>
    </row>
    <row r="220" spans="3:41" ht="15.75" customHeight="1" x14ac:dyDescent="0.25"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208"/>
      <c r="P220" s="209"/>
      <c r="Q220" s="89"/>
      <c r="R220" s="89"/>
      <c r="S220" s="89"/>
      <c r="T220" s="89"/>
      <c r="U220" s="89"/>
      <c r="V220" s="89"/>
      <c r="W220" s="89"/>
      <c r="X220" s="89"/>
      <c r="Y220" s="89"/>
      <c r="Z220" s="89"/>
      <c r="AA220" s="89"/>
      <c r="AB220" s="89"/>
      <c r="AC220" s="89"/>
      <c r="AD220" s="89"/>
      <c r="AE220" s="89"/>
      <c r="AF220" s="89"/>
      <c r="AM220" s="89"/>
      <c r="AN220" s="199"/>
      <c r="AO220" s="89"/>
    </row>
    <row r="221" spans="3:41" ht="15.75" customHeight="1" x14ac:dyDescent="0.25"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208"/>
      <c r="P221" s="209"/>
      <c r="Q221" s="89"/>
      <c r="R221" s="89"/>
      <c r="S221" s="89"/>
      <c r="T221" s="89"/>
      <c r="U221" s="89"/>
      <c r="V221" s="89"/>
      <c r="W221" s="89"/>
      <c r="X221" s="89"/>
      <c r="Y221" s="89"/>
      <c r="Z221" s="89"/>
      <c r="AA221" s="89"/>
      <c r="AB221" s="89"/>
      <c r="AC221" s="89"/>
      <c r="AD221" s="89"/>
      <c r="AE221" s="89"/>
      <c r="AF221" s="89"/>
      <c r="AM221" s="89"/>
      <c r="AN221" s="199"/>
      <c r="AO221" s="89"/>
    </row>
    <row r="222" spans="3:41" ht="15.75" customHeight="1" x14ac:dyDescent="0.25"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208"/>
      <c r="P222" s="209"/>
      <c r="Q222" s="89"/>
      <c r="R222" s="89"/>
      <c r="S222" s="89"/>
      <c r="T222" s="89"/>
      <c r="U222" s="89"/>
      <c r="V222" s="89"/>
      <c r="W222" s="89"/>
      <c r="X222" s="89"/>
      <c r="Y222" s="89"/>
      <c r="Z222" s="89"/>
      <c r="AA222" s="89"/>
      <c r="AB222" s="89"/>
      <c r="AC222" s="89"/>
      <c r="AD222" s="89"/>
      <c r="AE222" s="89"/>
      <c r="AF222" s="89"/>
      <c r="AM222" s="89"/>
      <c r="AN222" s="199"/>
      <c r="AO222" s="89"/>
    </row>
    <row r="223" spans="3:41" ht="15.75" customHeight="1" x14ac:dyDescent="0.25"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208"/>
      <c r="P223" s="209"/>
      <c r="Q223" s="89"/>
      <c r="R223" s="89"/>
      <c r="S223" s="89"/>
      <c r="T223" s="89"/>
      <c r="U223" s="89"/>
      <c r="V223" s="89"/>
      <c r="W223" s="89"/>
      <c r="X223" s="89"/>
      <c r="Y223" s="89"/>
      <c r="Z223" s="89"/>
      <c r="AA223" s="89"/>
      <c r="AB223" s="89"/>
      <c r="AC223" s="89"/>
      <c r="AD223" s="89"/>
      <c r="AE223" s="89"/>
      <c r="AF223" s="89"/>
      <c r="AM223" s="89"/>
      <c r="AN223" s="199"/>
      <c r="AO223" s="89"/>
    </row>
    <row r="224" spans="3:41" ht="15.75" customHeight="1" x14ac:dyDescent="0.25"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208"/>
      <c r="P224" s="209"/>
      <c r="Q224" s="89"/>
      <c r="R224" s="89"/>
      <c r="S224" s="89"/>
      <c r="T224" s="89"/>
      <c r="U224" s="89"/>
      <c r="V224" s="89"/>
      <c r="W224" s="89"/>
      <c r="X224" s="89"/>
      <c r="Y224" s="89"/>
      <c r="Z224" s="89"/>
      <c r="AA224" s="89"/>
      <c r="AB224" s="89"/>
      <c r="AC224" s="89"/>
      <c r="AD224" s="89"/>
      <c r="AE224" s="89"/>
      <c r="AF224" s="89"/>
      <c r="AM224" s="89"/>
      <c r="AN224" s="199"/>
      <c r="AO224" s="89"/>
    </row>
    <row r="225" spans="3:41" ht="15.75" customHeight="1" x14ac:dyDescent="0.25"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208"/>
      <c r="P225" s="209"/>
      <c r="Q225" s="89"/>
      <c r="R225" s="89"/>
      <c r="S225" s="89"/>
      <c r="T225" s="89"/>
      <c r="U225" s="89"/>
      <c r="V225" s="89"/>
      <c r="W225" s="89"/>
      <c r="X225" s="89"/>
      <c r="Y225" s="89"/>
      <c r="Z225" s="89"/>
      <c r="AA225" s="89"/>
      <c r="AB225" s="89"/>
      <c r="AC225" s="89"/>
      <c r="AD225" s="89"/>
      <c r="AE225" s="89"/>
      <c r="AF225" s="89"/>
      <c r="AM225" s="89"/>
      <c r="AN225" s="199"/>
      <c r="AO225" s="89"/>
    </row>
    <row r="226" spans="3:41" ht="15.75" customHeight="1" x14ac:dyDescent="0.25"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208"/>
      <c r="P226" s="20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89"/>
      <c r="AB226" s="89"/>
      <c r="AC226" s="89"/>
      <c r="AD226" s="89"/>
      <c r="AE226" s="89"/>
      <c r="AF226" s="89"/>
      <c r="AM226" s="89"/>
      <c r="AN226" s="199"/>
      <c r="AO226" s="89"/>
    </row>
    <row r="227" spans="3:41" ht="15.75" customHeight="1" x14ac:dyDescent="0.25"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208"/>
      <c r="P227" s="209"/>
      <c r="Q227" s="89"/>
      <c r="R227" s="89"/>
      <c r="S227" s="89"/>
      <c r="T227" s="89"/>
      <c r="U227" s="89"/>
      <c r="V227" s="89"/>
      <c r="W227" s="89"/>
      <c r="X227" s="89"/>
      <c r="Y227" s="89"/>
      <c r="Z227" s="89"/>
      <c r="AA227" s="89"/>
      <c r="AB227" s="89"/>
      <c r="AC227" s="89"/>
      <c r="AD227" s="89"/>
      <c r="AE227" s="89"/>
      <c r="AF227" s="89"/>
      <c r="AM227" s="89"/>
      <c r="AN227" s="199"/>
      <c r="AO227" s="89"/>
    </row>
    <row r="228" spans="3:41" ht="15.75" customHeight="1" x14ac:dyDescent="0.25"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208"/>
      <c r="P228" s="209"/>
      <c r="Q228" s="89"/>
      <c r="R228" s="89"/>
      <c r="S228" s="89"/>
      <c r="T228" s="89"/>
      <c r="U228" s="89"/>
      <c r="V228" s="89"/>
      <c r="W228" s="89"/>
      <c r="X228" s="89"/>
      <c r="Y228" s="89"/>
      <c r="Z228" s="89"/>
      <c r="AA228" s="89"/>
      <c r="AB228" s="89"/>
      <c r="AC228" s="89"/>
      <c r="AD228" s="89"/>
      <c r="AE228" s="89"/>
      <c r="AF228" s="89"/>
      <c r="AM228" s="89"/>
      <c r="AN228" s="199"/>
      <c r="AO228" s="89"/>
    </row>
    <row r="229" spans="3:41" ht="15.75" customHeight="1" x14ac:dyDescent="0.25"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208"/>
      <c r="P229" s="209"/>
      <c r="Q229" s="89"/>
      <c r="R229" s="89"/>
      <c r="S229" s="89"/>
      <c r="T229" s="89"/>
      <c r="U229" s="89"/>
      <c r="V229" s="89"/>
      <c r="W229" s="89"/>
      <c r="X229" s="89"/>
      <c r="Y229" s="89"/>
      <c r="Z229" s="89"/>
      <c r="AA229" s="89"/>
      <c r="AB229" s="89"/>
      <c r="AC229" s="89"/>
      <c r="AD229" s="89"/>
      <c r="AE229" s="89"/>
      <c r="AF229" s="89"/>
      <c r="AM229" s="89"/>
      <c r="AN229" s="199"/>
      <c r="AO229" s="89"/>
    </row>
    <row r="230" spans="3:41" ht="15.75" customHeight="1" x14ac:dyDescent="0.25"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208"/>
      <c r="P230" s="209"/>
      <c r="Q230" s="89"/>
      <c r="R230" s="89"/>
      <c r="S230" s="89"/>
      <c r="T230" s="89"/>
      <c r="U230" s="89"/>
      <c r="V230" s="89"/>
      <c r="W230" s="89"/>
      <c r="X230" s="89"/>
      <c r="Y230" s="89"/>
      <c r="Z230" s="89"/>
      <c r="AA230" s="89"/>
      <c r="AB230" s="89"/>
      <c r="AC230" s="89"/>
      <c r="AD230" s="89"/>
      <c r="AE230" s="89"/>
      <c r="AF230" s="89"/>
      <c r="AM230" s="89"/>
      <c r="AN230" s="199"/>
      <c r="AO230" s="89"/>
    </row>
    <row r="231" spans="3:41" ht="15.75" customHeight="1" x14ac:dyDescent="0.25"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208"/>
      <c r="P231" s="20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M231" s="89"/>
      <c r="AN231" s="199"/>
      <c r="AO231" s="89"/>
    </row>
    <row r="232" spans="3:41" ht="15.75" customHeight="1" x14ac:dyDescent="0.25"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208"/>
      <c r="P232" s="20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89"/>
      <c r="AB232" s="89"/>
      <c r="AC232" s="89"/>
      <c r="AD232" s="89"/>
      <c r="AE232" s="89"/>
      <c r="AF232" s="89"/>
      <c r="AM232" s="89"/>
      <c r="AN232" s="199"/>
      <c r="AO232" s="89"/>
    </row>
    <row r="233" spans="3:41" ht="15.75" customHeight="1" x14ac:dyDescent="0.25"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208"/>
      <c r="P233" s="209"/>
      <c r="Q233" s="89"/>
      <c r="R233" s="89"/>
      <c r="S233" s="89"/>
      <c r="T233" s="89"/>
      <c r="U233" s="89"/>
      <c r="V233" s="89"/>
      <c r="W233" s="89"/>
      <c r="X233" s="89"/>
      <c r="Y233" s="89"/>
      <c r="Z233" s="89"/>
      <c r="AA233" s="89"/>
      <c r="AB233" s="89"/>
      <c r="AC233" s="89"/>
      <c r="AD233" s="89"/>
      <c r="AE233" s="89"/>
      <c r="AF233" s="89"/>
      <c r="AM233" s="89"/>
      <c r="AN233" s="199"/>
      <c r="AO233" s="89"/>
    </row>
    <row r="234" spans="3:41" ht="15.75" customHeight="1" x14ac:dyDescent="0.25"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208"/>
      <c r="P234" s="209"/>
      <c r="Q234" s="89"/>
      <c r="R234" s="89"/>
      <c r="S234" s="89"/>
      <c r="T234" s="89"/>
      <c r="U234" s="89"/>
      <c r="V234" s="89"/>
      <c r="W234" s="89"/>
      <c r="X234" s="89"/>
      <c r="Y234" s="89"/>
      <c r="Z234" s="89"/>
      <c r="AA234" s="89"/>
      <c r="AB234" s="89"/>
      <c r="AC234" s="89"/>
      <c r="AD234" s="89"/>
      <c r="AE234" s="89"/>
      <c r="AF234" s="89"/>
      <c r="AM234" s="89"/>
      <c r="AN234" s="199"/>
      <c r="AO234" s="89"/>
    </row>
    <row r="235" spans="3:41" ht="15.75" customHeight="1" x14ac:dyDescent="0.25"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208"/>
      <c r="P235" s="209"/>
      <c r="Q235" s="89"/>
      <c r="R235" s="89"/>
      <c r="S235" s="89"/>
      <c r="T235" s="89"/>
      <c r="U235" s="89"/>
      <c r="V235" s="89"/>
      <c r="W235" s="89"/>
      <c r="X235" s="89"/>
      <c r="Y235" s="89"/>
      <c r="Z235" s="89"/>
      <c r="AA235" s="89"/>
      <c r="AB235" s="89"/>
      <c r="AC235" s="89"/>
      <c r="AD235" s="89"/>
      <c r="AE235" s="89"/>
      <c r="AF235" s="89"/>
      <c r="AM235" s="89"/>
      <c r="AN235" s="199"/>
      <c r="AO235" s="89"/>
    </row>
    <row r="236" spans="3:41" ht="15.75" customHeight="1" x14ac:dyDescent="0.25"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208"/>
      <c r="P236" s="209"/>
      <c r="Q236" s="89"/>
      <c r="R236" s="89"/>
      <c r="S236" s="89"/>
      <c r="T236" s="89"/>
      <c r="U236" s="89"/>
      <c r="V236" s="89"/>
      <c r="W236" s="89"/>
      <c r="X236" s="89"/>
      <c r="Y236" s="89"/>
      <c r="Z236" s="89"/>
      <c r="AA236" s="89"/>
      <c r="AB236" s="89"/>
      <c r="AC236" s="89"/>
      <c r="AD236" s="89"/>
      <c r="AE236" s="89"/>
      <c r="AF236" s="89"/>
      <c r="AM236" s="89"/>
      <c r="AN236" s="199"/>
      <c r="AO236" s="89"/>
    </row>
    <row r="237" spans="3:41" ht="15.75" customHeight="1" x14ac:dyDescent="0.25"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208"/>
      <c r="P237" s="209"/>
      <c r="Q237" s="89"/>
      <c r="R237" s="89"/>
      <c r="S237" s="89"/>
      <c r="T237" s="89"/>
      <c r="U237" s="89"/>
      <c r="V237" s="89"/>
      <c r="W237" s="89"/>
      <c r="X237" s="89"/>
      <c r="Y237" s="89"/>
      <c r="Z237" s="89"/>
      <c r="AA237" s="89"/>
      <c r="AB237" s="89"/>
      <c r="AC237" s="89"/>
      <c r="AD237" s="89"/>
      <c r="AE237" s="89"/>
      <c r="AF237" s="89"/>
      <c r="AM237" s="89"/>
      <c r="AN237" s="199"/>
      <c r="AO237" s="89"/>
    </row>
    <row r="238" spans="3:41" ht="15.75" customHeight="1" x14ac:dyDescent="0.25"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208"/>
      <c r="P238" s="209"/>
      <c r="Q238" s="89"/>
      <c r="R238" s="89"/>
      <c r="S238" s="89"/>
      <c r="T238" s="89"/>
      <c r="U238" s="89"/>
      <c r="V238" s="89"/>
      <c r="W238" s="89"/>
      <c r="X238" s="89"/>
      <c r="Y238" s="89"/>
      <c r="Z238" s="89"/>
      <c r="AA238" s="89"/>
      <c r="AB238" s="89"/>
      <c r="AC238" s="89"/>
      <c r="AD238" s="89"/>
      <c r="AE238" s="89"/>
      <c r="AF238" s="89"/>
      <c r="AM238" s="89"/>
      <c r="AN238" s="199"/>
      <c r="AO238" s="89"/>
    </row>
    <row r="239" spans="3:41" ht="15.75" customHeight="1" x14ac:dyDescent="0.25"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208"/>
      <c r="P239" s="209"/>
      <c r="Q239" s="89"/>
      <c r="R239" s="89"/>
      <c r="S239" s="89"/>
      <c r="T239" s="89"/>
      <c r="U239" s="89"/>
      <c r="V239" s="89"/>
      <c r="W239" s="89"/>
      <c r="X239" s="89"/>
      <c r="Y239" s="89"/>
      <c r="Z239" s="89"/>
      <c r="AA239" s="89"/>
      <c r="AB239" s="89"/>
      <c r="AC239" s="89"/>
      <c r="AD239" s="89"/>
      <c r="AE239" s="89"/>
      <c r="AF239" s="89"/>
      <c r="AM239" s="89"/>
      <c r="AN239" s="199"/>
      <c r="AO239" s="89"/>
    </row>
    <row r="240" spans="3:41" ht="15.75" customHeight="1" x14ac:dyDescent="0.25"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208"/>
      <c r="P240" s="209"/>
      <c r="Q240" s="89"/>
      <c r="R240" s="89"/>
      <c r="S240" s="89"/>
      <c r="T240" s="89"/>
      <c r="U240" s="89"/>
      <c r="V240" s="89"/>
      <c r="W240" s="89"/>
      <c r="X240" s="89"/>
      <c r="Y240" s="89"/>
      <c r="Z240" s="89"/>
      <c r="AA240" s="89"/>
      <c r="AB240" s="89"/>
      <c r="AC240" s="89"/>
      <c r="AD240" s="89"/>
      <c r="AE240" s="89"/>
      <c r="AF240" s="89"/>
      <c r="AM240" s="89"/>
      <c r="AN240" s="199"/>
      <c r="AO240" s="89"/>
    </row>
    <row r="241" spans="3:41" ht="15.75" customHeight="1" x14ac:dyDescent="0.25"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208"/>
      <c r="P241" s="209"/>
      <c r="Q241" s="89"/>
      <c r="R241" s="89"/>
      <c r="S241" s="89"/>
      <c r="T241" s="89"/>
      <c r="U241" s="89"/>
      <c r="V241" s="89"/>
      <c r="W241" s="89"/>
      <c r="X241" s="89"/>
      <c r="Y241" s="89"/>
      <c r="Z241" s="89"/>
      <c r="AA241" s="89"/>
      <c r="AB241" s="89"/>
      <c r="AC241" s="89"/>
      <c r="AD241" s="89"/>
      <c r="AE241" s="89"/>
      <c r="AF241" s="89"/>
      <c r="AM241" s="89"/>
      <c r="AN241" s="199"/>
      <c r="AO241" s="89"/>
    </row>
    <row r="242" spans="3:41" ht="15.75" customHeight="1" x14ac:dyDescent="0.25"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208"/>
      <c r="P242" s="209"/>
      <c r="Q242" s="89"/>
      <c r="R242" s="89"/>
      <c r="S242" s="89"/>
      <c r="T242" s="89"/>
      <c r="U242" s="89"/>
      <c r="V242" s="89"/>
      <c r="W242" s="89"/>
      <c r="X242" s="89"/>
      <c r="Y242" s="89"/>
      <c r="Z242" s="89"/>
      <c r="AA242" s="89"/>
      <c r="AB242" s="89"/>
      <c r="AC242" s="89"/>
      <c r="AD242" s="89"/>
      <c r="AE242" s="89"/>
      <c r="AF242" s="89"/>
      <c r="AM242" s="89"/>
      <c r="AN242" s="199"/>
      <c r="AO242" s="89"/>
    </row>
    <row r="243" spans="3:41" ht="15.75" customHeight="1" x14ac:dyDescent="0.25"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208"/>
      <c r="P243" s="209"/>
      <c r="Q243" s="89"/>
      <c r="R243" s="89"/>
      <c r="S243" s="89"/>
      <c r="T243" s="89"/>
      <c r="U243" s="89"/>
      <c r="V243" s="89"/>
      <c r="W243" s="89"/>
      <c r="X243" s="89"/>
      <c r="Y243" s="89"/>
      <c r="Z243" s="89"/>
      <c r="AA243" s="89"/>
      <c r="AB243" s="89"/>
      <c r="AC243" s="89"/>
      <c r="AD243" s="89"/>
      <c r="AE243" s="89"/>
      <c r="AF243" s="89"/>
      <c r="AM243" s="89"/>
      <c r="AN243" s="199"/>
      <c r="AO243" s="89"/>
    </row>
    <row r="244" spans="3:41" ht="15.75" customHeight="1" x14ac:dyDescent="0.25"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208"/>
      <c r="P244" s="20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89"/>
      <c r="AB244" s="89"/>
      <c r="AC244" s="89"/>
      <c r="AD244" s="89"/>
      <c r="AE244" s="89"/>
      <c r="AF244" s="89"/>
      <c r="AM244" s="89"/>
      <c r="AN244" s="199"/>
      <c r="AO244" s="89"/>
    </row>
    <row r="245" spans="3:41" ht="15.75" customHeight="1" x14ac:dyDescent="0.25"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208"/>
      <c r="P245" s="209"/>
      <c r="Q245" s="89"/>
      <c r="R245" s="89"/>
      <c r="S245" s="89"/>
      <c r="T245" s="89"/>
      <c r="U245" s="89"/>
      <c r="V245" s="89"/>
      <c r="W245" s="89"/>
      <c r="X245" s="89"/>
      <c r="Y245" s="89"/>
      <c r="Z245" s="89"/>
      <c r="AA245" s="89"/>
      <c r="AB245" s="89"/>
      <c r="AC245" s="89"/>
      <c r="AD245" s="89"/>
      <c r="AE245" s="89"/>
      <c r="AF245" s="89"/>
      <c r="AM245" s="89"/>
      <c r="AN245" s="199"/>
      <c r="AO245" s="89"/>
    </row>
    <row r="246" spans="3:41" ht="15.75" customHeight="1" x14ac:dyDescent="0.25"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208"/>
      <c r="P246" s="209"/>
      <c r="Q246" s="89"/>
      <c r="R246" s="89"/>
      <c r="S246" s="89"/>
      <c r="T246" s="89"/>
      <c r="U246" s="89"/>
      <c r="V246" s="89"/>
      <c r="W246" s="89"/>
      <c r="X246" s="89"/>
      <c r="Y246" s="89"/>
      <c r="Z246" s="89"/>
      <c r="AA246" s="89"/>
      <c r="AB246" s="89"/>
      <c r="AC246" s="89"/>
      <c r="AD246" s="89"/>
      <c r="AE246" s="89"/>
      <c r="AF246" s="89"/>
      <c r="AM246" s="89"/>
      <c r="AN246" s="199"/>
      <c r="AO246" s="89"/>
    </row>
    <row r="247" spans="3:41" ht="15.75" customHeight="1" x14ac:dyDescent="0.25"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208"/>
      <c r="P247" s="209"/>
      <c r="Q247" s="89"/>
      <c r="R247" s="89"/>
      <c r="S247" s="89"/>
      <c r="T247" s="89"/>
      <c r="U247" s="89"/>
      <c r="V247" s="89"/>
      <c r="W247" s="89"/>
      <c r="X247" s="89"/>
      <c r="Y247" s="89"/>
      <c r="Z247" s="89"/>
      <c r="AA247" s="89"/>
      <c r="AB247" s="89"/>
      <c r="AC247" s="89"/>
      <c r="AD247" s="89"/>
      <c r="AE247" s="89"/>
      <c r="AF247" s="89"/>
      <c r="AM247" s="89"/>
      <c r="AN247" s="199"/>
      <c r="AO247" s="89"/>
    </row>
    <row r="248" spans="3:41" ht="15.75" customHeight="1" x14ac:dyDescent="0.25"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208"/>
      <c r="P248" s="20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89"/>
      <c r="AB248" s="89"/>
      <c r="AC248" s="89"/>
      <c r="AD248" s="89"/>
      <c r="AE248" s="89"/>
      <c r="AF248" s="89"/>
      <c r="AM248" s="89"/>
      <c r="AN248" s="199"/>
      <c r="AO248" s="89"/>
    </row>
    <row r="249" spans="3:41" ht="15.75" customHeight="1" x14ac:dyDescent="0.25"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208"/>
      <c r="P249" s="209"/>
      <c r="Q249" s="89"/>
      <c r="R249" s="89"/>
      <c r="S249" s="89"/>
      <c r="T249" s="89"/>
      <c r="U249" s="89"/>
      <c r="V249" s="89"/>
      <c r="W249" s="89"/>
      <c r="X249" s="89"/>
      <c r="Y249" s="89"/>
      <c r="Z249" s="89"/>
      <c r="AA249" s="89"/>
      <c r="AB249" s="89"/>
      <c r="AC249" s="89"/>
      <c r="AD249" s="89"/>
      <c r="AE249" s="89"/>
      <c r="AF249" s="89"/>
      <c r="AM249" s="89"/>
      <c r="AN249" s="199"/>
      <c r="AO249" s="89"/>
    </row>
    <row r="250" spans="3:41" ht="15.75" customHeight="1" x14ac:dyDescent="0.25"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208"/>
      <c r="P250" s="209"/>
      <c r="Q250" s="89"/>
      <c r="R250" s="89"/>
      <c r="S250" s="89"/>
      <c r="T250" s="89"/>
      <c r="U250" s="89"/>
      <c r="V250" s="89"/>
      <c r="W250" s="89"/>
      <c r="X250" s="89"/>
      <c r="Y250" s="89"/>
      <c r="Z250" s="89"/>
      <c r="AA250" s="89"/>
      <c r="AB250" s="89"/>
      <c r="AC250" s="89"/>
      <c r="AD250" s="89"/>
      <c r="AE250" s="89"/>
      <c r="AF250" s="89"/>
      <c r="AM250" s="89"/>
      <c r="AN250" s="199"/>
      <c r="AO250" s="89"/>
    </row>
    <row r="251" spans="3:41" ht="15.75" customHeight="1" x14ac:dyDescent="0.25"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208"/>
      <c r="P251" s="209"/>
      <c r="Q251" s="89"/>
      <c r="R251" s="89"/>
      <c r="S251" s="89"/>
      <c r="T251" s="89"/>
      <c r="U251" s="89"/>
      <c r="V251" s="89"/>
      <c r="W251" s="89"/>
      <c r="X251" s="89"/>
      <c r="Y251" s="89"/>
      <c r="Z251" s="89"/>
      <c r="AA251" s="89"/>
      <c r="AB251" s="89"/>
      <c r="AC251" s="89"/>
      <c r="AD251" s="89"/>
      <c r="AE251" s="89"/>
      <c r="AF251" s="89"/>
      <c r="AM251" s="89"/>
      <c r="AN251" s="199"/>
      <c r="AO251" s="89"/>
    </row>
    <row r="252" spans="3:41" ht="15.75" customHeight="1" x14ac:dyDescent="0.25"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208"/>
      <c r="P252" s="20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89"/>
      <c r="AB252" s="89"/>
      <c r="AC252" s="89"/>
      <c r="AD252" s="89"/>
      <c r="AE252" s="89"/>
      <c r="AF252" s="89"/>
      <c r="AM252" s="89"/>
      <c r="AN252" s="199"/>
      <c r="AO252" s="89"/>
    </row>
    <row r="253" spans="3:41" ht="15.75" customHeight="1" x14ac:dyDescent="0.25"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208"/>
      <c r="P253" s="209"/>
      <c r="Q253" s="89"/>
      <c r="R253" s="89"/>
      <c r="S253" s="89"/>
      <c r="T253" s="89"/>
      <c r="U253" s="89"/>
      <c r="V253" s="89"/>
      <c r="W253" s="89"/>
      <c r="X253" s="89"/>
      <c r="Y253" s="89"/>
      <c r="Z253" s="89"/>
      <c r="AA253" s="89"/>
      <c r="AB253" s="89"/>
      <c r="AC253" s="89"/>
      <c r="AD253" s="89"/>
      <c r="AE253" s="89"/>
      <c r="AF253" s="89"/>
      <c r="AM253" s="89"/>
      <c r="AN253" s="199"/>
      <c r="AO253" s="89"/>
    </row>
    <row r="254" spans="3:41" ht="15.75" customHeight="1" x14ac:dyDescent="0.25"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208"/>
      <c r="P254" s="209"/>
      <c r="Q254" s="89"/>
      <c r="R254" s="89"/>
      <c r="S254" s="89"/>
      <c r="T254" s="89"/>
      <c r="U254" s="89"/>
      <c r="V254" s="89"/>
      <c r="W254" s="89"/>
      <c r="X254" s="89"/>
      <c r="Y254" s="89"/>
      <c r="Z254" s="89"/>
      <c r="AA254" s="89"/>
      <c r="AB254" s="89"/>
      <c r="AC254" s="89"/>
      <c r="AD254" s="89"/>
      <c r="AE254" s="89"/>
      <c r="AF254" s="89"/>
      <c r="AM254" s="89"/>
      <c r="AN254" s="199"/>
      <c r="AO254" s="89"/>
    </row>
    <row r="255" spans="3:41" ht="15.75" customHeight="1" x14ac:dyDescent="0.25"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208"/>
      <c r="P255" s="209"/>
      <c r="Q255" s="89"/>
      <c r="R255" s="89"/>
      <c r="S255" s="89"/>
      <c r="T255" s="89"/>
      <c r="U255" s="89"/>
      <c r="V255" s="89"/>
      <c r="W255" s="89"/>
      <c r="X255" s="89"/>
      <c r="Y255" s="89"/>
      <c r="Z255" s="89"/>
      <c r="AA255" s="89"/>
      <c r="AB255" s="89"/>
      <c r="AC255" s="89"/>
      <c r="AD255" s="89"/>
      <c r="AE255" s="89"/>
      <c r="AF255" s="89"/>
      <c r="AM255" s="89"/>
      <c r="AN255" s="199"/>
      <c r="AO255" s="89"/>
    </row>
    <row r="256" spans="3:41" ht="15.75" customHeight="1" x14ac:dyDescent="0.25"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208"/>
      <c r="P256" s="209"/>
      <c r="Q256" s="89"/>
      <c r="R256" s="89"/>
      <c r="S256" s="89"/>
      <c r="T256" s="89"/>
      <c r="U256" s="89"/>
      <c r="V256" s="89"/>
      <c r="W256" s="89"/>
      <c r="X256" s="89"/>
      <c r="Y256" s="89"/>
      <c r="Z256" s="89"/>
      <c r="AA256" s="89"/>
      <c r="AB256" s="89"/>
      <c r="AC256" s="89"/>
      <c r="AD256" s="89"/>
      <c r="AE256" s="89"/>
      <c r="AF256" s="89"/>
      <c r="AM256" s="89"/>
      <c r="AN256" s="199"/>
      <c r="AO256" s="89"/>
    </row>
    <row r="257" spans="3:41" ht="15.75" customHeight="1" x14ac:dyDescent="0.25"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208"/>
      <c r="P257" s="209"/>
      <c r="Q257" s="89"/>
      <c r="R257" s="89"/>
      <c r="S257" s="89"/>
      <c r="T257" s="89"/>
      <c r="U257" s="89"/>
      <c r="V257" s="89"/>
      <c r="W257" s="89"/>
      <c r="X257" s="89"/>
      <c r="Y257" s="89"/>
      <c r="Z257" s="89"/>
      <c r="AA257" s="89"/>
      <c r="AB257" s="89"/>
      <c r="AC257" s="89"/>
      <c r="AD257" s="89"/>
      <c r="AE257" s="89"/>
      <c r="AF257" s="89"/>
      <c r="AM257" s="89"/>
      <c r="AN257" s="199"/>
      <c r="AO257" s="89"/>
    </row>
    <row r="258" spans="3:41" ht="15.75" customHeight="1" x14ac:dyDescent="0.25"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208"/>
      <c r="P258" s="209"/>
      <c r="Q258" s="89"/>
      <c r="R258" s="89"/>
      <c r="S258" s="89"/>
      <c r="T258" s="89"/>
      <c r="U258" s="89"/>
      <c r="V258" s="89"/>
      <c r="W258" s="89"/>
      <c r="X258" s="89"/>
      <c r="Y258" s="89"/>
      <c r="Z258" s="89"/>
      <c r="AA258" s="89"/>
      <c r="AB258" s="89"/>
      <c r="AC258" s="89"/>
      <c r="AD258" s="89"/>
      <c r="AE258" s="89"/>
      <c r="AF258" s="89"/>
      <c r="AM258" s="89"/>
      <c r="AN258" s="199"/>
      <c r="AO258" s="89"/>
    </row>
    <row r="259" spans="3:41" ht="15.75" customHeight="1" x14ac:dyDescent="0.25"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208"/>
      <c r="P259" s="209"/>
      <c r="Q259" s="89"/>
      <c r="R259" s="89"/>
      <c r="S259" s="89"/>
      <c r="T259" s="89"/>
      <c r="U259" s="89"/>
      <c r="V259" s="89"/>
      <c r="W259" s="89"/>
      <c r="X259" s="89"/>
      <c r="Y259" s="89"/>
      <c r="Z259" s="89"/>
      <c r="AA259" s="89"/>
      <c r="AB259" s="89"/>
      <c r="AC259" s="89"/>
      <c r="AD259" s="89"/>
      <c r="AE259" s="89"/>
      <c r="AF259" s="89"/>
      <c r="AM259" s="89"/>
      <c r="AN259" s="199"/>
      <c r="AO259" s="89"/>
    </row>
    <row r="260" spans="3:41" ht="15.75" customHeight="1" x14ac:dyDescent="0.25"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208"/>
      <c r="P260" s="20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89"/>
      <c r="AB260" s="89"/>
      <c r="AC260" s="89"/>
      <c r="AD260" s="89"/>
      <c r="AE260" s="89"/>
      <c r="AF260" s="89"/>
      <c r="AM260" s="89"/>
      <c r="AN260" s="199"/>
      <c r="AO260" s="89"/>
    </row>
    <row r="261" spans="3:41" ht="15.75" customHeight="1" x14ac:dyDescent="0.25"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208"/>
      <c r="P261" s="20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89"/>
      <c r="AB261" s="89"/>
      <c r="AC261" s="89"/>
      <c r="AD261" s="89"/>
      <c r="AE261" s="89"/>
      <c r="AF261" s="89"/>
      <c r="AM261" s="89"/>
      <c r="AN261" s="199"/>
      <c r="AO261" s="89"/>
    </row>
    <row r="262" spans="3:41" ht="15.75" customHeight="1" x14ac:dyDescent="0.25"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208"/>
      <c r="P262" s="209"/>
      <c r="Q262" s="89"/>
      <c r="R262" s="89"/>
      <c r="S262" s="89"/>
      <c r="T262" s="89"/>
      <c r="U262" s="89"/>
      <c r="V262" s="89"/>
      <c r="W262" s="89"/>
      <c r="X262" s="89"/>
      <c r="Y262" s="89"/>
      <c r="Z262" s="89"/>
      <c r="AA262" s="89"/>
      <c r="AB262" s="89"/>
      <c r="AC262" s="89"/>
      <c r="AD262" s="89"/>
      <c r="AE262" s="89"/>
      <c r="AF262" s="89"/>
      <c r="AM262" s="89"/>
      <c r="AN262" s="199"/>
      <c r="AO262" s="89"/>
    </row>
    <row r="263" spans="3:41" ht="15.75" customHeight="1" x14ac:dyDescent="0.25"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208"/>
      <c r="P263" s="209"/>
      <c r="Q263" s="89"/>
      <c r="R263" s="89"/>
      <c r="S263" s="89"/>
      <c r="T263" s="89"/>
      <c r="U263" s="89"/>
      <c r="V263" s="89"/>
      <c r="W263" s="89"/>
      <c r="X263" s="89"/>
      <c r="Y263" s="89"/>
      <c r="Z263" s="89"/>
      <c r="AA263" s="89"/>
      <c r="AB263" s="89"/>
      <c r="AC263" s="89"/>
      <c r="AD263" s="89"/>
      <c r="AE263" s="89"/>
      <c r="AF263" s="89"/>
      <c r="AM263" s="89"/>
      <c r="AN263" s="199"/>
      <c r="AO263" s="89"/>
    </row>
    <row r="264" spans="3:41" ht="15.75" customHeight="1" x14ac:dyDescent="0.25"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208"/>
      <c r="P264" s="209"/>
      <c r="Q264" s="89"/>
      <c r="R264" s="89"/>
      <c r="S264" s="89"/>
      <c r="T264" s="89"/>
      <c r="U264" s="89"/>
      <c r="V264" s="89"/>
      <c r="W264" s="89"/>
      <c r="X264" s="89"/>
      <c r="Y264" s="89"/>
      <c r="Z264" s="89"/>
      <c r="AA264" s="89"/>
      <c r="AB264" s="89"/>
      <c r="AC264" s="89"/>
      <c r="AD264" s="89"/>
      <c r="AE264" s="89"/>
      <c r="AF264" s="89"/>
      <c r="AM264" s="89"/>
      <c r="AN264" s="199"/>
      <c r="AO264" s="89"/>
    </row>
    <row r="265" spans="3:41" ht="15.75" customHeight="1" x14ac:dyDescent="0.25"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208"/>
      <c r="P265" s="209"/>
      <c r="Q265" s="89"/>
      <c r="R265" s="89"/>
      <c r="S265" s="89"/>
      <c r="T265" s="89"/>
      <c r="U265" s="89"/>
      <c r="V265" s="89"/>
      <c r="W265" s="89"/>
      <c r="X265" s="89"/>
      <c r="Y265" s="89"/>
      <c r="Z265" s="89"/>
      <c r="AA265" s="89"/>
      <c r="AB265" s="89"/>
      <c r="AC265" s="89"/>
      <c r="AD265" s="89"/>
      <c r="AE265" s="89"/>
      <c r="AF265" s="89"/>
      <c r="AM265" s="89"/>
      <c r="AN265" s="199"/>
      <c r="AO265" s="89"/>
    </row>
    <row r="266" spans="3:41" ht="15.75" customHeight="1" x14ac:dyDescent="0.25"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208"/>
      <c r="P266" s="209"/>
      <c r="Q266" s="89"/>
      <c r="R266" s="89"/>
      <c r="S266" s="89"/>
      <c r="T266" s="89"/>
      <c r="U266" s="89"/>
      <c r="V266" s="89"/>
      <c r="W266" s="89"/>
      <c r="X266" s="89"/>
      <c r="Y266" s="89"/>
      <c r="Z266" s="89"/>
      <c r="AA266" s="89"/>
      <c r="AB266" s="89"/>
      <c r="AC266" s="89"/>
      <c r="AD266" s="89"/>
      <c r="AE266" s="89"/>
      <c r="AF266" s="89"/>
      <c r="AM266" s="89"/>
      <c r="AN266" s="199"/>
      <c r="AO266" s="89"/>
    </row>
    <row r="267" spans="3:41" ht="15.75" customHeight="1" x14ac:dyDescent="0.25"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208"/>
      <c r="P267" s="209"/>
      <c r="Q267" s="89"/>
      <c r="R267" s="89"/>
      <c r="S267" s="89"/>
      <c r="T267" s="89"/>
      <c r="U267" s="89"/>
      <c r="V267" s="89"/>
      <c r="W267" s="89"/>
      <c r="X267" s="89"/>
      <c r="Y267" s="89"/>
      <c r="Z267" s="89"/>
      <c r="AA267" s="89"/>
      <c r="AB267" s="89"/>
      <c r="AC267" s="89"/>
      <c r="AD267" s="89"/>
      <c r="AE267" s="89"/>
      <c r="AF267" s="89"/>
      <c r="AM267" s="89"/>
      <c r="AN267" s="199"/>
      <c r="AO267" s="89"/>
    </row>
    <row r="268" spans="3:41" ht="15.75" customHeight="1" x14ac:dyDescent="0.25"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208"/>
      <c r="P268" s="209"/>
      <c r="Q268" s="89"/>
      <c r="R268" s="89"/>
      <c r="S268" s="89"/>
      <c r="T268" s="89"/>
      <c r="U268" s="89"/>
      <c r="V268" s="89"/>
      <c r="W268" s="89"/>
      <c r="X268" s="89"/>
      <c r="Y268" s="89"/>
      <c r="Z268" s="89"/>
      <c r="AA268" s="89"/>
      <c r="AB268" s="89"/>
      <c r="AC268" s="89"/>
      <c r="AD268" s="89"/>
      <c r="AE268" s="89"/>
      <c r="AF268" s="89"/>
      <c r="AM268" s="89"/>
      <c r="AN268" s="199"/>
      <c r="AO268" s="89"/>
    </row>
    <row r="269" spans="3:41" ht="15.75" customHeight="1" x14ac:dyDescent="0.25"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208"/>
      <c r="P269" s="20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M269" s="89"/>
      <c r="AN269" s="199"/>
      <c r="AO269" s="89"/>
    </row>
    <row r="270" spans="3:41" ht="15.75" customHeight="1" x14ac:dyDescent="0.25"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208"/>
      <c r="P270" s="20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89"/>
      <c r="AB270" s="89"/>
      <c r="AC270" s="89"/>
      <c r="AD270" s="89"/>
      <c r="AE270" s="89"/>
      <c r="AF270" s="89"/>
      <c r="AM270" s="89"/>
      <c r="AN270" s="199"/>
      <c r="AO270" s="89"/>
    </row>
    <row r="271" spans="3:41" ht="15.75" customHeight="1" x14ac:dyDescent="0.25"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208"/>
      <c r="P271" s="209"/>
      <c r="Q271" s="89"/>
      <c r="R271" s="89"/>
      <c r="S271" s="89"/>
      <c r="T271" s="89"/>
      <c r="U271" s="89"/>
      <c r="V271" s="89"/>
      <c r="W271" s="89"/>
      <c r="X271" s="89"/>
      <c r="Y271" s="89"/>
      <c r="Z271" s="89"/>
      <c r="AA271" s="89"/>
      <c r="AB271" s="89"/>
      <c r="AC271" s="89"/>
      <c r="AD271" s="89"/>
      <c r="AE271" s="89"/>
      <c r="AF271" s="89"/>
      <c r="AM271" s="89"/>
      <c r="AN271" s="199"/>
      <c r="AO271" s="89"/>
    </row>
    <row r="272" spans="3:41" ht="15.75" customHeight="1" x14ac:dyDescent="0.25"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208"/>
      <c r="P272" s="209"/>
      <c r="Q272" s="89"/>
      <c r="R272" s="89"/>
      <c r="S272" s="89"/>
      <c r="T272" s="89"/>
      <c r="U272" s="89"/>
      <c r="V272" s="89"/>
      <c r="W272" s="89"/>
      <c r="X272" s="89"/>
      <c r="Y272" s="89"/>
      <c r="Z272" s="89"/>
      <c r="AA272" s="89"/>
      <c r="AB272" s="89"/>
      <c r="AC272" s="89"/>
      <c r="AD272" s="89"/>
      <c r="AE272" s="89"/>
      <c r="AF272" s="89"/>
      <c r="AM272" s="89"/>
      <c r="AN272" s="199"/>
      <c r="AO272" s="89"/>
    </row>
    <row r="273" spans="3:41" ht="15.75" customHeight="1" x14ac:dyDescent="0.25"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208"/>
      <c r="P273" s="209"/>
      <c r="Q273" s="89"/>
      <c r="R273" s="89"/>
      <c r="S273" s="89"/>
      <c r="T273" s="89"/>
      <c r="U273" s="89"/>
      <c r="V273" s="89"/>
      <c r="W273" s="89"/>
      <c r="X273" s="89"/>
      <c r="Y273" s="89"/>
      <c r="Z273" s="89"/>
      <c r="AA273" s="89"/>
      <c r="AB273" s="89"/>
      <c r="AC273" s="89"/>
      <c r="AD273" s="89"/>
      <c r="AE273" s="89"/>
      <c r="AF273" s="89"/>
      <c r="AM273" s="89"/>
      <c r="AN273" s="199"/>
      <c r="AO273" s="89"/>
    </row>
    <row r="274" spans="3:41" ht="15.75" customHeight="1" x14ac:dyDescent="0.25"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208"/>
      <c r="P274" s="209"/>
      <c r="Q274" s="89"/>
      <c r="R274" s="89"/>
      <c r="S274" s="89"/>
      <c r="T274" s="89"/>
      <c r="U274" s="89"/>
      <c r="V274" s="89"/>
      <c r="W274" s="89"/>
      <c r="X274" s="89"/>
      <c r="Y274" s="89"/>
      <c r="Z274" s="89"/>
      <c r="AA274" s="89"/>
      <c r="AB274" s="89"/>
      <c r="AC274" s="89"/>
      <c r="AD274" s="89"/>
      <c r="AE274" s="89"/>
      <c r="AF274" s="89"/>
      <c r="AM274" s="89"/>
      <c r="AN274" s="199"/>
      <c r="AO274" s="89"/>
    </row>
    <row r="275" spans="3:41" ht="15.75" customHeight="1" x14ac:dyDescent="0.25"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208"/>
      <c r="P275" s="209"/>
      <c r="Q275" s="89"/>
      <c r="R275" s="89"/>
      <c r="S275" s="89"/>
      <c r="T275" s="89"/>
      <c r="U275" s="89"/>
      <c r="V275" s="89"/>
      <c r="W275" s="89"/>
      <c r="X275" s="89"/>
      <c r="Y275" s="89"/>
      <c r="Z275" s="89"/>
      <c r="AA275" s="89"/>
      <c r="AB275" s="89"/>
      <c r="AC275" s="89"/>
      <c r="AD275" s="89"/>
      <c r="AE275" s="89"/>
      <c r="AF275" s="89"/>
      <c r="AM275" s="89"/>
      <c r="AN275" s="199"/>
      <c r="AO275" s="89"/>
    </row>
    <row r="276" spans="3:41" ht="15.75" customHeight="1" x14ac:dyDescent="0.25"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208"/>
      <c r="P276" s="209"/>
      <c r="Q276" s="89"/>
      <c r="R276" s="89"/>
      <c r="S276" s="89"/>
      <c r="T276" s="89"/>
      <c r="U276" s="89"/>
      <c r="V276" s="89"/>
      <c r="W276" s="89"/>
      <c r="X276" s="89"/>
      <c r="Y276" s="89"/>
      <c r="Z276" s="89"/>
      <c r="AA276" s="89"/>
      <c r="AB276" s="89"/>
      <c r="AC276" s="89"/>
      <c r="AD276" s="89"/>
      <c r="AE276" s="89"/>
      <c r="AF276" s="89"/>
      <c r="AM276" s="89"/>
      <c r="AN276" s="199"/>
      <c r="AO276" s="89"/>
    </row>
    <row r="277" spans="3:41" ht="15.75" customHeight="1" x14ac:dyDescent="0.25"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208"/>
      <c r="P277" s="20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89"/>
      <c r="AB277" s="89"/>
      <c r="AC277" s="89"/>
      <c r="AD277" s="89"/>
      <c r="AE277" s="89"/>
      <c r="AF277" s="89"/>
      <c r="AM277" s="89"/>
      <c r="AN277" s="199"/>
      <c r="AO277" s="89"/>
    </row>
    <row r="278" spans="3:41" ht="15.75" customHeight="1" x14ac:dyDescent="0.25"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208"/>
      <c r="P278" s="20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89"/>
      <c r="AB278" s="89"/>
      <c r="AC278" s="89"/>
      <c r="AD278" s="89"/>
      <c r="AE278" s="89"/>
      <c r="AF278" s="89"/>
      <c r="AM278" s="89"/>
      <c r="AN278" s="199"/>
      <c r="AO278" s="89"/>
    </row>
    <row r="279" spans="3:41" ht="15.75" customHeight="1" x14ac:dyDescent="0.25"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208"/>
      <c r="P279" s="209"/>
      <c r="Q279" s="89"/>
      <c r="R279" s="89"/>
      <c r="S279" s="89"/>
      <c r="T279" s="89"/>
      <c r="U279" s="89"/>
      <c r="V279" s="89"/>
      <c r="W279" s="89"/>
      <c r="X279" s="89"/>
      <c r="Y279" s="89"/>
      <c r="Z279" s="89"/>
      <c r="AA279" s="89"/>
      <c r="AB279" s="89"/>
      <c r="AC279" s="89"/>
      <c r="AD279" s="89"/>
      <c r="AE279" s="89"/>
      <c r="AF279" s="89"/>
      <c r="AM279" s="89"/>
      <c r="AN279" s="199"/>
      <c r="AO279" s="89"/>
    </row>
    <row r="280" spans="3:41" ht="15.75" customHeight="1" x14ac:dyDescent="0.25"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208"/>
      <c r="P280" s="209"/>
      <c r="Q280" s="89"/>
      <c r="R280" s="89"/>
      <c r="S280" s="89"/>
      <c r="T280" s="89"/>
      <c r="U280" s="89"/>
      <c r="V280" s="89"/>
      <c r="W280" s="89"/>
      <c r="X280" s="89"/>
      <c r="Y280" s="89"/>
      <c r="Z280" s="89"/>
      <c r="AA280" s="89"/>
      <c r="AB280" s="89"/>
      <c r="AC280" s="89"/>
      <c r="AD280" s="89"/>
      <c r="AE280" s="89"/>
      <c r="AF280" s="89"/>
      <c r="AM280" s="89"/>
      <c r="AN280" s="199"/>
      <c r="AO280" s="89"/>
    </row>
    <row r="281" spans="3:41" ht="15.75" customHeight="1" x14ac:dyDescent="0.25"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208"/>
      <c r="P281" s="209"/>
      <c r="Q281" s="89"/>
      <c r="R281" s="89"/>
      <c r="S281" s="89"/>
      <c r="T281" s="89"/>
      <c r="U281" s="89"/>
      <c r="V281" s="89"/>
      <c r="W281" s="89"/>
      <c r="X281" s="89"/>
      <c r="Y281" s="89"/>
      <c r="Z281" s="89"/>
      <c r="AA281" s="89"/>
      <c r="AB281" s="89"/>
      <c r="AC281" s="89"/>
      <c r="AD281" s="89"/>
      <c r="AE281" s="89"/>
      <c r="AF281" s="89"/>
      <c r="AM281" s="89"/>
      <c r="AN281" s="199"/>
      <c r="AO281" s="89"/>
    </row>
    <row r="282" spans="3:41" ht="15.75" customHeight="1" x14ac:dyDescent="0.25"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208"/>
      <c r="P282" s="209"/>
      <c r="Q282" s="89"/>
      <c r="R282" s="89"/>
      <c r="S282" s="89"/>
      <c r="T282" s="89"/>
      <c r="U282" s="89"/>
      <c r="V282" s="89"/>
      <c r="W282" s="89"/>
      <c r="X282" s="89"/>
      <c r="Y282" s="89"/>
      <c r="Z282" s="89"/>
      <c r="AA282" s="89"/>
      <c r="AB282" s="89"/>
      <c r="AC282" s="89"/>
      <c r="AD282" s="89"/>
      <c r="AE282" s="89"/>
      <c r="AF282" s="89"/>
      <c r="AM282" s="89"/>
      <c r="AN282" s="199"/>
      <c r="AO282" s="89"/>
    </row>
    <row r="283" spans="3:41" ht="15.75" customHeight="1" x14ac:dyDescent="0.25"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208"/>
      <c r="P283" s="209"/>
      <c r="Q283" s="89"/>
      <c r="R283" s="89"/>
      <c r="S283" s="89"/>
      <c r="T283" s="89"/>
      <c r="U283" s="89"/>
      <c r="V283" s="89"/>
      <c r="W283" s="89"/>
      <c r="X283" s="89"/>
      <c r="Y283" s="89"/>
      <c r="Z283" s="89"/>
      <c r="AA283" s="89"/>
      <c r="AB283" s="89"/>
      <c r="AC283" s="89"/>
      <c r="AD283" s="89"/>
      <c r="AE283" s="89"/>
      <c r="AF283" s="89"/>
      <c r="AM283" s="89"/>
      <c r="AN283" s="199"/>
      <c r="AO283" s="89"/>
    </row>
    <row r="284" spans="3:41" ht="15.75" customHeight="1" x14ac:dyDescent="0.25"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208"/>
      <c r="P284" s="20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89"/>
      <c r="AB284" s="89"/>
      <c r="AC284" s="89"/>
      <c r="AD284" s="89"/>
      <c r="AE284" s="89"/>
      <c r="AF284" s="89"/>
      <c r="AM284" s="89"/>
      <c r="AN284" s="199"/>
      <c r="AO284" s="89"/>
    </row>
    <row r="285" spans="3:41" ht="15.75" customHeight="1" x14ac:dyDescent="0.25"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208"/>
      <c r="P285" s="20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89"/>
      <c r="AB285" s="89"/>
      <c r="AC285" s="89"/>
      <c r="AD285" s="89"/>
      <c r="AE285" s="89"/>
      <c r="AF285" s="89"/>
      <c r="AM285" s="89"/>
      <c r="AN285" s="199"/>
      <c r="AO285" s="89"/>
    </row>
    <row r="286" spans="3:41" ht="15.75" customHeight="1" x14ac:dyDescent="0.25"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208"/>
      <c r="P286" s="209"/>
      <c r="Q286" s="89"/>
      <c r="R286" s="89"/>
      <c r="S286" s="89"/>
      <c r="T286" s="89"/>
      <c r="U286" s="89"/>
      <c r="V286" s="89"/>
      <c r="W286" s="89"/>
      <c r="X286" s="89"/>
      <c r="Y286" s="89"/>
      <c r="Z286" s="89"/>
      <c r="AA286" s="89"/>
      <c r="AB286" s="89"/>
      <c r="AC286" s="89"/>
      <c r="AD286" s="89"/>
      <c r="AE286" s="89"/>
      <c r="AF286" s="89"/>
      <c r="AM286" s="89"/>
      <c r="AN286" s="199"/>
      <c r="AO286" s="89"/>
    </row>
    <row r="287" spans="3:41" ht="15.75" customHeight="1" x14ac:dyDescent="0.25"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208"/>
      <c r="P287" s="209"/>
      <c r="Q287" s="89"/>
      <c r="R287" s="89"/>
      <c r="S287" s="89"/>
      <c r="T287" s="89"/>
      <c r="U287" s="89"/>
      <c r="V287" s="89"/>
      <c r="W287" s="89"/>
      <c r="X287" s="89"/>
      <c r="Y287" s="89"/>
      <c r="Z287" s="89"/>
      <c r="AA287" s="89"/>
      <c r="AB287" s="89"/>
      <c r="AC287" s="89"/>
      <c r="AD287" s="89"/>
      <c r="AE287" s="89"/>
      <c r="AF287" s="89"/>
      <c r="AM287" s="89"/>
      <c r="AN287" s="199"/>
      <c r="AO287" s="89"/>
    </row>
    <row r="288" spans="3:41" ht="15.75" customHeight="1" x14ac:dyDescent="0.25"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208"/>
      <c r="P288" s="209"/>
      <c r="Q288" s="89"/>
      <c r="R288" s="89"/>
      <c r="S288" s="89"/>
      <c r="T288" s="89"/>
      <c r="U288" s="89"/>
      <c r="V288" s="89"/>
      <c r="W288" s="89"/>
      <c r="X288" s="89"/>
      <c r="Y288" s="89"/>
      <c r="Z288" s="89"/>
      <c r="AA288" s="89"/>
      <c r="AB288" s="89"/>
      <c r="AC288" s="89"/>
      <c r="AD288" s="89"/>
      <c r="AE288" s="89"/>
      <c r="AF288" s="89"/>
      <c r="AM288" s="89"/>
      <c r="AN288" s="199"/>
      <c r="AO288" s="89"/>
    </row>
    <row r="289" spans="3:41" ht="15.75" customHeight="1" x14ac:dyDescent="0.25"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208"/>
      <c r="P289" s="209"/>
      <c r="Q289" s="89"/>
      <c r="R289" s="89"/>
      <c r="S289" s="89"/>
      <c r="T289" s="89"/>
      <c r="U289" s="89"/>
      <c r="V289" s="89"/>
      <c r="W289" s="89"/>
      <c r="X289" s="89"/>
      <c r="Y289" s="89"/>
      <c r="Z289" s="89"/>
      <c r="AA289" s="89"/>
      <c r="AB289" s="89"/>
      <c r="AC289" s="89"/>
      <c r="AD289" s="89"/>
      <c r="AE289" s="89"/>
      <c r="AF289" s="89"/>
      <c r="AM289" s="89"/>
      <c r="AN289" s="199"/>
      <c r="AO289" s="89"/>
    </row>
    <row r="290" spans="3:41" ht="15.75" customHeight="1" x14ac:dyDescent="0.25"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208"/>
      <c r="P290" s="20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89"/>
      <c r="AB290" s="89"/>
      <c r="AC290" s="89"/>
      <c r="AD290" s="89"/>
      <c r="AE290" s="89"/>
      <c r="AF290" s="89"/>
      <c r="AM290" s="89"/>
      <c r="AN290" s="199"/>
      <c r="AO290" s="89"/>
    </row>
    <row r="291" spans="3:41" ht="15.75" customHeight="1" x14ac:dyDescent="0.25"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208"/>
      <c r="P291" s="209"/>
      <c r="Q291" s="89"/>
      <c r="R291" s="89"/>
      <c r="S291" s="89"/>
      <c r="T291" s="89"/>
      <c r="U291" s="89"/>
      <c r="V291" s="89"/>
      <c r="W291" s="89"/>
      <c r="X291" s="89"/>
      <c r="Y291" s="89"/>
      <c r="Z291" s="89"/>
      <c r="AA291" s="89"/>
      <c r="AB291" s="89"/>
      <c r="AC291" s="89"/>
      <c r="AD291" s="89"/>
      <c r="AE291" s="89"/>
      <c r="AF291" s="89"/>
      <c r="AM291" s="89"/>
      <c r="AN291" s="199"/>
      <c r="AO291" s="89"/>
    </row>
    <row r="292" spans="3:41" ht="15.75" customHeight="1" x14ac:dyDescent="0.25"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208"/>
      <c r="P292" s="209"/>
      <c r="Q292" s="89"/>
      <c r="R292" s="89"/>
      <c r="S292" s="89"/>
      <c r="T292" s="89"/>
      <c r="U292" s="89"/>
      <c r="V292" s="89"/>
      <c r="W292" s="89"/>
      <c r="X292" s="89"/>
      <c r="Y292" s="89"/>
      <c r="Z292" s="89"/>
      <c r="AA292" s="89"/>
      <c r="AB292" s="89"/>
      <c r="AC292" s="89"/>
      <c r="AD292" s="89"/>
      <c r="AE292" s="89"/>
      <c r="AF292" s="89"/>
      <c r="AM292" s="89"/>
      <c r="AN292" s="199"/>
      <c r="AO292" s="89"/>
    </row>
    <row r="293" spans="3:41" ht="15.75" customHeight="1" x14ac:dyDescent="0.25"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208"/>
      <c r="P293" s="209"/>
      <c r="Q293" s="89"/>
      <c r="R293" s="89"/>
      <c r="S293" s="89"/>
      <c r="T293" s="89"/>
      <c r="U293" s="89"/>
      <c r="V293" s="89"/>
      <c r="W293" s="89"/>
      <c r="X293" s="89"/>
      <c r="Y293" s="89"/>
      <c r="Z293" s="89"/>
      <c r="AA293" s="89"/>
      <c r="AB293" s="89"/>
      <c r="AC293" s="89"/>
      <c r="AD293" s="89"/>
      <c r="AE293" s="89"/>
      <c r="AF293" s="89"/>
      <c r="AM293" s="89"/>
      <c r="AN293" s="199"/>
      <c r="AO293" s="89"/>
    </row>
    <row r="294" spans="3:41" ht="15.75" customHeight="1" x14ac:dyDescent="0.25"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208"/>
      <c r="P294" s="209"/>
      <c r="Q294" s="89"/>
      <c r="R294" s="89"/>
      <c r="S294" s="89"/>
      <c r="T294" s="89"/>
      <c r="U294" s="89"/>
      <c r="V294" s="89"/>
      <c r="W294" s="89"/>
      <c r="X294" s="89"/>
      <c r="Y294" s="89"/>
      <c r="Z294" s="89"/>
      <c r="AA294" s="89"/>
      <c r="AB294" s="89"/>
      <c r="AC294" s="89"/>
      <c r="AD294" s="89"/>
      <c r="AE294" s="89"/>
      <c r="AF294" s="89"/>
      <c r="AM294" s="89"/>
      <c r="AN294" s="199"/>
      <c r="AO294" s="89"/>
    </row>
    <row r="295" spans="3:41" ht="15.75" customHeight="1" x14ac:dyDescent="0.25"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208"/>
      <c r="P295" s="20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M295" s="89"/>
      <c r="AN295" s="199"/>
      <c r="AO295" s="89"/>
    </row>
    <row r="296" spans="3:41" ht="15.75" customHeight="1" x14ac:dyDescent="0.25"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208"/>
      <c r="P296" s="20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89"/>
      <c r="AB296" s="89"/>
      <c r="AC296" s="89"/>
      <c r="AD296" s="89"/>
      <c r="AE296" s="89"/>
      <c r="AF296" s="89"/>
      <c r="AM296" s="89"/>
      <c r="AN296" s="199"/>
      <c r="AO296" s="89"/>
    </row>
    <row r="297" spans="3:41" ht="15.75" customHeight="1" x14ac:dyDescent="0.25"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208"/>
      <c r="P297" s="209"/>
      <c r="Q297" s="89"/>
      <c r="R297" s="89"/>
      <c r="S297" s="89"/>
      <c r="T297" s="89"/>
      <c r="U297" s="89"/>
      <c r="V297" s="89"/>
      <c r="W297" s="89"/>
      <c r="X297" s="89"/>
      <c r="Y297" s="89"/>
      <c r="Z297" s="89"/>
      <c r="AA297" s="89"/>
      <c r="AB297" s="89"/>
      <c r="AC297" s="89"/>
      <c r="AD297" s="89"/>
      <c r="AE297" s="89"/>
      <c r="AF297" s="89"/>
      <c r="AM297" s="89"/>
      <c r="AN297" s="199"/>
      <c r="AO297" s="89"/>
    </row>
    <row r="298" spans="3:41" ht="15.75" customHeight="1" x14ac:dyDescent="0.25"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208"/>
      <c r="P298" s="209"/>
      <c r="Q298" s="89"/>
      <c r="R298" s="89"/>
      <c r="S298" s="89"/>
      <c r="T298" s="89"/>
      <c r="U298" s="89"/>
      <c r="V298" s="89"/>
      <c r="W298" s="89"/>
      <c r="X298" s="89"/>
      <c r="Y298" s="89"/>
      <c r="Z298" s="89"/>
      <c r="AA298" s="89"/>
      <c r="AB298" s="89"/>
      <c r="AC298" s="89"/>
      <c r="AD298" s="89"/>
      <c r="AE298" s="89"/>
      <c r="AF298" s="89"/>
      <c r="AM298" s="89"/>
      <c r="AN298" s="199"/>
      <c r="AO298" s="89"/>
    </row>
    <row r="299" spans="3:41" ht="15.75" customHeight="1" x14ac:dyDescent="0.25"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208"/>
      <c r="P299" s="209"/>
      <c r="Q299" s="89"/>
      <c r="R299" s="89"/>
      <c r="S299" s="89"/>
      <c r="T299" s="89"/>
      <c r="U299" s="89"/>
      <c r="V299" s="89"/>
      <c r="W299" s="89"/>
      <c r="X299" s="89"/>
      <c r="Y299" s="89"/>
      <c r="Z299" s="89"/>
      <c r="AA299" s="89"/>
      <c r="AB299" s="89"/>
      <c r="AC299" s="89"/>
      <c r="AD299" s="89"/>
      <c r="AE299" s="89"/>
      <c r="AF299" s="89"/>
      <c r="AM299" s="89"/>
      <c r="AN299" s="199"/>
      <c r="AO299" s="89"/>
    </row>
    <row r="300" spans="3:41" ht="15.75" customHeight="1" x14ac:dyDescent="0.25"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208"/>
      <c r="P300" s="209"/>
      <c r="Q300" s="89"/>
      <c r="R300" s="89"/>
      <c r="S300" s="89"/>
      <c r="T300" s="89"/>
      <c r="U300" s="89"/>
      <c r="V300" s="89"/>
      <c r="W300" s="89"/>
      <c r="X300" s="89"/>
      <c r="Y300" s="89"/>
      <c r="Z300" s="89"/>
      <c r="AA300" s="89"/>
      <c r="AB300" s="89"/>
      <c r="AC300" s="89"/>
      <c r="AD300" s="89"/>
      <c r="AE300" s="89"/>
      <c r="AF300" s="89"/>
      <c r="AM300" s="89"/>
      <c r="AN300" s="199"/>
      <c r="AO300" s="89"/>
    </row>
    <row r="301" spans="3:41" ht="15.75" customHeight="1" x14ac:dyDescent="0.25"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208"/>
      <c r="P301" s="209"/>
      <c r="Q301" s="89"/>
      <c r="R301" s="89"/>
      <c r="S301" s="89"/>
      <c r="T301" s="89"/>
      <c r="U301" s="89"/>
      <c r="V301" s="89"/>
      <c r="W301" s="89"/>
      <c r="X301" s="89"/>
      <c r="Y301" s="89"/>
      <c r="Z301" s="89"/>
      <c r="AA301" s="89"/>
      <c r="AB301" s="89"/>
      <c r="AC301" s="89"/>
      <c r="AD301" s="89"/>
      <c r="AE301" s="89"/>
      <c r="AF301" s="89"/>
      <c r="AM301" s="89"/>
      <c r="AN301" s="199"/>
      <c r="AO301" s="89"/>
    </row>
    <row r="302" spans="3:41" ht="15.75" customHeight="1" x14ac:dyDescent="0.25"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208"/>
      <c r="P302" s="209"/>
      <c r="Q302" s="89"/>
      <c r="R302" s="89"/>
      <c r="S302" s="89"/>
      <c r="T302" s="89"/>
      <c r="U302" s="89"/>
      <c r="V302" s="89"/>
      <c r="W302" s="89"/>
      <c r="X302" s="89"/>
      <c r="Y302" s="89"/>
      <c r="Z302" s="89"/>
      <c r="AA302" s="89"/>
      <c r="AB302" s="89"/>
      <c r="AC302" s="89"/>
      <c r="AD302" s="89"/>
      <c r="AE302" s="89"/>
      <c r="AF302" s="89"/>
      <c r="AM302" s="89"/>
      <c r="AN302" s="199"/>
      <c r="AO302" s="89"/>
    </row>
    <row r="303" spans="3:41" ht="15.75" customHeight="1" x14ac:dyDescent="0.25"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208"/>
      <c r="P303" s="209"/>
      <c r="Q303" s="89"/>
      <c r="R303" s="89"/>
      <c r="S303" s="89"/>
      <c r="T303" s="89"/>
      <c r="U303" s="89"/>
      <c r="V303" s="89"/>
      <c r="W303" s="89"/>
      <c r="X303" s="89"/>
      <c r="Y303" s="89"/>
      <c r="Z303" s="89"/>
      <c r="AA303" s="89"/>
      <c r="AB303" s="89"/>
      <c r="AC303" s="89"/>
      <c r="AD303" s="89"/>
      <c r="AE303" s="89"/>
      <c r="AF303" s="89"/>
      <c r="AM303" s="89"/>
      <c r="AN303" s="199"/>
      <c r="AO303" s="89"/>
    </row>
    <row r="304" spans="3:41" ht="15.75" customHeight="1" x14ac:dyDescent="0.25"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208"/>
      <c r="P304" s="209"/>
      <c r="Q304" s="89"/>
      <c r="R304" s="89"/>
      <c r="S304" s="89"/>
      <c r="T304" s="89"/>
      <c r="U304" s="89"/>
      <c r="V304" s="89"/>
      <c r="W304" s="89"/>
      <c r="X304" s="89"/>
      <c r="Y304" s="89"/>
      <c r="Z304" s="89"/>
      <c r="AA304" s="89"/>
      <c r="AB304" s="89"/>
      <c r="AC304" s="89"/>
      <c r="AD304" s="89"/>
      <c r="AE304" s="89"/>
      <c r="AF304" s="89"/>
      <c r="AM304" s="89"/>
      <c r="AN304" s="199"/>
      <c r="AO304" s="89"/>
    </row>
    <row r="305" spans="3:41" ht="15.75" customHeight="1" x14ac:dyDescent="0.25"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208"/>
      <c r="P305" s="20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89"/>
      <c r="AB305" s="89"/>
      <c r="AC305" s="89"/>
      <c r="AD305" s="89"/>
      <c r="AE305" s="89"/>
      <c r="AF305" s="89"/>
      <c r="AM305" s="89"/>
      <c r="AN305" s="199"/>
      <c r="AO305" s="89"/>
    </row>
    <row r="306" spans="3:41" ht="15.75" customHeight="1" x14ac:dyDescent="0.25"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208"/>
      <c r="P306" s="209"/>
      <c r="Q306" s="89"/>
      <c r="R306" s="89"/>
      <c r="S306" s="89"/>
      <c r="T306" s="89"/>
      <c r="U306" s="89"/>
      <c r="V306" s="89"/>
      <c r="W306" s="89"/>
      <c r="X306" s="89"/>
      <c r="Y306" s="89"/>
      <c r="Z306" s="89"/>
      <c r="AA306" s="89"/>
      <c r="AB306" s="89"/>
      <c r="AC306" s="89"/>
      <c r="AD306" s="89"/>
      <c r="AE306" s="89"/>
      <c r="AF306" s="89"/>
      <c r="AM306" s="89"/>
      <c r="AN306" s="199"/>
      <c r="AO306" s="89"/>
    </row>
    <row r="307" spans="3:41" ht="15.75" customHeight="1" x14ac:dyDescent="0.25"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208"/>
      <c r="P307" s="20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M307" s="89"/>
      <c r="AN307" s="199"/>
      <c r="AO307" s="89"/>
    </row>
    <row r="308" spans="3:41" ht="15.75" customHeight="1" x14ac:dyDescent="0.25"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208"/>
      <c r="P308" s="209"/>
      <c r="Q308" s="89"/>
      <c r="R308" s="89"/>
      <c r="S308" s="89"/>
      <c r="T308" s="89"/>
      <c r="U308" s="89"/>
      <c r="V308" s="89"/>
      <c r="W308" s="89"/>
      <c r="X308" s="89"/>
      <c r="Y308" s="89"/>
      <c r="Z308" s="89"/>
      <c r="AA308" s="89"/>
      <c r="AB308" s="89"/>
      <c r="AC308" s="89"/>
      <c r="AD308" s="89"/>
      <c r="AE308" s="89"/>
      <c r="AF308" s="89"/>
      <c r="AM308" s="89"/>
      <c r="AN308" s="199"/>
      <c r="AO308" s="89"/>
    </row>
    <row r="309" spans="3:41" ht="15.75" customHeight="1" x14ac:dyDescent="0.25"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208"/>
      <c r="P309" s="209"/>
      <c r="Q309" s="89"/>
      <c r="R309" s="89"/>
      <c r="S309" s="89"/>
      <c r="T309" s="89"/>
      <c r="U309" s="89"/>
      <c r="V309" s="89"/>
      <c r="W309" s="89"/>
      <c r="X309" s="89"/>
      <c r="Y309" s="89"/>
      <c r="Z309" s="89"/>
      <c r="AA309" s="89"/>
      <c r="AB309" s="89"/>
      <c r="AC309" s="89"/>
      <c r="AD309" s="89"/>
      <c r="AE309" s="89"/>
      <c r="AF309" s="89"/>
      <c r="AM309" s="89"/>
      <c r="AN309" s="199"/>
      <c r="AO309" s="89"/>
    </row>
    <row r="310" spans="3:41" ht="15.75" customHeight="1" x14ac:dyDescent="0.25"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208"/>
      <c r="P310" s="209"/>
      <c r="Q310" s="89"/>
      <c r="R310" s="89"/>
      <c r="S310" s="89"/>
      <c r="T310" s="89"/>
      <c r="U310" s="89"/>
      <c r="V310" s="89"/>
      <c r="W310" s="89"/>
      <c r="X310" s="89"/>
      <c r="Y310" s="89"/>
      <c r="Z310" s="89"/>
      <c r="AA310" s="89"/>
      <c r="AB310" s="89"/>
      <c r="AC310" s="89"/>
      <c r="AD310" s="89"/>
      <c r="AE310" s="89"/>
      <c r="AF310" s="89"/>
      <c r="AM310" s="89"/>
      <c r="AN310" s="199"/>
      <c r="AO310" s="89"/>
    </row>
    <row r="311" spans="3:41" ht="15.75" customHeight="1" x14ac:dyDescent="0.25"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208"/>
      <c r="P311" s="209"/>
      <c r="Q311" s="89"/>
      <c r="R311" s="89"/>
      <c r="S311" s="89"/>
      <c r="T311" s="89"/>
      <c r="U311" s="89"/>
      <c r="V311" s="89"/>
      <c r="W311" s="89"/>
      <c r="X311" s="89"/>
      <c r="Y311" s="89"/>
      <c r="Z311" s="89"/>
      <c r="AA311" s="89"/>
      <c r="AB311" s="89"/>
      <c r="AC311" s="89"/>
      <c r="AD311" s="89"/>
      <c r="AE311" s="89"/>
      <c r="AF311" s="89"/>
      <c r="AM311" s="89"/>
      <c r="AN311" s="199"/>
      <c r="AO311" s="89"/>
    </row>
    <row r="312" spans="3:41" ht="15.75" customHeight="1" x14ac:dyDescent="0.25"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208"/>
      <c r="P312" s="209"/>
      <c r="Q312" s="89"/>
      <c r="R312" s="89"/>
      <c r="S312" s="89"/>
      <c r="T312" s="89"/>
      <c r="U312" s="89"/>
      <c r="V312" s="89"/>
      <c r="W312" s="89"/>
      <c r="X312" s="89"/>
      <c r="Y312" s="89"/>
      <c r="Z312" s="89"/>
      <c r="AA312" s="89"/>
      <c r="AB312" s="89"/>
      <c r="AC312" s="89"/>
      <c r="AD312" s="89"/>
      <c r="AE312" s="89"/>
      <c r="AF312" s="89"/>
      <c r="AM312" s="89"/>
      <c r="AN312" s="199"/>
      <c r="AO312" s="89"/>
    </row>
    <row r="313" spans="3:41" ht="15.75" customHeight="1" x14ac:dyDescent="0.25"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208"/>
      <c r="P313" s="209"/>
      <c r="Q313" s="89"/>
      <c r="R313" s="89"/>
      <c r="S313" s="89"/>
      <c r="T313" s="89"/>
      <c r="U313" s="89"/>
      <c r="V313" s="89"/>
      <c r="W313" s="89"/>
      <c r="X313" s="89"/>
      <c r="Y313" s="89"/>
      <c r="Z313" s="89"/>
      <c r="AA313" s="89"/>
      <c r="AB313" s="89"/>
      <c r="AC313" s="89"/>
      <c r="AD313" s="89"/>
      <c r="AE313" s="89"/>
      <c r="AF313" s="89"/>
      <c r="AM313" s="89"/>
      <c r="AN313" s="199"/>
      <c r="AO313" s="89"/>
    </row>
    <row r="314" spans="3:41" ht="15.75" customHeight="1" x14ac:dyDescent="0.25"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208"/>
      <c r="P314" s="20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89"/>
      <c r="AB314" s="89"/>
      <c r="AC314" s="89"/>
      <c r="AD314" s="89"/>
      <c r="AE314" s="89"/>
      <c r="AF314" s="89"/>
      <c r="AM314" s="89"/>
      <c r="AN314" s="199"/>
      <c r="AO314" s="89"/>
    </row>
    <row r="315" spans="3:41" ht="15.75" customHeight="1" x14ac:dyDescent="0.25"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208"/>
      <c r="P315" s="209"/>
      <c r="Q315" s="89"/>
      <c r="R315" s="89"/>
      <c r="S315" s="89"/>
      <c r="T315" s="89"/>
      <c r="U315" s="89"/>
      <c r="V315" s="89"/>
      <c r="W315" s="89"/>
      <c r="X315" s="89"/>
      <c r="Y315" s="89"/>
      <c r="Z315" s="89"/>
      <c r="AA315" s="89"/>
      <c r="AB315" s="89"/>
      <c r="AC315" s="89"/>
      <c r="AD315" s="89"/>
      <c r="AE315" s="89"/>
      <c r="AF315" s="89"/>
      <c r="AM315" s="89"/>
      <c r="AN315" s="199"/>
      <c r="AO315" s="89"/>
    </row>
    <row r="316" spans="3:41" ht="15.75" customHeight="1" x14ac:dyDescent="0.25"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208"/>
      <c r="P316" s="209"/>
      <c r="Q316" s="89"/>
      <c r="R316" s="89"/>
      <c r="S316" s="89"/>
      <c r="T316" s="89"/>
      <c r="U316" s="89"/>
      <c r="V316" s="89"/>
      <c r="W316" s="89"/>
      <c r="X316" s="89"/>
      <c r="Y316" s="89"/>
      <c r="Z316" s="89"/>
      <c r="AA316" s="89"/>
      <c r="AB316" s="89"/>
      <c r="AC316" s="89"/>
      <c r="AD316" s="89"/>
      <c r="AE316" s="89"/>
      <c r="AF316" s="89"/>
      <c r="AM316" s="89"/>
      <c r="AN316" s="199"/>
      <c r="AO316" s="89"/>
    </row>
    <row r="317" spans="3:41" ht="15.75" customHeight="1" x14ac:dyDescent="0.25"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208"/>
      <c r="P317" s="209"/>
      <c r="Q317" s="89"/>
      <c r="R317" s="89"/>
      <c r="S317" s="89"/>
      <c r="T317" s="89"/>
      <c r="U317" s="89"/>
      <c r="V317" s="89"/>
      <c r="W317" s="89"/>
      <c r="X317" s="89"/>
      <c r="Y317" s="89"/>
      <c r="Z317" s="89"/>
      <c r="AA317" s="89"/>
      <c r="AB317" s="89"/>
      <c r="AC317" s="89"/>
      <c r="AD317" s="89"/>
      <c r="AE317" s="89"/>
      <c r="AF317" s="89"/>
      <c r="AM317" s="89"/>
      <c r="AN317" s="199"/>
      <c r="AO317" s="89"/>
    </row>
    <row r="318" spans="3:41" ht="15.75" customHeight="1" x14ac:dyDescent="0.25"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208"/>
      <c r="P318" s="209"/>
      <c r="Q318" s="89"/>
      <c r="R318" s="89"/>
      <c r="S318" s="89"/>
      <c r="T318" s="89"/>
      <c r="U318" s="89"/>
      <c r="V318" s="89"/>
      <c r="W318" s="89"/>
      <c r="X318" s="89"/>
      <c r="Y318" s="89"/>
      <c r="Z318" s="89"/>
      <c r="AA318" s="89"/>
      <c r="AB318" s="89"/>
      <c r="AC318" s="89"/>
      <c r="AD318" s="89"/>
      <c r="AE318" s="89"/>
      <c r="AF318" s="89"/>
      <c r="AM318" s="89"/>
      <c r="AN318" s="199"/>
      <c r="AO318" s="89"/>
    </row>
    <row r="319" spans="3:41" ht="15.75" customHeight="1" x14ac:dyDescent="0.25"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208"/>
      <c r="P319" s="209"/>
      <c r="Q319" s="89"/>
      <c r="R319" s="89"/>
      <c r="S319" s="89"/>
      <c r="T319" s="89"/>
      <c r="U319" s="89"/>
      <c r="V319" s="89"/>
      <c r="W319" s="89"/>
      <c r="X319" s="89"/>
      <c r="Y319" s="89"/>
      <c r="Z319" s="89"/>
      <c r="AA319" s="89"/>
      <c r="AB319" s="89"/>
      <c r="AC319" s="89"/>
      <c r="AD319" s="89"/>
      <c r="AE319" s="89"/>
      <c r="AF319" s="89"/>
      <c r="AM319" s="89"/>
      <c r="AN319" s="199"/>
      <c r="AO319" s="89"/>
    </row>
    <row r="320" spans="3:41" ht="15.75" customHeight="1" x14ac:dyDescent="0.25"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208"/>
      <c r="P320" s="209"/>
      <c r="Q320" s="89"/>
      <c r="R320" s="89"/>
      <c r="S320" s="89"/>
      <c r="T320" s="89"/>
      <c r="U320" s="89"/>
      <c r="V320" s="89"/>
      <c r="W320" s="89"/>
      <c r="X320" s="89"/>
      <c r="Y320" s="89"/>
      <c r="Z320" s="89"/>
      <c r="AA320" s="89"/>
      <c r="AB320" s="89"/>
      <c r="AC320" s="89"/>
      <c r="AD320" s="89"/>
      <c r="AE320" s="89"/>
      <c r="AF320" s="89"/>
      <c r="AM320" s="89"/>
      <c r="AN320" s="199"/>
      <c r="AO320" s="89"/>
    </row>
    <row r="321" spans="3:41" ht="15.75" customHeight="1" x14ac:dyDescent="0.25"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208"/>
      <c r="P321" s="20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89"/>
      <c r="AB321" s="89"/>
      <c r="AC321" s="89"/>
      <c r="AD321" s="89"/>
      <c r="AE321" s="89"/>
      <c r="AF321" s="89"/>
      <c r="AM321" s="89"/>
      <c r="AN321" s="199"/>
      <c r="AO321" s="89"/>
    </row>
    <row r="322" spans="3:41" ht="15.75" customHeight="1" x14ac:dyDescent="0.25"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208"/>
      <c r="P322" s="209"/>
      <c r="Q322" s="89"/>
      <c r="R322" s="89"/>
      <c r="S322" s="89"/>
      <c r="T322" s="89"/>
      <c r="U322" s="89"/>
      <c r="V322" s="89"/>
      <c r="W322" s="89"/>
      <c r="X322" s="89"/>
      <c r="Y322" s="89"/>
      <c r="Z322" s="89"/>
      <c r="AA322" s="89"/>
      <c r="AB322" s="89"/>
      <c r="AC322" s="89"/>
      <c r="AD322" s="89"/>
      <c r="AE322" s="89"/>
      <c r="AF322" s="89"/>
      <c r="AM322" s="89"/>
      <c r="AN322" s="199"/>
      <c r="AO322" s="89"/>
    </row>
    <row r="323" spans="3:41" ht="15.75" customHeight="1" x14ac:dyDescent="0.25"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208"/>
      <c r="P323" s="209"/>
      <c r="Q323" s="89"/>
      <c r="R323" s="89"/>
      <c r="S323" s="89"/>
      <c r="T323" s="89"/>
      <c r="U323" s="89"/>
      <c r="V323" s="89"/>
      <c r="W323" s="89"/>
      <c r="X323" s="89"/>
      <c r="Y323" s="89"/>
      <c r="Z323" s="89"/>
      <c r="AA323" s="89"/>
      <c r="AB323" s="89"/>
      <c r="AC323" s="89"/>
      <c r="AD323" s="89"/>
      <c r="AE323" s="89"/>
      <c r="AF323" s="89"/>
      <c r="AM323" s="89"/>
      <c r="AN323" s="199"/>
      <c r="AO323" s="89"/>
    </row>
    <row r="324" spans="3:41" ht="15.75" customHeight="1" x14ac:dyDescent="0.25"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208"/>
      <c r="P324" s="209"/>
      <c r="Q324" s="89"/>
      <c r="R324" s="89"/>
      <c r="S324" s="89"/>
      <c r="T324" s="89"/>
      <c r="U324" s="89"/>
      <c r="V324" s="89"/>
      <c r="W324" s="89"/>
      <c r="X324" s="89"/>
      <c r="Y324" s="89"/>
      <c r="Z324" s="89"/>
      <c r="AA324" s="89"/>
      <c r="AB324" s="89"/>
      <c r="AC324" s="89"/>
      <c r="AD324" s="89"/>
      <c r="AE324" s="89"/>
      <c r="AF324" s="89"/>
      <c r="AM324" s="89"/>
      <c r="AN324" s="199"/>
      <c r="AO324" s="89"/>
    </row>
    <row r="325" spans="3:41" ht="15.75" customHeight="1" x14ac:dyDescent="0.25"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208"/>
      <c r="P325" s="209"/>
      <c r="Q325" s="89"/>
      <c r="R325" s="89"/>
      <c r="S325" s="89"/>
      <c r="T325" s="89"/>
      <c r="U325" s="89"/>
      <c r="V325" s="89"/>
      <c r="W325" s="89"/>
      <c r="X325" s="89"/>
      <c r="Y325" s="89"/>
      <c r="Z325" s="89"/>
      <c r="AA325" s="89"/>
      <c r="AB325" s="89"/>
      <c r="AC325" s="89"/>
      <c r="AD325" s="89"/>
      <c r="AE325" s="89"/>
      <c r="AF325" s="89"/>
      <c r="AM325" s="89"/>
      <c r="AN325" s="199"/>
      <c r="AO325" s="89"/>
    </row>
    <row r="326" spans="3:41" ht="15.75" customHeight="1" x14ac:dyDescent="0.25"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208"/>
      <c r="P326" s="209"/>
      <c r="Q326" s="89"/>
      <c r="R326" s="89"/>
      <c r="S326" s="89"/>
      <c r="T326" s="89"/>
      <c r="U326" s="89"/>
      <c r="V326" s="89"/>
      <c r="W326" s="89"/>
      <c r="X326" s="89"/>
      <c r="Y326" s="89"/>
      <c r="Z326" s="89"/>
      <c r="AA326" s="89"/>
      <c r="AB326" s="89"/>
      <c r="AC326" s="89"/>
      <c r="AD326" s="89"/>
      <c r="AE326" s="89"/>
      <c r="AF326" s="89"/>
      <c r="AM326" s="89"/>
      <c r="AN326" s="199"/>
      <c r="AO326" s="89"/>
    </row>
    <row r="327" spans="3:41" ht="15.75" customHeight="1" x14ac:dyDescent="0.25"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208"/>
      <c r="P327" s="20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89"/>
      <c r="AB327" s="89"/>
      <c r="AC327" s="89"/>
      <c r="AD327" s="89"/>
      <c r="AE327" s="89"/>
      <c r="AF327" s="89"/>
      <c r="AM327" s="89"/>
      <c r="AN327" s="199"/>
      <c r="AO327" s="89"/>
    </row>
    <row r="328" spans="3:41" ht="15.75" customHeight="1" x14ac:dyDescent="0.25"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208"/>
      <c r="P328" s="209"/>
      <c r="Q328" s="89"/>
      <c r="R328" s="89"/>
      <c r="S328" s="89"/>
      <c r="T328" s="89"/>
      <c r="U328" s="89"/>
      <c r="V328" s="89"/>
      <c r="W328" s="89"/>
      <c r="X328" s="89"/>
      <c r="Y328" s="89"/>
      <c r="Z328" s="89"/>
      <c r="AA328" s="89"/>
      <c r="AB328" s="89"/>
      <c r="AC328" s="89"/>
      <c r="AD328" s="89"/>
      <c r="AE328" s="89"/>
      <c r="AF328" s="89"/>
      <c r="AM328" s="89"/>
      <c r="AN328" s="199"/>
      <c r="AO328" s="89"/>
    </row>
    <row r="329" spans="3:41" ht="15.75" customHeight="1" x14ac:dyDescent="0.25"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208"/>
      <c r="P329" s="209"/>
      <c r="Q329" s="89"/>
      <c r="R329" s="89"/>
      <c r="S329" s="89"/>
      <c r="T329" s="89"/>
      <c r="U329" s="89"/>
      <c r="V329" s="89"/>
      <c r="W329" s="89"/>
      <c r="X329" s="89"/>
      <c r="Y329" s="89"/>
      <c r="Z329" s="89"/>
      <c r="AA329" s="89"/>
      <c r="AB329" s="89"/>
      <c r="AC329" s="89"/>
      <c r="AD329" s="89"/>
      <c r="AE329" s="89"/>
      <c r="AF329" s="89"/>
      <c r="AM329" s="89"/>
      <c r="AN329" s="199"/>
      <c r="AO329" s="89"/>
    </row>
    <row r="330" spans="3:41" ht="15.75" customHeight="1" x14ac:dyDescent="0.25"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208"/>
      <c r="P330" s="209"/>
      <c r="Q330" s="89"/>
      <c r="R330" s="89"/>
      <c r="S330" s="89"/>
      <c r="T330" s="89"/>
      <c r="U330" s="89"/>
      <c r="V330" s="89"/>
      <c r="W330" s="89"/>
      <c r="X330" s="89"/>
      <c r="Y330" s="89"/>
      <c r="Z330" s="89"/>
      <c r="AA330" s="89"/>
      <c r="AB330" s="89"/>
      <c r="AC330" s="89"/>
      <c r="AD330" s="89"/>
      <c r="AE330" s="89"/>
      <c r="AF330" s="89"/>
      <c r="AM330" s="89"/>
      <c r="AN330" s="199"/>
      <c r="AO330" s="89"/>
    </row>
    <row r="331" spans="3:41" ht="15.75" customHeight="1" x14ac:dyDescent="0.25"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208"/>
      <c r="P331" s="209"/>
      <c r="Q331" s="89"/>
      <c r="R331" s="89"/>
      <c r="S331" s="89"/>
      <c r="T331" s="89"/>
      <c r="U331" s="89"/>
      <c r="V331" s="89"/>
      <c r="W331" s="89"/>
      <c r="X331" s="89"/>
      <c r="Y331" s="89"/>
      <c r="Z331" s="89"/>
      <c r="AA331" s="89"/>
      <c r="AB331" s="89"/>
      <c r="AC331" s="89"/>
      <c r="AD331" s="89"/>
      <c r="AE331" s="89"/>
      <c r="AF331" s="89"/>
      <c r="AM331" s="89"/>
      <c r="AN331" s="199"/>
      <c r="AO331" s="89"/>
    </row>
    <row r="332" spans="3:41" ht="15.75" customHeight="1" x14ac:dyDescent="0.25"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208"/>
      <c r="P332" s="209"/>
      <c r="Q332" s="89"/>
      <c r="R332" s="89"/>
      <c r="S332" s="89"/>
      <c r="T332" s="89"/>
      <c r="U332" s="89"/>
      <c r="V332" s="89"/>
      <c r="W332" s="89"/>
      <c r="X332" s="89"/>
      <c r="Y332" s="89"/>
      <c r="Z332" s="89"/>
      <c r="AA332" s="89"/>
      <c r="AB332" s="89"/>
      <c r="AC332" s="89"/>
      <c r="AD332" s="89"/>
      <c r="AE332" s="89"/>
      <c r="AF332" s="89"/>
      <c r="AM332" s="89"/>
      <c r="AN332" s="199"/>
      <c r="AO332" s="89"/>
    </row>
    <row r="333" spans="3:41" ht="15.75" customHeight="1" x14ac:dyDescent="0.25"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208"/>
      <c r="P333" s="209"/>
      <c r="Q333" s="89"/>
      <c r="R333" s="89"/>
      <c r="S333" s="89"/>
      <c r="T333" s="89"/>
      <c r="U333" s="89"/>
      <c r="V333" s="89"/>
      <c r="W333" s="89"/>
      <c r="X333" s="89"/>
      <c r="Y333" s="89"/>
      <c r="Z333" s="89"/>
      <c r="AA333" s="89"/>
      <c r="AB333" s="89"/>
      <c r="AC333" s="89"/>
      <c r="AD333" s="89"/>
      <c r="AE333" s="89"/>
      <c r="AF333" s="89"/>
      <c r="AM333" s="89"/>
      <c r="AN333" s="199"/>
      <c r="AO333" s="89"/>
    </row>
    <row r="334" spans="3:41" ht="15.75" customHeight="1" x14ac:dyDescent="0.25"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208"/>
      <c r="P334" s="20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89"/>
      <c r="AB334" s="89"/>
      <c r="AC334" s="89"/>
      <c r="AD334" s="89"/>
      <c r="AE334" s="89"/>
      <c r="AF334" s="89"/>
      <c r="AM334" s="89"/>
      <c r="AN334" s="199"/>
      <c r="AO334" s="89"/>
    </row>
    <row r="335" spans="3:41" ht="15.75" customHeight="1" x14ac:dyDescent="0.25"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208"/>
      <c r="P335" s="209"/>
      <c r="Q335" s="89"/>
      <c r="R335" s="89"/>
      <c r="S335" s="89"/>
      <c r="T335" s="89"/>
      <c r="U335" s="89"/>
      <c r="V335" s="89"/>
      <c r="W335" s="89"/>
      <c r="X335" s="89"/>
      <c r="Y335" s="89"/>
      <c r="Z335" s="89"/>
      <c r="AA335" s="89"/>
      <c r="AB335" s="89"/>
      <c r="AC335" s="89"/>
      <c r="AD335" s="89"/>
      <c r="AE335" s="89"/>
      <c r="AF335" s="89"/>
      <c r="AM335" s="89"/>
      <c r="AN335" s="199"/>
      <c r="AO335" s="89"/>
    </row>
    <row r="336" spans="3:41" ht="15.75" customHeight="1" x14ac:dyDescent="0.25"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208"/>
      <c r="P336" s="209"/>
      <c r="Q336" s="89"/>
      <c r="R336" s="89"/>
      <c r="S336" s="89"/>
      <c r="T336" s="89"/>
      <c r="U336" s="89"/>
      <c r="V336" s="89"/>
      <c r="W336" s="89"/>
      <c r="X336" s="89"/>
      <c r="Y336" s="89"/>
      <c r="Z336" s="89"/>
      <c r="AA336" s="89"/>
      <c r="AB336" s="89"/>
      <c r="AC336" s="89"/>
      <c r="AD336" s="89"/>
      <c r="AE336" s="89"/>
      <c r="AF336" s="89"/>
      <c r="AM336" s="89"/>
      <c r="AN336" s="199"/>
      <c r="AO336" s="89"/>
    </row>
    <row r="337" spans="3:41" ht="15.75" customHeight="1" x14ac:dyDescent="0.25"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208"/>
      <c r="P337" s="209"/>
      <c r="Q337" s="89"/>
      <c r="R337" s="89"/>
      <c r="S337" s="89"/>
      <c r="T337" s="89"/>
      <c r="U337" s="89"/>
      <c r="V337" s="89"/>
      <c r="W337" s="89"/>
      <c r="X337" s="89"/>
      <c r="Y337" s="89"/>
      <c r="Z337" s="89"/>
      <c r="AA337" s="89"/>
      <c r="AB337" s="89"/>
      <c r="AC337" s="89"/>
      <c r="AD337" s="89"/>
      <c r="AE337" s="89"/>
      <c r="AF337" s="89"/>
      <c r="AM337" s="89"/>
      <c r="AN337" s="199"/>
      <c r="AO337" s="89"/>
    </row>
    <row r="338" spans="3:41" ht="15.75" customHeight="1" x14ac:dyDescent="0.25"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208"/>
      <c r="P338" s="209"/>
      <c r="Q338" s="89"/>
      <c r="R338" s="89"/>
      <c r="S338" s="89"/>
      <c r="T338" s="89"/>
      <c r="U338" s="89"/>
      <c r="V338" s="89"/>
      <c r="W338" s="89"/>
      <c r="X338" s="89"/>
      <c r="Y338" s="89"/>
      <c r="Z338" s="89"/>
      <c r="AA338" s="89"/>
      <c r="AB338" s="89"/>
      <c r="AC338" s="89"/>
      <c r="AD338" s="89"/>
      <c r="AE338" s="89"/>
      <c r="AF338" s="89"/>
      <c r="AM338" s="89"/>
      <c r="AN338" s="199"/>
      <c r="AO338" s="89"/>
    </row>
    <row r="339" spans="3:41" ht="15.75" customHeight="1" x14ac:dyDescent="0.25"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208"/>
      <c r="P339" s="209"/>
      <c r="Q339" s="89"/>
      <c r="R339" s="89"/>
      <c r="S339" s="89"/>
      <c r="T339" s="89"/>
      <c r="U339" s="89"/>
      <c r="V339" s="89"/>
      <c r="W339" s="89"/>
      <c r="X339" s="89"/>
      <c r="Y339" s="89"/>
      <c r="Z339" s="89"/>
      <c r="AA339" s="89"/>
      <c r="AB339" s="89"/>
      <c r="AC339" s="89"/>
      <c r="AD339" s="89"/>
      <c r="AE339" s="89"/>
      <c r="AF339" s="89"/>
      <c r="AM339" s="89"/>
      <c r="AN339" s="199"/>
      <c r="AO339" s="89"/>
    </row>
    <row r="340" spans="3:41" ht="15.75" customHeight="1" x14ac:dyDescent="0.25"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208"/>
      <c r="P340" s="20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89"/>
      <c r="AB340" s="89"/>
      <c r="AC340" s="89"/>
      <c r="AD340" s="89"/>
      <c r="AE340" s="89"/>
      <c r="AF340" s="89"/>
      <c r="AM340" s="89"/>
      <c r="AN340" s="199"/>
      <c r="AO340" s="89"/>
    </row>
    <row r="341" spans="3:41" ht="15.75" customHeight="1" x14ac:dyDescent="0.25"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208"/>
      <c r="P341" s="20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89"/>
      <c r="AB341" s="89"/>
      <c r="AC341" s="89"/>
      <c r="AD341" s="89"/>
      <c r="AE341" s="89"/>
      <c r="AF341" s="89"/>
      <c r="AM341" s="89"/>
      <c r="AN341" s="199"/>
      <c r="AO341" s="89"/>
    </row>
    <row r="342" spans="3:41" ht="15.75" customHeight="1" x14ac:dyDescent="0.25"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208"/>
      <c r="P342" s="209"/>
      <c r="Q342" s="89"/>
      <c r="R342" s="89"/>
      <c r="S342" s="89"/>
      <c r="T342" s="89"/>
      <c r="U342" s="89"/>
      <c r="V342" s="89"/>
      <c r="W342" s="89"/>
      <c r="X342" s="89"/>
      <c r="Y342" s="89"/>
      <c r="Z342" s="89"/>
      <c r="AA342" s="89"/>
      <c r="AB342" s="89"/>
      <c r="AC342" s="89"/>
      <c r="AD342" s="89"/>
      <c r="AE342" s="89"/>
      <c r="AF342" s="89"/>
      <c r="AM342" s="89"/>
      <c r="AN342" s="199"/>
      <c r="AO342" s="89"/>
    </row>
    <row r="343" spans="3:41" ht="15.75" customHeight="1" x14ac:dyDescent="0.25"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208"/>
      <c r="P343" s="209"/>
      <c r="Q343" s="89"/>
      <c r="R343" s="89"/>
      <c r="S343" s="89"/>
      <c r="T343" s="89"/>
      <c r="U343" s="89"/>
      <c r="V343" s="89"/>
      <c r="W343" s="89"/>
      <c r="X343" s="89"/>
      <c r="Y343" s="89"/>
      <c r="Z343" s="89"/>
      <c r="AA343" s="89"/>
      <c r="AB343" s="89"/>
      <c r="AC343" s="89"/>
      <c r="AD343" s="89"/>
      <c r="AE343" s="89"/>
      <c r="AF343" s="89"/>
      <c r="AM343" s="89"/>
      <c r="AN343" s="199"/>
      <c r="AO343" s="89"/>
    </row>
    <row r="344" spans="3:41" ht="15.75" customHeight="1" x14ac:dyDescent="0.25"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208"/>
      <c r="P344" s="209"/>
      <c r="Q344" s="89"/>
      <c r="R344" s="89"/>
      <c r="S344" s="89"/>
      <c r="T344" s="89"/>
      <c r="U344" s="89"/>
      <c r="V344" s="89"/>
      <c r="W344" s="89"/>
      <c r="X344" s="89"/>
      <c r="Y344" s="89"/>
      <c r="Z344" s="89"/>
      <c r="AA344" s="89"/>
      <c r="AB344" s="89"/>
      <c r="AC344" s="89"/>
      <c r="AD344" s="89"/>
      <c r="AE344" s="89"/>
      <c r="AF344" s="89"/>
      <c r="AM344" s="89"/>
      <c r="AN344" s="199"/>
      <c r="AO344" s="89"/>
    </row>
    <row r="345" spans="3:41" ht="15.75" customHeight="1" x14ac:dyDescent="0.25"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208"/>
      <c r="P345" s="20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M345" s="89"/>
      <c r="AN345" s="199"/>
      <c r="AO345" s="89"/>
    </row>
    <row r="346" spans="3:41" ht="15.75" customHeight="1" x14ac:dyDescent="0.25"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208"/>
      <c r="P346" s="209"/>
      <c r="Q346" s="89"/>
      <c r="R346" s="89"/>
      <c r="S346" s="89"/>
      <c r="T346" s="89"/>
      <c r="U346" s="89"/>
      <c r="V346" s="89"/>
      <c r="W346" s="89"/>
      <c r="X346" s="89"/>
      <c r="Y346" s="89"/>
      <c r="Z346" s="89"/>
      <c r="AA346" s="89"/>
      <c r="AB346" s="89"/>
      <c r="AC346" s="89"/>
      <c r="AD346" s="89"/>
      <c r="AE346" s="89"/>
      <c r="AF346" s="89"/>
      <c r="AM346" s="89"/>
      <c r="AN346" s="199"/>
      <c r="AO346" s="89"/>
    </row>
    <row r="347" spans="3:41" ht="15.75" customHeight="1" x14ac:dyDescent="0.25"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208"/>
      <c r="P347" s="209"/>
      <c r="Q347" s="89"/>
      <c r="R347" s="89"/>
      <c r="S347" s="89"/>
      <c r="T347" s="89"/>
      <c r="U347" s="89"/>
      <c r="V347" s="89"/>
      <c r="W347" s="89"/>
      <c r="X347" s="89"/>
      <c r="Y347" s="89"/>
      <c r="Z347" s="89"/>
      <c r="AA347" s="89"/>
      <c r="AB347" s="89"/>
      <c r="AC347" s="89"/>
      <c r="AD347" s="89"/>
      <c r="AE347" s="89"/>
      <c r="AF347" s="89"/>
      <c r="AM347" s="89"/>
      <c r="AN347" s="199"/>
      <c r="AO347" s="89"/>
    </row>
    <row r="348" spans="3:41" ht="15.75" customHeight="1" x14ac:dyDescent="0.25"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208"/>
      <c r="P348" s="20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89"/>
      <c r="AB348" s="89"/>
      <c r="AC348" s="89"/>
      <c r="AD348" s="89"/>
      <c r="AE348" s="89"/>
      <c r="AF348" s="89"/>
      <c r="AM348" s="89"/>
      <c r="AN348" s="199"/>
      <c r="AO348" s="89"/>
    </row>
    <row r="349" spans="3:41" ht="15.75" customHeight="1" x14ac:dyDescent="0.25"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208"/>
      <c r="P349" s="20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89"/>
      <c r="AB349" s="89"/>
      <c r="AC349" s="89"/>
      <c r="AD349" s="89"/>
      <c r="AE349" s="89"/>
      <c r="AF349" s="89"/>
      <c r="AM349" s="89"/>
      <c r="AN349" s="199"/>
      <c r="AO349" s="89"/>
    </row>
    <row r="350" spans="3:41" ht="15.75" customHeight="1" x14ac:dyDescent="0.25"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208"/>
      <c r="P350" s="209"/>
      <c r="Q350" s="89"/>
      <c r="R350" s="89"/>
      <c r="S350" s="89"/>
      <c r="T350" s="89"/>
      <c r="U350" s="89"/>
      <c r="V350" s="89"/>
      <c r="W350" s="89"/>
      <c r="X350" s="89"/>
      <c r="Y350" s="89"/>
      <c r="Z350" s="89"/>
      <c r="AA350" s="89"/>
      <c r="AB350" s="89"/>
      <c r="AC350" s="89"/>
      <c r="AD350" s="89"/>
      <c r="AE350" s="89"/>
      <c r="AF350" s="89"/>
      <c r="AM350" s="89"/>
      <c r="AN350" s="199"/>
      <c r="AO350" s="89"/>
    </row>
    <row r="351" spans="3:41" ht="15.75" customHeight="1" x14ac:dyDescent="0.25"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208"/>
      <c r="P351" s="209"/>
      <c r="Q351" s="89"/>
      <c r="R351" s="89"/>
      <c r="S351" s="89"/>
      <c r="T351" s="89"/>
      <c r="U351" s="89"/>
      <c r="V351" s="89"/>
      <c r="W351" s="89"/>
      <c r="X351" s="89"/>
      <c r="Y351" s="89"/>
      <c r="Z351" s="89"/>
      <c r="AA351" s="89"/>
      <c r="AB351" s="89"/>
      <c r="AC351" s="89"/>
      <c r="AD351" s="89"/>
      <c r="AE351" s="89"/>
      <c r="AF351" s="89"/>
      <c r="AM351" s="89"/>
      <c r="AN351" s="199"/>
      <c r="AO351" s="89"/>
    </row>
    <row r="352" spans="3:41" ht="15.75" customHeight="1" x14ac:dyDescent="0.25"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208"/>
      <c r="P352" s="209"/>
      <c r="Q352" s="89"/>
      <c r="R352" s="89"/>
      <c r="S352" s="89"/>
      <c r="T352" s="89"/>
      <c r="U352" s="89"/>
      <c r="V352" s="89"/>
      <c r="W352" s="89"/>
      <c r="X352" s="89"/>
      <c r="Y352" s="89"/>
      <c r="Z352" s="89"/>
      <c r="AA352" s="89"/>
      <c r="AB352" s="89"/>
      <c r="AC352" s="89"/>
      <c r="AD352" s="89"/>
      <c r="AE352" s="89"/>
      <c r="AF352" s="89"/>
      <c r="AM352" s="89"/>
      <c r="AN352" s="199"/>
      <c r="AO352" s="89"/>
    </row>
    <row r="353" spans="3:41" ht="15.75" customHeight="1" x14ac:dyDescent="0.25"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208"/>
      <c r="P353" s="209"/>
      <c r="Q353" s="89"/>
      <c r="R353" s="89"/>
      <c r="S353" s="89"/>
      <c r="T353" s="89"/>
      <c r="U353" s="89"/>
      <c r="V353" s="89"/>
      <c r="W353" s="89"/>
      <c r="X353" s="89"/>
      <c r="Y353" s="89"/>
      <c r="Z353" s="89"/>
      <c r="AA353" s="89"/>
      <c r="AB353" s="89"/>
      <c r="AC353" s="89"/>
      <c r="AD353" s="89"/>
      <c r="AE353" s="89"/>
      <c r="AF353" s="89"/>
      <c r="AM353" s="89"/>
      <c r="AN353" s="199"/>
      <c r="AO353" s="89"/>
    </row>
    <row r="354" spans="3:41" ht="15.75" customHeight="1" x14ac:dyDescent="0.25"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208"/>
      <c r="P354" s="209"/>
      <c r="Q354" s="89"/>
      <c r="R354" s="89"/>
      <c r="S354" s="89"/>
      <c r="T354" s="89"/>
      <c r="U354" s="89"/>
      <c r="V354" s="89"/>
      <c r="W354" s="89"/>
      <c r="X354" s="89"/>
      <c r="Y354" s="89"/>
      <c r="Z354" s="89"/>
      <c r="AA354" s="89"/>
      <c r="AB354" s="89"/>
      <c r="AC354" s="89"/>
      <c r="AD354" s="89"/>
      <c r="AE354" s="89"/>
      <c r="AF354" s="89"/>
      <c r="AM354" s="89"/>
      <c r="AN354" s="199"/>
      <c r="AO354" s="89"/>
    </row>
    <row r="355" spans="3:41" ht="15.75" customHeight="1" x14ac:dyDescent="0.25"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208"/>
      <c r="P355" s="209"/>
      <c r="Q355" s="89"/>
      <c r="R355" s="89"/>
      <c r="S355" s="89"/>
      <c r="T355" s="89"/>
      <c r="U355" s="89"/>
      <c r="V355" s="89"/>
      <c r="W355" s="89"/>
      <c r="X355" s="89"/>
      <c r="Y355" s="89"/>
      <c r="Z355" s="89"/>
      <c r="AA355" s="89"/>
      <c r="AB355" s="89"/>
      <c r="AC355" s="89"/>
      <c r="AD355" s="89"/>
      <c r="AE355" s="89"/>
      <c r="AF355" s="89"/>
      <c r="AM355" s="89"/>
      <c r="AN355" s="199"/>
      <c r="AO355" s="89"/>
    </row>
    <row r="356" spans="3:41" ht="15.75" customHeight="1" x14ac:dyDescent="0.25"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208"/>
      <c r="P356" s="209"/>
      <c r="Q356" s="89"/>
      <c r="R356" s="89"/>
      <c r="S356" s="89"/>
      <c r="T356" s="89"/>
      <c r="U356" s="89"/>
      <c r="V356" s="89"/>
      <c r="W356" s="89"/>
      <c r="X356" s="89"/>
      <c r="Y356" s="89"/>
      <c r="Z356" s="89"/>
      <c r="AA356" s="89"/>
      <c r="AB356" s="89"/>
      <c r="AC356" s="89"/>
      <c r="AD356" s="89"/>
      <c r="AE356" s="89"/>
      <c r="AF356" s="89"/>
      <c r="AM356" s="89"/>
      <c r="AN356" s="199"/>
      <c r="AO356" s="89"/>
    </row>
    <row r="357" spans="3:41" ht="15.75" customHeight="1" x14ac:dyDescent="0.25"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208"/>
      <c r="P357" s="209"/>
      <c r="Q357" s="89"/>
      <c r="R357" s="89"/>
      <c r="S357" s="89"/>
      <c r="T357" s="89"/>
      <c r="U357" s="89"/>
      <c r="V357" s="89"/>
      <c r="W357" s="89"/>
      <c r="X357" s="89"/>
      <c r="Y357" s="89"/>
      <c r="Z357" s="89"/>
      <c r="AA357" s="89"/>
      <c r="AB357" s="89"/>
      <c r="AC357" s="89"/>
      <c r="AD357" s="89"/>
      <c r="AE357" s="89"/>
      <c r="AF357" s="89"/>
      <c r="AM357" s="89"/>
      <c r="AN357" s="199"/>
      <c r="AO357" s="89"/>
    </row>
    <row r="358" spans="3:41" ht="15.75" customHeight="1" x14ac:dyDescent="0.25"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208"/>
      <c r="P358" s="209"/>
      <c r="Q358" s="89"/>
      <c r="R358" s="89"/>
      <c r="S358" s="89"/>
      <c r="T358" s="89"/>
      <c r="U358" s="89"/>
      <c r="V358" s="89"/>
      <c r="W358" s="89"/>
      <c r="X358" s="89"/>
      <c r="Y358" s="89"/>
      <c r="Z358" s="89"/>
      <c r="AA358" s="89"/>
      <c r="AB358" s="89"/>
      <c r="AC358" s="89"/>
      <c r="AD358" s="89"/>
      <c r="AE358" s="89"/>
      <c r="AF358" s="89"/>
      <c r="AM358" s="89"/>
      <c r="AN358" s="199"/>
      <c r="AO358" s="89"/>
    </row>
    <row r="359" spans="3:41" ht="15.75" customHeight="1" x14ac:dyDescent="0.25"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208"/>
      <c r="P359" s="20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89"/>
      <c r="AB359" s="89"/>
      <c r="AC359" s="89"/>
      <c r="AD359" s="89"/>
      <c r="AE359" s="89"/>
      <c r="AF359" s="89"/>
      <c r="AM359" s="89"/>
      <c r="AN359" s="199"/>
      <c r="AO359" s="89"/>
    </row>
    <row r="360" spans="3:41" ht="15.75" customHeight="1" x14ac:dyDescent="0.25"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208"/>
      <c r="P360" s="209"/>
      <c r="Q360" s="89"/>
      <c r="R360" s="89"/>
      <c r="S360" s="89"/>
      <c r="T360" s="89"/>
      <c r="U360" s="89"/>
      <c r="V360" s="89"/>
      <c r="W360" s="89"/>
      <c r="X360" s="89"/>
      <c r="Y360" s="89"/>
      <c r="Z360" s="89"/>
      <c r="AA360" s="89"/>
      <c r="AB360" s="89"/>
      <c r="AC360" s="89"/>
      <c r="AD360" s="89"/>
      <c r="AE360" s="89"/>
      <c r="AF360" s="89"/>
      <c r="AM360" s="89"/>
      <c r="AN360" s="199"/>
      <c r="AO360" s="89"/>
    </row>
    <row r="361" spans="3:41" ht="15.75" customHeight="1" x14ac:dyDescent="0.25"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208"/>
      <c r="P361" s="209"/>
      <c r="Q361" s="89"/>
      <c r="R361" s="89"/>
      <c r="S361" s="89"/>
      <c r="T361" s="89"/>
      <c r="U361" s="89"/>
      <c r="V361" s="89"/>
      <c r="W361" s="89"/>
      <c r="X361" s="89"/>
      <c r="Y361" s="89"/>
      <c r="Z361" s="89"/>
      <c r="AA361" s="89"/>
      <c r="AB361" s="89"/>
      <c r="AC361" s="89"/>
      <c r="AD361" s="89"/>
      <c r="AE361" s="89"/>
      <c r="AF361" s="89"/>
      <c r="AM361" s="89"/>
      <c r="AN361" s="199"/>
      <c r="AO361" s="89"/>
    </row>
    <row r="362" spans="3:41" ht="15.75" customHeight="1" x14ac:dyDescent="0.25"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208"/>
      <c r="P362" s="209"/>
      <c r="Q362" s="89"/>
      <c r="R362" s="89"/>
      <c r="S362" s="89"/>
      <c r="T362" s="89"/>
      <c r="U362" s="89"/>
      <c r="V362" s="89"/>
      <c r="W362" s="89"/>
      <c r="X362" s="89"/>
      <c r="Y362" s="89"/>
      <c r="Z362" s="89"/>
      <c r="AA362" s="89"/>
      <c r="AB362" s="89"/>
      <c r="AC362" s="89"/>
      <c r="AD362" s="89"/>
      <c r="AE362" s="89"/>
      <c r="AF362" s="89"/>
      <c r="AM362" s="89"/>
      <c r="AN362" s="199"/>
      <c r="AO362" s="89"/>
    </row>
    <row r="363" spans="3:41" ht="15.75" customHeight="1" x14ac:dyDescent="0.25"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208"/>
      <c r="P363" s="209"/>
      <c r="Q363" s="89"/>
      <c r="R363" s="89"/>
      <c r="S363" s="89"/>
      <c r="T363" s="89"/>
      <c r="U363" s="89"/>
      <c r="V363" s="89"/>
      <c r="W363" s="89"/>
      <c r="X363" s="89"/>
      <c r="Y363" s="89"/>
      <c r="Z363" s="89"/>
      <c r="AA363" s="89"/>
      <c r="AB363" s="89"/>
      <c r="AC363" s="89"/>
      <c r="AD363" s="89"/>
      <c r="AE363" s="89"/>
      <c r="AF363" s="89"/>
      <c r="AM363" s="89"/>
      <c r="AN363" s="199"/>
      <c r="AO363" s="89"/>
    </row>
    <row r="364" spans="3:41" ht="15.75" customHeight="1" x14ac:dyDescent="0.25"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208"/>
      <c r="P364" s="20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89"/>
      <c r="AB364" s="89"/>
      <c r="AC364" s="89"/>
      <c r="AD364" s="89"/>
      <c r="AE364" s="89"/>
      <c r="AF364" s="89"/>
      <c r="AM364" s="89"/>
      <c r="AN364" s="199"/>
      <c r="AO364" s="89"/>
    </row>
    <row r="365" spans="3:41" ht="15.75" customHeight="1" x14ac:dyDescent="0.25"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208"/>
      <c r="P365" s="209"/>
      <c r="Q365" s="89"/>
      <c r="R365" s="89"/>
      <c r="S365" s="89"/>
      <c r="T365" s="89"/>
      <c r="U365" s="89"/>
      <c r="V365" s="89"/>
      <c r="W365" s="89"/>
      <c r="X365" s="89"/>
      <c r="Y365" s="89"/>
      <c r="Z365" s="89"/>
      <c r="AA365" s="89"/>
      <c r="AB365" s="89"/>
      <c r="AC365" s="89"/>
      <c r="AD365" s="89"/>
      <c r="AE365" s="89"/>
      <c r="AF365" s="89"/>
      <c r="AM365" s="89"/>
      <c r="AN365" s="199"/>
      <c r="AO365" s="89"/>
    </row>
    <row r="366" spans="3:41" ht="15.75" customHeight="1" x14ac:dyDescent="0.25"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208"/>
      <c r="P366" s="209"/>
      <c r="Q366" s="89"/>
      <c r="R366" s="89"/>
      <c r="S366" s="89"/>
      <c r="T366" s="89"/>
      <c r="U366" s="89"/>
      <c r="V366" s="89"/>
      <c r="W366" s="89"/>
      <c r="X366" s="89"/>
      <c r="Y366" s="89"/>
      <c r="Z366" s="89"/>
      <c r="AA366" s="89"/>
      <c r="AB366" s="89"/>
      <c r="AC366" s="89"/>
      <c r="AD366" s="89"/>
      <c r="AE366" s="89"/>
      <c r="AF366" s="89"/>
      <c r="AM366" s="89"/>
      <c r="AN366" s="199"/>
      <c r="AO366" s="89"/>
    </row>
    <row r="367" spans="3:41" ht="15.75" customHeight="1" x14ac:dyDescent="0.25"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208"/>
      <c r="P367" s="209"/>
      <c r="Q367" s="89"/>
      <c r="R367" s="89"/>
      <c r="S367" s="89"/>
      <c r="T367" s="89"/>
      <c r="U367" s="89"/>
      <c r="V367" s="89"/>
      <c r="W367" s="89"/>
      <c r="X367" s="89"/>
      <c r="Y367" s="89"/>
      <c r="Z367" s="89"/>
      <c r="AA367" s="89"/>
      <c r="AB367" s="89"/>
      <c r="AC367" s="89"/>
      <c r="AD367" s="89"/>
      <c r="AE367" s="89"/>
      <c r="AF367" s="89"/>
      <c r="AM367" s="89"/>
      <c r="AN367" s="199"/>
      <c r="AO367" s="89"/>
    </row>
    <row r="368" spans="3:41" ht="15.75" customHeight="1" x14ac:dyDescent="0.25"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208"/>
      <c r="P368" s="209"/>
      <c r="Q368" s="89"/>
      <c r="R368" s="89"/>
      <c r="S368" s="89"/>
      <c r="T368" s="89"/>
      <c r="U368" s="89"/>
      <c r="V368" s="89"/>
      <c r="W368" s="89"/>
      <c r="X368" s="89"/>
      <c r="Y368" s="89"/>
      <c r="Z368" s="89"/>
      <c r="AA368" s="89"/>
      <c r="AB368" s="89"/>
      <c r="AC368" s="89"/>
      <c r="AD368" s="89"/>
      <c r="AE368" s="89"/>
      <c r="AF368" s="89"/>
      <c r="AM368" s="89"/>
      <c r="AN368" s="199"/>
      <c r="AO368" s="89"/>
    </row>
    <row r="369" spans="3:41" ht="15.75" customHeight="1" x14ac:dyDescent="0.25"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208"/>
      <c r="P369" s="20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89"/>
      <c r="AB369" s="89"/>
      <c r="AC369" s="89"/>
      <c r="AD369" s="89"/>
      <c r="AE369" s="89"/>
      <c r="AF369" s="89"/>
      <c r="AM369" s="89"/>
      <c r="AN369" s="199"/>
      <c r="AO369" s="89"/>
    </row>
    <row r="370" spans="3:41" ht="15.75" customHeight="1" x14ac:dyDescent="0.25"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208"/>
      <c r="P370" s="20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M370" s="89"/>
      <c r="AN370" s="199"/>
      <c r="AO370" s="89"/>
    </row>
    <row r="371" spans="3:41" ht="15.75" customHeight="1" x14ac:dyDescent="0.25"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208"/>
      <c r="P371" s="209"/>
      <c r="Q371" s="89"/>
      <c r="R371" s="89"/>
      <c r="S371" s="89"/>
      <c r="T371" s="89"/>
      <c r="U371" s="89"/>
      <c r="V371" s="89"/>
      <c r="W371" s="89"/>
      <c r="X371" s="89"/>
      <c r="Y371" s="89"/>
      <c r="Z371" s="89"/>
      <c r="AA371" s="89"/>
      <c r="AB371" s="89"/>
      <c r="AC371" s="89"/>
      <c r="AD371" s="89"/>
      <c r="AE371" s="89"/>
      <c r="AF371" s="89"/>
      <c r="AM371" s="89"/>
      <c r="AN371" s="199"/>
      <c r="AO371" s="89"/>
    </row>
    <row r="372" spans="3:41" ht="15.75" customHeight="1" x14ac:dyDescent="0.25"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208"/>
      <c r="P372" s="209"/>
      <c r="Q372" s="89"/>
      <c r="R372" s="89"/>
      <c r="S372" s="89"/>
      <c r="T372" s="89"/>
      <c r="U372" s="89"/>
      <c r="V372" s="89"/>
      <c r="W372" s="89"/>
      <c r="X372" s="89"/>
      <c r="Y372" s="89"/>
      <c r="Z372" s="89"/>
      <c r="AA372" s="89"/>
      <c r="AB372" s="89"/>
      <c r="AC372" s="89"/>
      <c r="AD372" s="89"/>
      <c r="AE372" s="89"/>
      <c r="AF372" s="89"/>
      <c r="AM372" s="89"/>
      <c r="AN372" s="199"/>
      <c r="AO372" s="89"/>
    </row>
    <row r="373" spans="3:41" ht="15.75" customHeight="1" x14ac:dyDescent="0.25"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208"/>
      <c r="P373" s="20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89"/>
      <c r="AB373" s="89"/>
      <c r="AC373" s="89"/>
      <c r="AD373" s="89"/>
      <c r="AE373" s="89"/>
      <c r="AF373" s="89"/>
      <c r="AM373" s="89"/>
      <c r="AN373" s="199"/>
      <c r="AO373" s="89"/>
    </row>
    <row r="374" spans="3:41" ht="15.75" customHeight="1" x14ac:dyDescent="0.25"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208"/>
      <c r="P374" s="20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89"/>
      <c r="AB374" s="89"/>
      <c r="AC374" s="89"/>
      <c r="AD374" s="89"/>
      <c r="AE374" s="89"/>
      <c r="AF374" s="89"/>
      <c r="AM374" s="89"/>
      <c r="AN374" s="199"/>
      <c r="AO374" s="89"/>
    </row>
    <row r="375" spans="3:41" ht="15.75" customHeight="1" x14ac:dyDescent="0.25"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208"/>
      <c r="P375" s="209"/>
      <c r="Q375" s="89"/>
      <c r="R375" s="89"/>
      <c r="S375" s="89"/>
      <c r="T375" s="89"/>
      <c r="U375" s="89"/>
      <c r="V375" s="89"/>
      <c r="W375" s="89"/>
      <c r="X375" s="89"/>
      <c r="Y375" s="89"/>
      <c r="Z375" s="89"/>
      <c r="AA375" s="89"/>
      <c r="AB375" s="89"/>
      <c r="AC375" s="89"/>
      <c r="AD375" s="89"/>
      <c r="AE375" s="89"/>
      <c r="AF375" s="89"/>
      <c r="AM375" s="89"/>
      <c r="AN375" s="199"/>
      <c r="AO375" s="89"/>
    </row>
    <row r="376" spans="3:41" ht="15.75" customHeight="1" x14ac:dyDescent="0.25"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208"/>
      <c r="P376" s="209"/>
      <c r="Q376" s="89"/>
      <c r="R376" s="89"/>
      <c r="S376" s="89"/>
      <c r="T376" s="89"/>
      <c r="U376" s="89"/>
      <c r="V376" s="89"/>
      <c r="W376" s="89"/>
      <c r="X376" s="89"/>
      <c r="Y376" s="89"/>
      <c r="Z376" s="89"/>
      <c r="AA376" s="89"/>
      <c r="AB376" s="89"/>
      <c r="AC376" s="89"/>
      <c r="AD376" s="89"/>
      <c r="AE376" s="89"/>
      <c r="AF376" s="89"/>
      <c r="AM376" s="89"/>
      <c r="AN376" s="199"/>
      <c r="AO376" s="89"/>
    </row>
    <row r="377" spans="3:41" ht="15.75" customHeight="1" x14ac:dyDescent="0.25"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208"/>
      <c r="P377" s="20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M377" s="89"/>
      <c r="AN377" s="199"/>
      <c r="AO377" s="89"/>
    </row>
    <row r="378" spans="3:41" ht="15.75" customHeight="1" x14ac:dyDescent="0.25"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208"/>
      <c r="P378" s="209"/>
      <c r="Q378" s="89"/>
      <c r="R378" s="89"/>
      <c r="S378" s="89"/>
      <c r="T378" s="89"/>
      <c r="U378" s="89"/>
      <c r="V378" s="89"/>
      <c r="W378" s="89"/>
      <c r="X378" s="89"/>
      <c r="Y378" s="89"/>
      <c r="Z378" s="89"/>
      <c r="AA378" s="89"/>
      <c r="AB378" s="89"/>
      <c r="AC378" s="89"/>
      <c r="AD378" s="89"/>
      <c r="AE378" s="89"/>
      <c r="AF378" s="89"/>
      <c r="AM378" s="89"/>
      <c r="AN378" s="199"/>
      <c r="AO378" s="89"/>
    </row>
    <row r="379" spans="3:41" ht="15.75" customHeight="1" x14ac:dyDescent="0.25"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208"/>
      <c r="P379" s="20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89"/>
      <c r="AB379" s="89"/>
      <c r="AC379" s="89"/>
      <c r="AD379" s="89"/>
      <c r="AE379" s="89"/>
      <c r="AF379" s="89"/>
      <c r="AM379" s="89"/>
      <c r="AN379" s="199"/>
      <c r="AO379" s="89"/>
    </row>
    <row r="380" spans="3:41" ht="15.75" customHeight="1" x14ac:dyDescent="0.25"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208"/>
      <c r="P380" s="209"/>
      <c r="Q380" s="89"/>
      <c r="R380" s="89"/>
      <c r="S380" s="89"/>
      <c r="T380" s="89"/>
      <c r="U380" s="89"/>
      <c r="V380" s="89"/>
      <c r="W380" s="89"/>
      <c r="X380" s="89"/>
      <c r="Y380" s="89"/>
      <c r="Z380" s="89"/>
      <c r="AA380" s="89"/>
      <c r="AB380" s="89"/>
      <c r="AC380" s="89"/>
      <c r="AD380" s="89"/>
      <c r="AE380" s="89"/>
      <c r="AF380" s="89"/>
      <c r="AM380" s="89"/>
      <c r="AN380" s="199"/>
      <c r="AO380" s="89"/>
    </row>
    <row r="381" spans="3:41" ht="15.75" customHeight="1" x14ac:dyDescent="0.25"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208"/>
      <c r="P381" s="209"/>
      <c r="Q381" s="89"/>
      <c r="R381" s="89"/>
      <c r="S381" s="89"/>
      <c r="T381" s="89"/>
      <c r="U381" s="89"/>
      <c r="V381" s="89"/>
      <c r="W381" s="89"/>
      <c r="X381" s="89"/>
      <c r="Y381" s="89"/>
      <c r="Z381" s="89"/>
      <c r="AA381" s="89"/>
      <c r="AB381" s="89"/>
      <c r="AC381" s="89"/>
      <c r="AD381" s="89"/>
      <c r="AE381" s="89"/>
      <c r="AF381" s="89"/>
      <c r="AM381" s="89"/>
      <c r="AN381" s="199"/>
      <c r="AO381" s="89"/>
    </row>
    <row r="382" spans="3:41" ht="15.75" customHeight="1" x14ac:dyDescent="0.25"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208"/>
      <c r="P382" s="209"/>
      <c r="Q382" s="89"/>
      <c r="R382" s="89"/>
      <c r="S382" s="89"/>
      <c r="T382" s="89"/>
      <c r="U382" s="89"/>
      <c r="V382" s="89"/>
      <c r="W382" s="89"/>
      <c r="X382" s="89"/>
      <c r="Y382" s="89"/>
      <c r="Z382" s="89"/>
      <c r="AA382" s="89"/>
      <c r="AB382" s="89"/>
      <c r="AC382" s="89"/>
      <c r="AD382" s="89"/>
      <c r="AE382" s="89"/>
      <c r="AF382" s="89"/>
      <c r="AM382" s="89"/>
      <c r="AN382" s="199"/>
      <c r="AO382" s="89"/>
    </row>
    <row r="383" spans="3:41" ht="15.75" customHeight="1" x14ac:dyDescent="0.25"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208"/>
      <c r="P383" s="20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M383" s="89"/>
      <c r="AN383" s="199"/>
      <c r="AO383" s="89"/>
    </row>
    <row r="384" spans="3:41" ht="15.75" customHeight="1" x14ac:dyDescent="0.25"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208"/>
      <c r="P384" s="20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89"/>
      <c r="AB384" s="89"/>
      <c r="AC384" s="89"/>
      <c r="AD384" s="89"/>
      <c r="AE384" s="89"/>
      <c r="AF384" s="89"/>
      <c r="AM384" s="89"/>
      <c r="AN384" s="199"/>
      <c r="AO384" s="89"/>
    </row>
    <row r="385" spans="3:41" ht="15.75" customHeight="1" x14ac:dyDescent="0.25"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208"/>
      <c r="P385" s="20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M385" s="89"/>
      <c r="AN385" s="199"/>
      <c r="AO385" s="89"/>
    </row>
    <row r="386" spans="3:41" ht="15.75" customHeight="1" x14ac:dyDescent="0.25"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208"/>
      <c r="P386" s="209"/>
      <c r="Q386" s="89"/>
      <c r="R386" s="89"/>
      <c r="S386" s="89"/>
      <c r="T386" s="89"/>
      <c r="U386" s="89"/>
      <c r="V386" s="89"/>
      <c r="W386" s="89"/>
      <c r="X386" s="89"/>
      <c r="Y386" s="89"/>
      <c r="Z386" s="89"/>
      <c r="AA386" s="89"/>
      <c r="AB386" s="89"/>
      <c r="AC386" s="89"/>
      <c r="AD386" s="89"/>
      <c r="AE386" s="89"/>
      <c r="AF386" s="89"/>
      <c r="AM386" s="89"/>
      <c r="AN386" s="199"/>
      <c r="AO386" s="89"/>
    </row>
    <row r="387" spans="3:41" ht="15.75" customHeight="1" x14ac:dyDescent="0.25"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208"/>
      <c r="P387" s="209"/>
      <c r="Q387" s="89"/>
      <c r="R387" s="89"/>
      <c r="S387" s="89"/>
      <c r="T387" s="89"/>
      <c r="U387" s="89"/>
      <c r="V387" s="89"/>
      <c r="W387" s="89"/>
      <c r="X387" s="89"/>
      <c r="Y387" s="89"/>
      <c r="Z387" s="89"/>
      <c r="AA387" s="89"/>
      <c r="AB387" s="89"/>
      <c r="AC387" s="89"/>
      <c r="AD387" s="89"/>
      <c r="AE387" s="89"/>
      <c r="AF387" s="89"/>
      <c r="AM387" s="89"/>
      <c r="AN387" s="199"/>
      <c r="AO387" s="89"/>
    </row>
    <row r="388" spans="3:41" ht="15.75" customHeight="1" x14ac:dyDescent="0.25"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208"/>
      <c r="P388" s="209"/>
      <c r="Q388" s="89"/>
      <c r="R388" s="89"/>
      <c r="S388" s="89"/>
      <c r="T388" s="89"/>
      <c r="U388" s="89"/>
      <c r="V388" s="89"/>
      <c r="W388" s="89"/>
      <c r="X388" s="89"/>
      <c r="Y388" s="89"/>
      <c r="Z388" s="89"/>
      <c r="AA388" s="89"/>
      <c r="AB388" s="89"/>
      <c r="AC388" s="89"/>
      <c r="AD388" s="89"/>
      <c r="AE388" s="89"/>
      <c r="AF388" s="89"/>
      <c r="AM388" s="89"/>
      <c r="AN388" s="199"/>
      <c r="AO388" s="89"/>
    </row>
    <row r="389" spans="3:41" ht="15.75" customHeight="1" x14ac:dyDescent="0.25"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208"/>
      <c r="P389" s="209"/>
      <c r="Q389" s="89"/>
      <c r="R389" s="89"/>
      <c r="S389" s="89"/>
      <c r="T389" s="89"/>
      <c r="U389" s="89"/>
      <c r="V389" s="89"/>
      <c r="W389" s="89"/>
      <c r="X389" s="89"/>
      <c r="Y389" s="89"/>
      <c r="Z389" s="89"/>
      <c r="AA389" s="89"/>
      <c r="AB389" s="89"/>
      <c r="AC389" s="89"/>
      <c r="AD389" s="89"/>
      <c r="AE389" s="89"/>
      <c r="AF389" s="89"/>
      <c r="AM389" s="89"/>
      <c r="AN389" s="199"/>
      <c r="AO389" s="89"/>
    </row>
    <row r="390" spans="3:41" ht="15.75" customHeight="1" x14ac:dyDescent="0.25"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208"/>
      <c r="P390" s="209"/>
      <c r="Q390" s="89"/>
      <c r="R390" s="89"/>
      <c r="S390" s="89"/>
      <c r="T390" s="89"/>
      <c r="U390" s="89"/>
      <c r="V390" s="89"/>
      <c r="W390" s="89"/>
      <c r="X390" s="89"/>
      <c r="Y390" s="89"/>
      <c r="Z390" s="89"/>
      <c r="AA390" s="89"/>
      <c r="AB390" s="89"/>
      <c r="AC390" s="89"/>
      <c r="AD390" s="89"/>
      <c r="AE390" s="89"/>
      <c r="AF390" s="89"/>
      <c r="AM390" s="89"/>
      <c r="AN390" s="199"/>
      <c r="AO390" s="89"/>
    </row>
    <row r="391" spans="3:41" ht="15.75" customHeight="1" x14ac:dyDescent="0.25"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208"/>
      <c r="P391" s="20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89"/>
      <c r="AB391" s="89"/>
      <c r="AC391" s="89"/>
      <c r="AD391" s="89"/>
      <c r="AE391" s="89"/>
      <c r="AF391" s="89"/>
      <c r="AM391" s="89"/>
      <c r="AN391" s="199"/>
      <c r="AO391" s="89"/>
    </row>
    <row r="392" spans="3:41" ht="15.75" customHeight="1" x14ac:dyDescent="0.25"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208"/>
      <c r="P392" s="20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89"/>
      <c r="AB392" s="89"/>
      <c r="AC392" s="89"/>
      <c r="AD392" s="89"/>
      <c r="AE392" s="89"/>
      <c r="AF392" s="89"/>
      <c r="AM392" s="89"/>
      <c r="AN392" s="199"/>
      <c r="AO392" s="89"/>
    </row>
    <row r="393" spans="3:41" ht="15.75" customHeight="1" x14ac:dyDescent="0.25"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208"/>
      <c r="P393" s="209"/>
      <c r="Q393" s="89"/>
      <c r="R393" s="89"/>
      <c r="S393" s="89"/>
      <c r="T393" s="89"/>
      <c r="U393" s="89"/>
      <c r="V393" s="89"/>
      <c r="W393" s="89"/>
      <c r="X393" s="89"/>
      <c r="Y393" s="89"/>
      <c r="Z393" s="89"/>
      <c r="AA393" s="89"/>
      <c r="AB393" s="89"/>
      <c r="AC393" s="89"/>
      <c r="AD393" s="89"/>
      <c r="AE393" s="89"/>
      <c r="AF393" s="89"/>
      <c r="AM393" s="89"/>
      <c r="AN393" s="199"/>
      <c r="AO393" s="89"/>
    </row>
    <row r="394" spans="3:41" ht="15.75" customHeight="1" x14ac:dyDescent="0.25"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208"/>
      <c r="P394" s="209"/>
      <c r="Q394" s="89"/>
      <c r="R394" s="89"/>
      <c r="S394" s="89"/>
      <c r="T394" s="89"/>
      <c r="U394" s="89"/>
      <c r="V394" s="89"/>
      <c r="W394" s="89"/>
      <c r="X394" s="89"/>
      <c r="Y394" s="89"/>
      <c r="Z394" s="89"/>
      <c r="AA394" s="89"/>
      <c r="AB394" s="89"/>
      <c r="AC394" s="89"/>
      <c r="AD394" s="89"/>
      <c r="AE394" s="89"/>
      <c r="AF394" s="89"/>
      <c r="AM394" s="89"/>
      <c r="AN394" s="199"/>
      <c r="AO394" s="89"/>
    </row>
    <row r="395" spans="3:41" ht="15.75" customHeight="1" x14ac:dyDescent="0.25"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208"/>
      <c r="P395" s="209"/>
      <c r="Q395" s="89"/>
      <c r="R395" s="89"/>
      <c r="S395" s="89"/>
      <c r="T395" s="89"/>
      <c r="U395" s="89"/>
      <c r="V395" s="89"/>
      <c r="W395" s="89"/>
      <c r="X395" s="89"/>
      <c r="Y395" s="89"/>
      <c r="Z395" s="89"/>
      <c r="AA395" s="89"/>
      <c r="AB395" s="89"/>
      <c r="AC395" s="89"/>
      <c r="AD395" s="89"/>
      <c r="AE395" s="89"/>
      <c r="AF395" s="89"/>
      <c r="AM395" s="89"/>
      <c r="AN395" s="199"/>
      <c r="AO395" s="89"/>
    </row>
    <row r="396" spans="3:41" ht="15.75" customHeight="1" x14ac:dyDescent="0.25"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208"/>
      <c r="P396" s="209"/>
      <c r="Q396" s="89"/>
      <c r="R396" s="89"/>
      <c r="S396" s="89"/>
      <c r="T396" s="89"/>
      <c r="U396" s="89"/>
      <c r="V396" s="89"/>
      <c r="W396" s="89"/>
      <c r="X396" s="89"/>
      <c r="Y396" s="89"/>
      <c r="Z396" s="89"/>
      <c r="AA396" s="89"/>
      <c r="AB396" s="89"/>
      <c r="AC396" s="89"/>
      <c r="AD396" s="89"/>
      <c r="AE396" s="89"/>
      <c r="AF396" s="89"/>
      <c r="AM396" s="89"/>
      <c r="AN396" s="199"/>
      <c r="AO396" s="89"/>
    </row>
    <row r="397" spans="3:41" ht="15.75" customHeight="1" x14ac:dyDescent="0.25"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208"/>
      <c r="P397" s="209"/>
      <c r="Q397" s="89"/>
      <c r="R397" s="89"/>
      <c r="S397" s="89"/>
      <c r="T397" s="89"/>
      <c r="U397" s="89"/>
      <c r="V397" s="89"/>
      <c r="W397" s="89"/>
      <c r="X397" s="89"/>
      <c r="Y397" s="89"/>
      <c r="Z397" s="89"/>
      <c r="AA397" s="89"/>
      <c r="AB397" s="89"/>
      <c r="AC397" s="89"/>
      <c r="AD397" s="89"/>
      <c r="AE397" s="89"/>
      <c r="AF397" s="89"/>
      <c r="AM397" s="89"/>
      <c r="AN397" s="199"/>
      <c r="AO397" s="89"/>
    </row>
    <row r="398" spans="3:41" ht="15.75" customHeight="1" x14ac:dyDescent="0.25"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208"/>
      <c r="P398" s="209"/>
      <c r="Q398" s="89"/>
      <c r="R398" s="89"/>
      <c r="S398" s="89"/>
      <c r="T398" s="89"/>
      <c r="U398" s="89"/>
      <c r="V398" s="89"/>
      <c r="W398" s="89"/>
      <c r="X398" s="89"/>
      <c r="Y398" s="89"/>
      <c r="Z398" s="89"/>
      <c r="AA398" s="89"/>
      <c r="AB398" s="89"/>
      <c r="AC398" s="89"/>
      <c r="AD398" s="89"/>
      <c r="AE398" s="89"/>
      <c r="AF398" s="89"/>
      <c r="AM398" s="89"/>
      <c r="AN398" s="199"/>
      <c r="AO398" s="89"/>
    </row>
    <row r="399" spans="3:41" ht="15.75" customHeight="1" x14ac:dyDescent="0.25"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208"/>
      <c r="P399" s="209"/>
      <c r="Q399" s="89"/>
      <c r="R399" s="89"/>
      <c r="S399" s="89"/>
      <c r="T399" s="89"/>
      <c r="U399" s="89"/>
      <c r="V399" s="89"/>
      <c r="W399" s="89"/>
      <c r="X399" s="89"/>
      <c r="Y399" s="89"/>
      <c r="Z399" s="89"/>
      <c r="AA399" s="89"/>
      <c r="AB399" s="89"/>
      <c r="AC399" s="89"/>
      <c r="AD399" s="89"/>
      <c r="AE399" s="89"/>
      <c r="AF399" s="89"/>
      <c r="AM399" s="89"/>
      <c r="AN399" s="199"/>
      <c r="AO399" s="89"/>
    </row>
    <row r="400" spans="3:41" ht="15.75" customHeight="1" x14ac:dyDescent="0.25"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208"/>
      <c r="P400" s="209"/>
      <c r="Q400" s="89"/>
      <c r="R400" s="89"/>
      <c r="S400" s="89"/>
      <c r="T400" s="89"/>
      <c r="U400" s="89"/>
      <c r="V400" s="89"/>
      <c r="W400" s="89"/>
      <c r="X400" s="89"/>
      <c r="Y400" s="89"/>
      <c r="Z400" s="89"/>
      <c r="AA400" s="89"/>
      <c r="AB400" s="89"/>
      <c r="AC400" s="89"/>
      <c r="AD400" s="89"/>
      <c r="AE400" s="89"/>
      <c r="AF400" s="89"/>
      <c r="AM400" s="89"/>
      <c r="AN400" s="199"/>
      <c r="AO400" s="89"/>
    </row>
    <row r="401" spans="3:41" ht="15.75" customHeight="1" x14ac:dyDescent="0.25"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208"/>
      <c r="P401" s="209"/>
      <c r="Q401" s="89"/>
      <c r="R401" s="89"/>
      <c r="S401" s="89"/>
      <c r="T401" s="89"/>
      <c r="U401" s="89"/>
      <c r="V401" s="89"/>
      <c r="W401" s="89"/>
      <c r="X401" s="89"/>
      <c r="Y401" s="89"/>
      <c r="Z401" s="89"/>
      <c r="AA401" s="89"/>
      <c r="AB401" s="89"/>
      <c r="AC401" s="89"/>
      <c r="AD401" s="89"/>
      <c r="AE401" s="89"/>
      <c r="AF401" s="89"/>
      <c r="AM401" s="89"/>
      <c r="AN401" s="199"/>
      <c r="AO401" s="89"/>
    </row>
    <row r="402" spans="3:41" ht="15.75" customHeight="1" x14ac:dyDescent="0.25"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208"/>
      <c r="P402" s="209"/>
      <c r="Q402" s="89"/>
      <c r="R402" s="89"/>
      <c r="S402" s="89"/>
      <c r="T402" s="89"/>
      <c r="U402" s="89"/>
      <c r="V402" s="89"/>
      <c r="W402" s="89"/>
      <c r="X402" s="89"/>
      <c r="Y402" s="89"/>
      <c r="Z402" s="89"/>
      <c r="AA402" s="89"/>
      <c r="AB402" s="89"/>
      <c r="AC402" s="89"/>
      <c r="AD402" s="89"/>
      <c r="AE402" s="89"/>
      <c r="AF402" s="89"/>
      <c r="AM402" s="89"/>
      <c r="AN402" s="199"/>
      <c r="AO402" s="89"/>
    </row>
    <row r="403" spans="3:41" ht="15.75" customHeight="1" x14ac:dyDescent="0.25"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208"/>
      <c r="P403" s="209"/>
      <c r="Q403" s="89"/>
      <c r="R403" s="89"/>
      <c r="S403" s="89"/>
      <c r="T403" s="89"/>
      <c r="U403" s="89"/>
      <c r="V403" s="89"/>
      <c r="W403" s="89"/>
      <c r="X403" s="89"/>
      <c r="Y403" s="89"/>
      <c r="Z403" s="89"/>
      <c r="AA403" s="89"/>
      <c r="AB403" s="89"/>
      <c r="AC403" s="89"/>
      <c r="AD403" s="89"/>
      <c r="AE403" s="89"/>
      <c r="AF403" s="89"/>
      <c r="AM403" s="89"/>
      <c r="AN403" s="199"/>
      <c r="AO403" s="89"/>
    </row>
    <row r="404" spans="3:41" ht="15.75" customHeight="1" x14ac:dyDescent="0.25"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208"/>
      <c r="P404" s="20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89"/>
      <c r="AB404" s="89"/>
      <c r="AC404" s="89"/>
      <c r="AD404" s="89"/>
      <c r="AE404" s="89"/>
      <c r="AF404" s="89"/>
      <c r="AM404" s="89"/>
      <c r="AN404" s="199"/>
      <c r="AO404" s="89"/>
    </row>
    <row r="405" spans="3:41" ht="15.75" customHeight="1" x14ac:dyDescent="0.25"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208"/>
      <c r="P405" s="209"/>
      <c r="Q405" s="89"/>
      <c r="R405" s="89"/>
      <c r="S405" s="89"/>
      <c r="T405" s="89"/>
      <c r="U405" s="89"/>
      <c r="V405" s="89"/>
      <c r="W405" s="89"/>
      <c r="X405" s="89"/>
      <c r="Y405" s="89"/>
      <c r="Z405" s="89"/>
      <c r="AA405" s="89"/>
      <c r="AB405" s="89"/>
      <c r="AC405" s="89"/>
      <c r="AD405" s="89"/>
      <c r="AE405" s="89"/>
      <c r="AF405" s="89"/>
      <c r="AM405" s="89"/>
      <c r="AN405" s="199"/>
      <c r="AO405" s="89"/>
    </row>
    <row r="406" spans="3:41" ht="15.75" customHeight="1" x14ac:dyDescent="0.25"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208"/>
      <c r="P406" s="209"/>
      <c r="Q406" s="89"/>
      <c r="R406" s="89"/>
      <c r="S406" s="89"/>
      <c r="T406" s="89"/>
      <c r="U406" s="89"/>
      <c r="V406" s="89"/>
      <c r="W406" s="89"/>
      <c r="X406" s="89"/>
      <c r="Y406" s="89"/>
      <c r="Z406" s="89"/>
      <c r="AA406" s="89"/>
      <c r="AB406" s="89"/>
      <c r="AC406" s="89"/>
      <c r="AD406" s="89"/>
      <c r="AE406" s="89"/>
      <c r="AF406" s="89"/>
      <c r="AM406" s="89"/>
      <c r="AN406" s="199"/>
      <c r="AO406" s="89"/>
    </row>
    <row r="407" spans="3:41" ht="15.75" customHeight="1" x14ac:dyDescent="0.25"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208"/>
      <c r="P407" s="20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M407" s="89"/>
      <c r="AN407" s="199"/>
      <c r="AO407" s="89"/>
    </row>
    <row r="408" spans="3:41" ht="15.75" customHeight="1" x14ac:dyDescent="0.25"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208"/>
      <c r="P408" s="209"/>
      <c r="Q408" s="89"/>
      <c r="R408" s="89"/>
      <c r="S408" s="89"/>
      <c r="T408" s="89"/>
      <c r="U408" s="89"/>
      <c r="V408" s="89"/>
      <c r="W408" s="89"/>
      <c r="X408" s="89"/>
      <c r="Y408" s="89"/>
      <c r="Z408" s="89"/>
      <c r="AA408" s="89"/>
      <c r="AB408" s="89"/>
      <c r="AC408" s="89"/>
      <c r="AD408" s="89"/>
      <c r="AE408" s="89"/>
      <c r="AF408" s="89"/>
      <c r="AM408" s="89"/>
      <c r="AN408" s="199"/>
      <c r="AO408" s="89"/>
    </row>
    <row r="409" spans="3:41" ht="15.75" customHeight="1" x14ac:dyDescent="0.25"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208"/>
      <c r="P409" s="20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89"/>
      <c r="AB409" s="89"/>
      <c r="AC409" s="89"/>
      <c r="AD409" s="89"/>
      <c r="AE409" s="89"/>
      <c r="AF409" s="89"/>
      <c r="AM409" s="89"/>
      <c r="AN409" s="199"/>
      <c r="AO409" s="89"/>
    </row>
    <row r="410" spans="3:41" ht="15.75" customHeight="1" x14ac:dyDescent="0.25"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208"/>
      <c r="P410" s="20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89"/>
      <c r="AB410" s="89"/>
      <c r="AC410" s="89"/>
      <c r="AD410" s="89"/>
      <c r="AE410" s="89"/>
      <c r="AF410" s="89"/>
      <c r="AM410" s="89"/>
      <c r="AN410" s="199"/>
      <c r="AO410" s="89"/>
    </row>
    <row r="411" spans="3:41" ht="15.75" customHeight="1" x14ac:dyDescent="0.25"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208"/>
      <c r="P411" s="209"/>
      <c r="Q411" s="89"/>
      <c r="R411" s="89"/>
      <c r="S411" s="89"/>
      <c r="T411" s="89"/>
      <c r="U411" s="89"/>
      <c r="V411" s="89"/>
      <c r="W411" s="89"/>
      <c r="X411" s="89"/>
      <c r="Y411" s="89"/>
      <c r="Z411" s="89"/>
      <c r="AA411" s="89"/>
      <c r="AB411" s="89"/>
      <c r="AC411" s="89"/>
      <c r="AD411" s="89"/>
      <c r="AE411" s="89"/>
      <c r="AF411" s="89"/>
      <c r="AM411" s="89"/>
      <c r="AN411" s="199"/>
      <c r="AO411" s="89"/>
    </row>
    <row r="412" spans="3:41" ht="15.75" customHeight="1" x14ac:dyDescent="0.25"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208"/>
      <c r="P412" s="209"/>
      <c r="Q412" s="89"/>
      <c r="R412" s="89"/>
      <c r="S412" s="89"/>
      <c r="T412" s="89"/>
      <c r="U412" s="89"/>
      <c r="V412" s="89"/>
      <c r="W412" s="89"/>
      <c r="X412" s="89"/>
      <c r="Y412" s="89"/>
      <c r="Z412" s="89"/>
      <c r="AA412" s="89"/>
      <c r="AB412" s="89"/>
      <c r="AC412" s="89"/>
      <c r="AD412" s="89"/>
      <c r="AE412" s="89"/>
      <c r="AF412" s="89"/>
      <c r="AM412" s="89"/>
      <c r="AN412" s="199"/>
      <c r="AO412" s="89"/>
    </row>
    <row r="413" spans="3:41" ht="15.75" customHeight="1" x14ac:dyDescent="0.25"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208"/>
      <c r="P413" s="209"/>
      <c r="Q413" s="89"/>
      <c r="R413" s="89"/>
      <c r="S413" s="89"/>
      <c r="T413" s="89"/>
      <c r="U413" s="89"/>
      <c r="V413" s="89"/>
      <c r="W413" s="89"/>
      <c r="X413" s="89"/>
      <c r="Y413" s="89"/>
      <c r="Z413" s="89"/>
      <c r="AA413" s="89"/>
      <c r="AB413" s="89"/>
      <c r="AC413" s="89"/>
      <c r="AD413" s="89"/>
      <c r="AE413" s="89"/>
      <c r="AF413" s="89"/>
      <c r="AM413" s="89"/>
      <c r="AN413" s="199"/>
      <c r="AO413" s="89"/>
    </row>
    <row r="414" spans="3:41" ht="15.75" customHeight="1" x14ac:dyDescent="0.25"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208"/>
      <c r="P414" s="20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89"/>
      <c r="AB414" s="89"/>
      <c r="AC414" s="89"/>
      <c r="AD414" s="89"/>
      <c r="AE414" s="89"/>
      <c r="AF414" s="89"/>
      <c r="AM414" s="89"/>
      <c r="AN414" s="199"/>
      <c r="AO414" s="89"/>
    </row>
    <row r="415" spans="3:41" ht="15.75" customHeight="1" x14ac:dyDescent="0.25"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208"/>
      <c r="P415" s="209"/>
      <c r="Q415" s="89"/>
      <c r="R415" s="89"/>
      <c r="S415" s="89"/>
      <c r="T415" s="89"/>
      <c r="U415" s="89"/>
      <c r="V415" s="89"/>
      <c r="W415" s="89"/>
      <c r="X415" s="89"/>
      <c r="Y415" s="89"/>
      <c r="Z415" s="89"/>
      <c r="AA415" s="89"/>
      <c r="AB415" s="89"/>
      <c r="AC415" s="89"/>
      <c r="AD415" s="89"/>
      <c r="AE415" s="89"/>
      <c r="AF415" s="89"/>
      <c r="AM415" s="89"/>
      <c r="AN415" s="199"/>
      <c r="AO415" s="89"/>
    </row>
    <row r="416" spans="3:41" ht="15.75" customHeight="1" x14ac:dyDescent="0.25"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208"/>
      <c r="P416" s="209"/>
      <c r="Q416" s="89"/>
      <c r="R416" s="89"/>
      <c r="S416" s="89"/>
      <c r="T416" s="89"/>
      <c r="U416" s="89"/>
      <c r="V416" s="89"/>
      <c r="W416" s="89"/>
      <c r="X416" s="89"/>
      <c r="Y416" s="89"/>
      <c r="Z416" s="89"/>
      <c r="AA416" s="89"/>
      <c r="AB416" s="89"/>
      <c r="AC416" s="89"/>
      <c r="AD416" s="89"/>
      <c r="AE416" s="89"/>
      <c r="AF416" s="89"/>
      <c r="AM416" s="89"/>
      <c r="AN416" s="199"/>
      <c r="AO416" s="89"/>
    </row>
    <row r="417" spans="3:41" ht="15.75" customHeight="1" x14ac:dyDescent="0.25"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208"/>
      <c r="P417" s="209"/>
      <c r="Q417" s="89"/>
      <c r="R417" s="89"/>
      <c r="S417" s="89"/>
      <c r="T417" s="89"/>
      <c r="U417" s="89"/>
      <c r="V417" s="89"/>
      <c r="W417" s="89"/>
      <c r="X417" s="89"/>
      <c r="Y417" s="89"/>
      <c r="Z417" s="89"/>
      <c r="AA417" s="89"/>
      <c r="AB417" s="89"/>
      <c r="AC417" s="89"/>
      <c r="AD417" s="89"/>
      <c r="AE417" s="89"/>
      <c r="AF417" s="89"/>
      <c r="AM417" s="89"/>
      <c r="AN417" s="199"/>
      <c r="AO417" s="89"/>
    </row>
    <row r="418" spans="3:41" ht="15.75" customHeight="1" x14ac:dyDescent="0.25"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208"/>
      <c r="P418" s="209"/>
      <c r="Q418" s="89"/>
      <c r="R418" s="89"/>
      <c r="S418" s="89"/>
      <c r="T418" s="89"/>
      <c r="U418" s="89"/>
      <c r="V418" s="89"/>
      <c r="W418" s="89"/>
      <c r="X418" s="89"/>
      <c r="Y418" s="89"/>
      <c r="Z418" s="89"/>
      <c r="AA418" s="89"/>
      <c r="AB418" s="89"/>
      <c r="AC418" s="89"/>
      <c r="AD418" s="89"/>
      <c r="AE418" s="89"/>
      <c r="AF418" s="89"/>
      <c r="AM418" s="89"/>
      <c r="AN418" s="199"/>
      <c r="AO418" s="89"/>
    </row>
    <row r="419" spans="3:41" ht="15.75" customHeight="1" x14ac:dyDescent="0.25"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208"/>
      <c r="P419" s="209"/>
      <c r="Q419" s="89"/>
      <c r="R419" s="89"/>
      <c r="S419" s="89"/>
      <c r="T419" s="89"/>
      <c r="U419" s="89"/>
      <c r="V419" s="89"/>
      <c r="W419" s="89"/>
      <c r="X419" s="89"/>
      <c r="Y419" s="89"/>
      <c r="Z419" s="89"/>
      <c r="AA419" s="89"/>
      <c r="AB419" s="89"/>
      <c r="AC419" s="89"/>
      <c r="AD419" s="89"/>
      <c r="AE419" s="89"/>
      <c r="AF419" s="89"/>
      <c r="AM419" s="89"/>
      <c r="AN419" s="199"/>
      <c r="AO419" s="89"/>
    </row>
    <row r="420" spans="3:41" ht="15.75" customHeight="1" x14ac:dyDescent="0.25"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208"/>
      <c r="P420" s="209"/>
      <c r="Q420" s="89"/>
      <c r="R420" s="89"/>
      <c r="S420" s="89"/>
      <c r="T420" s="89"/>
      <c r="U420" s="89"/>
      <c r="V420" s="89"/>
      <c r="W420" s="89"/>
      <c r="X420" s="89"/>
      <c r="Y420" s="89"/>
      <c r="Z420" s="89"/>
      <c r="AA420" s="89"/>
      <c r="AB420" s="89"/>
      <c r="AC420" s="89"/>
      <c r="AD420" s="89"/>
      <c r="AE420" s="89"/>
      <c r="AF420" s="89"/>
      <c r="AM420" s="89"/>
      <c r="AN420" s="199"/>
      <c r="AO420" s="89"/>
    </row>
    <row r="421" spans="3:41" ht="15.75" customHeight="1" x14ac:dyDescent="0.25"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208"/>
      <c r="P421" s="20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M421" s="89"/>
      <c r="AN421" s="199"/>
      <c r="AO421" s="89"/>
    </row>
    <row r="422" spans="3:41" ht="15.75" customHeight="1" x14ac:dyDescent="0.25"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208"/>
      <c r="P422" s="20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89"/>
      <c r="AB422" s="89"/>
      <c r="AC422" s="89"/>
      <c r="AD422" s="89"/>
      <c r="AE422" s="89"/>
      <c r="AF422" s="89"/>
      <c r="AM422" s="89"/>
      <c r="AN422" s="199"/>
      <c r="AO422" s="89"/>
    </row>
    <row r="423" spans="3:41" ht="15.75" customHeight="1" x14ac:dyDescent="0.25"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208"/>
      <c r="P423" s="209"/>
      <c r="Q423" s="89"/>
      <c r="R423" s="89"/>
      <c r="S423" s="89"/>
      <c r="T423" s="89"/>
      <c r="U423" s="89"/>
      <c r="V423" s="89"/>
      <c r="W423" s="89"/>
      <c r="X423" s="89"/>
      <c r="Y423" s="89"/>
      <c r="Z423" s="89"/>
      <c r="AA423" s="89"/>
      <c r="AB423" s="89"/>
      <c r="AC423" s="89"/>
      <c r="AD423" s="89"/>
      <c r="AE423" s="89"/>
      <c r="AF423" s="89"/>
      <c r="AM423" s="89"/>
      <c r="AN423" s="199"/>
      <c r="AO423" s="89"/>
    </row>
    <row r="424" spans="3:41" ht="15.75" customHeight="1" x14ac:dyDescent="0.25"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208"/>
      <c r="P424" s="209"/>
      <c r="Q424" s="89"/>
      <c r="R424" s="89"/>
      <c r="S424" s="89"/>
      <c r="T424" s="89"/>
      <c r="U424" s="89"/>
      <c r="V424" s="89"/>
      <c r="W424" s="89"/>
      <c r="X424" s="89"/>
      <c r="Y424" s="89"/>
      <c r="Z424" s="89"/>
      <c r="AA424" s="89"/>
      <c r="AB424" s="89"/>
      <c r="AC424" s="89"/>
      <c r="AD424" s="89"/>
      <c r="AE424" s="89"/>
      <c r="AF424" s="89"/>
      <c r="AM424" s="89"/>
      <c r="AN424" s="199"/>
      <c r="AO424" s="89"/>
    </row>
    <row r="425" spans="3:41" ht="15.75" customHeight="1" x14ac:dyDescent="0.25"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208"/>
      <c r="P425" s="209"/>
      <c r="Q425" s="89"/>
      <c r="R425" s="89"/>
      <c r="S425" s="89"/>
      <c r="T425" s="89"/>
      <c r="U425" s="89"/>
      <c r="V425" s="89"/>
      <c r="W425" s="89"/>
      <c r="X425" s="89"/>
      <c r="Y425" s="89"/>
      <c r="Z425" s="89"/>
      <c r="AA425" s="89"/>
      <c r="AB425" s="89"/>
      <c r="AC425" s="89"/>
      <c r="AD425" s="89"/>
      <c r="AE425" s="89"/>
      <c r="AF425" s="89"/>
      <c r="AM425" s="89"/>
      <c r="AN425" s="199"/>
      <c r="AO425" s="89"/>
    </row>
    <row r="426" spans="3:41" ht="15.75" customHeight="1" x14ac:dyDescent="0.25"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208"/>
      <c r="P426" s="209"/>
      <c r="Q426" s="89"/>
      <c r="R426" s="89"/>
      <c r="S426" s="89"/>
      <c r="T426" s="89"/>
      <c r="U426" s="89"/>
      <c r="V426" s="89"/>
      <c r="W426" s="89"/>
      <c r="X426" s="89"/>
      <c r="Y426" s="89"/>
      <c r="Z426" s="89"/>
      <c r="AA426" s="89"/>
      <c r="AB426" s="89"/>
      <c r="AC426" s="89"/>
      <c r="AD426" s="89"/>
      <c r="AE426" s="89"/>
      <c r="AF426" s="89"/>
      <c r="AM426" s="89"/>
      <c r="AN426" s="199"/>
      <c r="AO426" s="89"/>
    </row>
    <row r="427" spans="3:41" ht="15.75" customHeight="1" x14ac:dyDescent="0.25"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208"/>
      <c r="P427" s="20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89"/>
      <c r="AB427" s="89"/>
      <c r="AC427" s="89"/>
      <c r="AD427" s="89"/>
      <c r="AE427" s="89"/>
      <c r="AF427" s="89"/>
      <c r="AM427" s="89"/>
      <c r="AN427" s="199"/>
      <c r="AO427" s="89"/>
    </row>
    <row r="428" spans="3:41" ht="15.75" customHeight="1" x14ac:dyDescent="0.25"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208"/>
      <c r="P428" s="20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89"/>
      <c r="AB428" s="89"/>
      <c r="AC428" s="89"/>
      <c r="AD428" s="89"/>
      <c r="AE428" s="89"/>
      <c r="AF428" s="89"/>
      <c r="AM428" s="89"/>
      <c r="AN428" s="199"/>
      <c r="AO428" s="89"/>
    </row>
    <row r="429" spans="3:41" ht="15.75" customHeight="1" x14ac:dyDescent="0.25"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208"/>
      <c r="P429" s="209"/>
      <c r="Q429" s="89"/>
      <c r="R429" s="89"/>
      <c r="S429" s="89"/>
      <c r="T429" s="89"/>
      <c r="U429" s="89"/>
      <c r="V429" s="89"/>
      <c r="W429" s="89"/>
      <c r="X429" s="89"/>
      <c r="Y429" s="89"/>
      <c r="Z429" s="89"/>
      <c r="AA429" s="89"/>
      <c r="AB429" s="89"/>
      <c r="AC429" s="89"/>
      <c r="AD429" s="89"/>
      <c r="AE429" s="89"/>
      <c r="AF429" s="89"/>
      <c r="AM429" s="89"/>
      <c r="AN429" s="199"/>
      <c r="AO429" s="89"/>
    </row>
    <row r="430" spans="3:41" ht="15.75" customHeight="1" x14ac:dyDescent="0.25"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208"/>
      <c r="P430" s="209"/>
      <c r="Q430" s="89"/>
      <c r="R430" s="89"/>
      <c r="S430" s="89"/>
      <c r="T430" s="89"/>
      <c r="U430" s="89"/>
      <c r="V430" s="89"/>
      <c r="W430" s="89"/>
      <c r="X430" s="89"/>
      <c r="Y430" s="89"/>
      <c r="Z430" s="89"/>
      <c r="AA430" s="89"/>
      <c r="AB430" s="89"/>
      <c r="AC430" s="89"/>
      <c r="AD430" s="89"/>
      <c r="AE430" s="89"/>
      <c r="AF430" s="89"/>
      <c r="AM430" s="89"/>
      <c r="AN430" s="199"/>
      <c r="AO430" s="89"/>
    </row>
    <row r="431" spans="3:41" ht="15.75" customHeight="1" x14ac:dyDescent="0.25"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208"/>
      <c r="P431" s="209"/>
      <c r="Q431" s="89"/>
      <c r="R431" s="89"/>
      <c r="S431" s="89"/>
      <c r="T431" s="89"/>
      <c r="U431" s="89"/>
      <c r="V431" s="89"/>
      <c r="W431" s="89"/>
      <c r="X431" s="89"/>
      <c r="Y431" s="89"/>
      <c r="Z431" s="89"/>
      <c r="AA431" s="89"/>
      <c r="AB431" s="89"/>
      <c r="AC431" s="89"/>
      <c r="AD431" s="89"/>
      <c r="AE431" s="89"/>
      <c r="AF431" s="89"/>
      <c r="AM431" s="89"/>
      <c r="AN431" s="199"/>
      <c r="AO431" s="89"/>
    </row>
    <row r="432" spans="3:41" ht="15.75" customHeight="1" x14ac:dyDescent="0.25"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208"/>
      <c r="P432" s="209"/>
      <c r="Q432" s="89"/>
      <c r="R432" s="89"/>
      <c r="S432" s="89"/>
      <c r="T432" s="89"/>
      <c r="U432" s="89"/>
      <c r="V432" s="89"/>
      <c r="W432" s="89"/>
      <c r="X432" s="89"/>
      <c r="Y432" s="89"/>
      <c r="Z432" s="89"/>
      <c r="AA432" s="89"/>
      <c r="AB432" s="89"/>
      <c r="AC432" s="89"/>
      <c r="AD432" s="89"/>
      <c r="AE432" s="89"/>
      <c r="AF432" s="89"/>
      <c r="AM432" s="89"/>
      <c r="AN432" s="199"/>
      <c r="AO432" s="89"/>
    </row>
    <row r="433" spans="3:41" ht="15.75" customHeight="1" x14ac:dyDescent="0.25"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208"/>
      <c r="P433" s="209"/>
      <c r="Q433" s="89"/>
      <c r="R433" s="89"/>
      <c r="S433" s="89"/>
      <c r="T433" s="89"/>
      <c r="U433" s="89"/>
      <c r="V433" s="89"/>
      <c r="W433" s="89"/>
      <c r="X433" s="89"/>
      <c r="Y433" s="89"/>
      <c r="Z433" s="89"/>
      <c r="AA433" s="89"/>
      <c r="AB433" s="89"/>
      <c r="AC433" s="89"/>
      <c r="AD433" s="89"/>
      <c r="AE433" s="89"/>
      <c r="AF433" s="89"/>
      <c r="AM433" s="89"/>
      <c r="AN433" s="199"/>
      <c r="AO433" s="89"/>
    </row>
    <row r="434" spans="3:41" ht="15.75" customHeight="1" x14ac:dyDescent="0.25"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208"/>
      <c r="P434" s="209"/>
      <c r="Q434" s="89"/>
      <c r="R434" s="89"/>
      <c r="S434" s="89"/>
      <c r="T434" s="89"/>
      <c r="U434" s="89"/>
      <c r="V434" s="89"/>
      <c r="W434" s="89"/>
      <c r="X434" s="89"/>
      <c r="Y434" s="89"/>
      <c r="Z434" s="89"/>
      <c r="AA434" s="89"/>
      <c r="AB434" s="89"/>
      <c r="AC434" s="89"/>
      <c r="AD434" s="89"/>
      <c r="AE434" s="89"/>
      <c r="AF434" s="89"/>
      <c r="AM434" s="89"/>
      <c r="AN434" s="199"/>
      <c r="AO434" s="89"/>
    </row>
    <row r="435" spans="3:41" ht="15.75" customHeight="1" x14ac:dyDescent="0.25"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208"/>
      <c r="P435" s="209"/>
      <c r="Q435" s="89"/>
      <c r="R435" s="89"/>
      <c r="S435" s="89"/>
      <c r="T435" s="89"/>
      <c r="U435" s="89"/>
      <c r="V435" s="89"/>
      <c r="W435" s="89"/>
      <c r="X435" s="89"/>
      <c r="Y435" s="89"/>
      <c r="Z435" s="89"/>
      <c r="AA435" s="89"/>
      <c r="AB435" s="89"/>
      <c r="AC435" s="89"/>
      <c r="AD435" s="89"/>
      <c r="AE435" s="89"/>
      <c r="AF435" s="89"/>
      <c r="AM435" s="89"/>
      <c r="AN435" s="199"/>
      <c r="AO435" s="89"/>
    </row>
    <row r="436" spans="3:41" ht="15.75" customHeight="1" x14ac:dyDescent="0.25"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208"/>
      <c r="P436" s="209"/>
      <c r="Q436" s="89"/>
      <c r="R436" s="89"/>
      <c r="S436" s="89"/>
      <c r="T436" s="89"/>
      <c r="U436" s="89"/>
      <c r="V436" s="89"/>
      <c r="W436" s="89"/>
      <c r="X436" s="89"/>
      <c r="Y436" s="89"/>
      <c r="Z436" s="89"/>
      <c r="AA436" s="89"/>
      <c r="AB436" s="89"/>
      <c r="AC436" s="89"/>
      <c r="AD436" s="89"/>
      <c r="AE436" s="89"/>
      <c r="AF436" s="89"/>
      <c r="AM436" s="89"/>
      <c r="AN436" s="199"/>
      <c r="AO436" s="89"/>
    </row>
    <row r="437" spans="3:41" ht="15.75" customHeight="1" x14ac:dyDescent="0.25"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208"/>
      <c r="P437" s="209"/>
      <c r="Q437" s="89"/>
      <c r="R437" s="89"/>
      <c r="S437" s="89"/>
      <c r="T437" s="89"/>
      <c r="U437" s="89"/>
      <c r="V437" s="89"/>
      <c r="W437" s="89"/>
      <c r="X437" s="89"/>
      <c r="Y437" s="89"/>
      <c r="Z437" s="89"/>
      <c r="AA437" s="89"/>
      <c r="AB437" s="89"/>
      <c r="AC437" s="89"/>
      <c r="AD437" s="89"/>
      <c r="AE437" s="89"/>
      <c r="AF437" s="89"/>
      <c r="AM437" s="89"/>
      <c r="AN437" s="199"/>
      <c r="AO437" s="89"/>
    </row>
    <row r="438" spans="3:41" ht="15.75" customHeight="1" x14ac:dyDescent="0.25"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208"/>
      <c r="P438" s="209"/>
      <c r="Q438" s="89"/>
      <c r="R438" s="89"/>
      <c r="S438" s="89"/>
      <c r="T438" s="89"/>
      <c r="U438" s="89"/>
      <c r="V438" s="89"/>
      <c r="W438" s="89"/>
      <c r="X438" s="89"/>
      <c r="Y438" s="89"/>
      <c r="Z438" s="89"/>
      <c r="AA438" s="89"/>
      <c r="AB438" s="89"/>
      <c r="AC438" s="89"/>
      <c r="AD438" s="89"/>
      <c r="AE438" s="89"/>
      <c r="AF438" s="89"/>
      <c r="AM438" s="89"/>
      <c r="AN438" s="199"/>
      <c r="AO438" s="89"/>
    </row>
    <row r="439" spans="3:41" ht="15.75" customHeight="1" x14ac:dyDescent="0.25"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208"/>
      <c r="P439" s="209"/>
      <c r="Q439" s="89"/>
      <c r="R439" s="89"/>
      <c r="S439" s="89"/>
      <c r="T439" s="89"/>
      <c r="U439" s="89"/>
      <c r="V439" s="89"/>
      <c r="W439" s="89"/>
      <c r="X439" s="89"/>
      <c r="Y439" s="89"/>
      <c r="Z439" s="89"/>
      <c r="AA439" s="89"/>
      <c r="AB439" s="89"/>
      <c r="AC439" s="89"/>
      <c r="AD439" s="89"/>
      <c r="AE439" s="89"/>
      <c r="AF439" s="89"/>
      <c r="AM439" s="89"/>
      <c r="AN439" s="199"/>
      <c r="AO439" s="89"/>
    </row>
    <row r="440" spans="3:41" ht="15.75" customHeight="1" x14ac:dyDescent="0.25"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208"/>
      <c r="P440" s="209"/>
      <c r="Q440" s="89"/>
      <c r="R440" s="89"/>
      <c r="S440" s="89"/>
      <c r="T440" s="89"/>
      <c r="U440" s="89"/>
      <c r="V440" s="89"/>
      <c r="W440" s="89"/>
      <c r="X440" s="89"/>
      <c r="Y440" s="89"/>
      <c r="Z440" s="89"/>
      <c r="AA440" s="89"/>
      <c r="AB440" s="89"/>
      <c r="AC440" s="89"/>
      <c r="AD440" s="89"/>
      <c r="AE440" s="89"/>
      <c r="AF440" s="89"/>
      <c r="AM440" s="89"/>
      <c r="AN440" s="199"/>
      <c r="AO440" s="89"/>
    </row>
    <row r="441" spans="3:41" ht="15.75" customHeight="1" x14ac:dyDescent="0.25"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208"/>
      <c r="P441" s="209"/>
      <c r="Q441" s="89"/>
      <c r="R441" s="89"/>
      <c r="S441" s="89"/>
      <c r="T441" s="89"/>
      <c r="U441" s="89"/>
      <c r="V441" s="89"/>
      <c r="W441" s="89"/>
      <c r="X441" s="89"/>
      <c r="Y441" s="89"/>
      <c r="Z441" s="89"/>
      <c r="AA441" s="89"/>
      <c r="AB441" s="89"/>
      <c r="AC441" s="89"/>
      <c r="AD441" s="89"/>
      <c r="AE441" s="89"/>
      <c r="AF441" s="89"/>
      <c r="AM441" s="89"/>
      <c r="AN441" s="199"/>
      <c r="AO441" s="89"/>
    </row>
    <row r="442" spans="3:41" ht="15.75" customHeight="1" x14ac:dyDescent="0.25"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208"/>
      <c r="P442" s="209"/>
      <c r="Q442" s="89"/>
      <c r="R442" s="89"/>
      <c r="S442" s="89"/>
      <c r="T442" s="89"/>
      <c r="U442" s="89"/>
      <c r="V442" s="89"/>
      <c r="W442" s="89"/>
      <c r="X442" s="89"/>
      <c r="Y442" s="89"/>
      <c r="Z442" s="89"/>
      <c r="AA442" s="89"/>
      <c r="AB442" s="89"/>
      <c r="AC442" s="89"/>
      <c r="AD442" s="89"/>
      <c r="AE442" s="89"/>
      <c r="AF442" s="89"/>
      <c r="AM442" s="89"/>
      <c r="AN442" s="199"/>
      <c r="AO442" s="89"/>
    </row>
    <row r="443" spans="3:41" ht="15.75" customHeight="1" x14ac:dyDescent="0.25"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208"/>
      <c r="P443" s="20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89"/>
      <c r="AB443" s="89"/>
      <c r="AC443" s="89"/>
      <c r="AD443" s="89"/>
      <c r="AE443" s="89"/>
      <c r="AF443" s="89"/>
      <c r="AM443" s="89"/>
      <c r="AN443" s="199"/>
      <c r="AO443" s="89"/>
    </row>
    <row r="444" spans="3:41" ht="15.75" customHeight="1" x14ac:dyDescent="0.25"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208"/>
      <c r="P444" s="209"/>
      <c r="Q444" s="89"/>
      <c r="R444" s="89"/>
      <c r="S444" s="89"/>
      <c r="T444" s="89"/>
      <c r="U444" s="89"/>
      <c r="V444" s="89"/>
      <c r="W444" s="89"/>
      <c r="X444" s="89"/>
      <c r="Y444" s="89"/>
      <c r="Z444" s="89"/>
      <c r="AA444" s="89"/>
      <c r="AB444" s="89"/>
      <c r="AC444" s="89"/>
      <c r="AD444" s="89"/>
      <c r="AE444" s="89"/>
      <c r="AF444" s="89"/>
      <c r="AM444" s="89"/>
      <c r="AN444" s="199"/>
      <c r="AO444" s="89"/>
    </row>
    <row r="445" spans="3:41" ht="15.75" customHeight="1" x14ac:dyDescent="0.25"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208"/>
      <c r="P445" s="209"/>
      <c r="Q445" s="89"/>
      <c r="R445" s="89"/>
      <c r="S445" s="89"/>
      <c r="T445" s="89"/>
      <c r="U445" s="89"/>
      <c r="V445" s="89"/>
      <c r="W445" s="89"/>
      <c r="X445" s="89"/>
      <c r="Y445" s="89"/>
      <c r="Z445" s="89"/>
      <c r="AA445" s="89"/>
      <c r="AB445" s="89"/>
      <c r="AC445" s="89"/>
      <c r="AD445" s="89"/>
      <c r="AE445" s="89"/>
      <c r="AF445" s="89"/>
      <c r="AM445" s="89"/>
      <c r="AN445" s="199"/>
      <c r="AO445" s="89"/>
    </row>
    <row r="446" spans="3:41" ht="15.75" customHeight="1" x14ac:dyDescent="0.25"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208"/>
      <c r="P446" s="209"/>
      <c r="Q446" s="89"/>
      <c r="R446" s="89"/>
      <c r="S446" s="89"/>
      <c r="T446" s="89"/>
      <c r="U446" s="89"/>
      <c r="V446" s="89"/>
      <c r="W446" s="89"/>
      <c r="X446" s="89"/>
      <c r="Y446" s="89"/>
      <c r="Z446" s="89"/>
      <c r="AA446" s="89"/>
      <c r="AB446" s="89"/>
      <c r="AC446" s="89"/>
      <c r="AD446" s="89"/>
      <c r="AE446" s="89"/>
      <c r="AF446" s="89"/>
      <c r="AM446" s="89"/>
      <c r="AN446" s="199"/>
      <c r="AO446" s="89"/>
    </row>
    <row r="447" spans="3:41" ht="15.75" customHeight="1" x14ac:dyDescent="0.25"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208"/>
      <c r="P447" s="209"/>
      <c r="Q447" s="89"/>
      <c r="R447" s="89"/>
      <c r="S447" s="89"/>
      <c r="T447" s="89"/>
      <c r="U447" s="89"/>
      <c r="V447" s="89"/>
      <c r="W447" s="89"/>
      <c r="X447" s="89"/>
      <c r="Y447" s="89"/>
      <c r="Z447" s="89"/>
      <c r="AA447" s="89"/>
      <c r="AB447" s="89"/>
      <c r="AC447" s="89"/>
      <c r="AD447" s="89"/>
      <c r="AE447" s="89"/>
      <c r="AF447" s="89"/>
      <c r="AM447" s="89"/>
      <c r="AN447" s="199"/>
      <c r="AO447" s="89"/>
    </row>
    <row r="448" spans="3:41" ht="15.75" customHeight="1" x14ac:dyDescent="0.25"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208"/>
      <c r="P448" s="209"/>
      <c r="Q448" s="89"/>
      <c r="R448" s="89"/>
      <c r="S448" s="89"/>
      <c r="T448" s="89"/>
      <c r="U448" s="89"/>
      <c r="V448" s="89"/>
      <c r="W448" s="89"/>
      <c r="X448" s="89"/>
      <c r="Y448" s="89"/>
      <c r="Z448" s="89"/>
      <c r="AA448" s="89"/>
      <c r="AB448" s="89"/>
      <c r="AC448" s="89"/>
      <c r="AD448" s="89"/>
      <c r="AE448" s="89"/>
      <c r="AF448" s="89"/>
      <c r="AM448" s="89"/>
      <c r="AN448" s="199"/>
      <c r="AO448" s="89"/>
    </row>
    <row r="449" spans="3:41" ht="15.75" customHeight="1" x14ac:dyDescent="0.25"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208"/>
      <c r="P449" s="20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89"/>
      <c r="AB449" s="89"/>
      <c r="AC449" s="89"/>
      <c r="AD449" s="89"/>
      <c r="AE449" s="89"/>
      <c r="AF449" s="89"/>
      <c r="AM449" s="89"/>
      <c r="AN449" s="199"/>
      <c r="AO449" s="89"/>
    </row>
    <row r="450" spans="3:41" ht="15.75" customHeight="1" x14ac:dyDescent="0.25"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208"/>
      <c r="P450" s="209"/>
      <c r="Q450" s="89"/>
      <c r="R450" s="89"/>
      <c r="S450" s="89"/>
      <c r="T450" s="89"/>
      <c r="U450" s="89"/>
      <c r="V450" s="89"/>
      <c r="W450" s="89"/>
      <c r="X450" s="89"/>
      <c r="Y450" s="89"/>
      <c r="Z450" s="89"/>
      <c r="AA450" s="89"/>
      <c r="AB450" s="89"/>
      <c r="AC450" s="89"/>
      <c r="AD450" s="89"/>
      <c r="AE450" s="89"/>
      <c r="AF450" s="89"/>
      <c r="AM450" s="89"/>
      <c r="AN450" s="199"/>
      <c r="AO450" s="89"/>
    </row>
    <row r="451" spans="3:41" ht="15.75" customHeight="1" x14ac:dyDescent="0.25"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208"/>
      <c r="P451" s="209"/>
      <c r="Q451" s="89"/>
      <c r="R451" s="89"/>
      <c r="S451" s="89"/>
      <c r="T451" s="89"/>
      <c r="U451" s="89"/>
      <c r="V451" s="89"/>
      <c r="W451" s="89"/>
      <c r="X451" s="89"/>
      <c r="Y451" s="89"/>
      <c r="Z451" s="89"/>
      <c r="AA451" s="89"/>
      <c r="AB451" s="89"/>
      <c r="AC451" s="89"/>
      <c r="AD451" s="89"/>
      <c r="AE451" s="89"/>
      <c r="AF451" s="89"/>
      <c r="AM451" s="89"/>
      <c r="AN451" s="199"/>
      <c r="AO451" s="89"/>
    </row>
    <row r="452" spans="3:41" ht="15.75" customHeight="1" x14ac:dyDescent="0.25"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208"/>
      <c r="P452" s="209"/>
      <c r="Q452" s="89"/>
      <c r="R452" s="89"/>
      <c r="S452" s="89"/>
      <c r="T452" s="89"/>
      <c r="U452" s="89"/>
      <c r="V452" s="89"/>
      <c r="W452" s="89"/>
      <c r="X452" s="89"/>
      <c r="Y452" s="89"/>
      <c r="Z452" s="89"/>
      <c r="AA452" s="89"/>
      <c r="AB452" s="89"/>
      <c r="AC452" s="89"/>
      <c r="AD452" s="89"/>
      <c r="AE452" s="89"/>
      <c r="AF452" s="89"/>
      <c r="AM452" s="89"/>
      <c r="AN452" s="199"/>
      <c r="AO452" s="89"/>
    </row>
    <row r="453" spans="3:41" ht="15.75" customHeight="1" x14ac:dyDescent="0.25"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208"/>
      <c r="P453" s="209"/>
      <c r="Q453" s="89"/>
      <c r="R453" s="89"/>
      <c r="S453" s="89"/>
      <c r="T453" s="89"/>
      <c r="U453" s="89"/>
      <c r="V453" s="89"/>
      <c r="W453" s="89"/>
      <c r="X453" s="89"/>
      <c r="Y453" s="89"/>
      <c r="Z453" s="89"/>
      <c r="AA453" s="89"/>
      <c r="AB453" s="89"/>
      <c r="AC453" s="89"/>
      <c r="AD453" s="89"/>
      <c r="AE453" s="89"/>
      <c r="AF453" s="89"/>
      <c r="AM453" s="89"/>
      <c r="AN453" s="199"/>
      <c r="AO453" s="89"/>
    </row>
    <row r="454" spans="3:41" ht="15.75" customHeight="1" x14ac:dyDescent="0.25"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208"/>
      <c r="P454" s="209"/>
      <c r="Q454" s="89"/>
      <c r="R454" s="89"/>
      <c r="S454" s="89"/>
      <c r="T454" s="89"/>
      <c r="U454" s="89"/>
      <c r="V454" s="89"/>
      <c r="W454" s="89"/>
      <c r="X454" s="89"/>
      <c r="Y454" s="89"/>
      <c r="Z454" s="89"/>
      <c r="AA454" s="89"/>
      <c r="AB454" s="89"/>
      <c r="AC454" s="89"/>
      <c r="AD454" s="89"/>
      <c r="AE454" s="89"/>
      <c r="AF454" s="89"/>
      <c r="AM454" s="89"/>
      <c r="AN454" s="199"/>
      <c r="AO454" s="89"/>
    </row>
    <row r="455" spans="3:41" ht="15.75" customHeight="1" x14ac:dyDescent="0.25"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208"/>
      <c r="P455" s="209"/>
      <c r="Q455" s="89"/>
      <c r="R455" s="89"/>
      <c r="S455" s="89"/>
      <c r="T455" s="89"/>
      <c r="U455" s="89"/>
      <c r="V455" s="89"/>
      <c r="W455" s="89"/>
      <c r="X455" s="89"/>
      <c r="Y455" s="89"/>
      <c r="Z455" s="89"/>
      <c r="AA455" s="89"/>
      <c r="AB455" s="89"/>
      <c r="AC455" s="89"/>
      <c r="AD455" s="89"/>
      <c r="AE455" s="89"/>
      <c r="AF455" s="89"/>
      <c r="AM455" s="89"/>
      <c r="AN455" s="199"/>
      <c r="AO455" s="89"/>
    </row>
    <row r="456" spans="3:41" ht="15.75" customHeight="1" x14ac:dyDescent="0.25"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208"/>
      <c r="P456" s="209"/>
      <c r="Q456" s="89"/>
      <c r="R456" s="89"/>
      <c r="S456" s="89"/>
      <c r="T456" s="89"/>
      <c r="U456" s="89"/>
      <c r="V456" s="89"/>
      <c r="W456" s="89"/>
      <c r="X456" s="89"/>
      <c r="Y456" s="89"/>
      <c r="Z456" s="89"/>
      <c r="AA456" s="89"/>
      <c r="AB456" s="89"/>
      <c r="AC456" s="89"/>
      <c r="AD456" s="89"/>
      <c r="AE456" s="89"/>
      <c r="AF456" s="89"/>
      <c r="AM456" s="89"/>
      <c r="AN456" s="199"/>
      <c r="AO456" s="89"/>
    </row>
    <row r="457" spans="3:41" ht="15.75" customHeight="1" x14ac:dyDescent="0.25"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208"/>
      <c r="P457" s="209"/>
      <c r="Q457" s="89"/>
      <c r="R457" s="89"/>
      <c r="S457" s="89"/>
      <c r="T457" s="89"/>
      <c r="U457" s="89"/>
      <c r="V457" s="89"/>
      <c r="W457" s="89"/>
      <c r="X457" s="89"/>
      <c r="Y457" s="89"/>
      <c r="Z457" s="89"/>
      <c r="AA457" s="89"/>
      <c r="AB457" s="89"/>
      <c r="AC457" s="89"/>
      <c r="AD457" s="89"/>
      <c r="AE457" s="89"/>
      <c r="AF457" s="89"/>
      <c r="AM457" s="89"/>
      <c r="AN457" s="199"/>
      <c r="AO457" s="89"/>
    </row>
    <row r="458" spans="3:41" ht="15.75" customHeight="1" x14ac:dyDescent="0.25"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208"/>
      <c r="P458" s="20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89"/>
      <c r="AB458" s="89"/>
      <c r="AC458" s="89"/>
      <c r="AD458" s="89"/>
      <c r="AE458" s="89"/>
      <c r="AF458" s="89"/>
      <c r="AM458" s="89"/>
      <c r="AN458" s="199"/>
      <c r="AO458" s="89"/>
    </row>
    <row r="459" spans="3:41" ht="15.75" customHeight="1" x14ac:dyDescent="0.25"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208"/>
      <c r="P459" s="20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M459" s="89"/>
      <c r="AN459" s="199"/>
      <c r="AO459" s="89"/>
    </row>
    <row r="460" spans="3:41" ht="15.75" customHeight="1" x14ac:dyDescent="0.25"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208"/>
      <c r="P460" s="20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M460" s="89"/>
      <c r="AN460" s="199"/>
      <c r="AO460" s="89"/>
    </row>
    <row r="461" spans="3:41" ht="15.75" customHeight="1" x14ac:dyDescent="0.25"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208"/>
      <c r="P461" s="209"/>
      <c r="Q461" s="89"/>
      <c r="R461" s="89"/>
      <c r="S461" s="89"/>
      <c r="T461" s="89"/>
      <c r="U461" s="89"/>
      <c r="V461" s="89"/>
      <c r="W461" s="89"/>
      <c r="X461" s="89"/>
      <c r="Y461" s="89"/>
      <c r="Z461" s="89"/>
      <c r="AA461" s="89"/>
      <c r="AB461" s="89"/>
      <c r="AC461" s="89"/>
      <c r="AD461" s="89"/>
      <c r="AE461" s="89"/>
      <c r="AF461" s="89"/>
      <c r="AM461" s="89"/>
      <c r="AN461" s="199"/>
      <c r="AO461" s="89"/>
    </row>
    <row r="462" spans="3:41" ht="15.75" customHeight="1" x14ac:dyDescent="0.25"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208"/>
      <c r="P462" s="209"/>
      <c r="Q462" s="89"/>
      <c r="R462" s="89"/>
      <c r="S462" s="89"/>
      <c r="T462" s="89"/>
      <c r="U462" s="89"/>
      <c r="V462" s="89"/>
      <c r="W462" s="89"/>
      <c r="X462" s="89"/>
      <c r="Y462" s="89"/>
      <c r="Z462" s="89"/>
      <c r="AA462" s="89"/>
      <c r="AB462" s="89"/>
      <c r="AC462" s="89"/>
      <c r="AD462" s="89"/>
      <c r="AE462" s="89"/>
      <c r="AF462" s="89"/>
      <c r="AM462" s="89"/>
      <c r="AN462" s="199"/>
      <c r="AO462" s="89"/>
    </row>
    <row r="463" spans="3:41" ht="15.75" customHeight="1" x14ac:dyDescent="0.25"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208"/>
      <c r="P463" s="20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89"/>
      <c r="AB463" s="89"/>
      <c r="AC463" s="89"/>
      <c r="AD463" s="89"/>
      <c r="AE463" s="89"/>
      <c r="AF463" s="89"/>
      <c r="AM463" s="89"/>
      <c r="AN463" s="199"/>
      <c r="AO463" s="89"/>
    </row>
    <row r="464" spans="3:41" ht="15.75" customHeight="1" x14ac:dyDescent="0.25"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208"/>
      <c r="P464" s="20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M464" s="89"/>
      <c r="AN464" s="199"/>
      <c r="AO464" s="89"/>
    </row>
    <row r="465" spans="3:41" ht="15.75" customHeight="1" x14ac:dyDescent="0.25"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208"/>
      <c r="P465" s="20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M465" s="89"/>
      <c r="AN465" s="199"/>
      <c r="AO465" s="89"/>
    </row>
    <row r="466" spans="3:41" ht="15.75" customHeight="1" x14ac:dyDescent="0.25"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208"/>
      <c r="P466" s="209"/>
      <c r="Q466" s="89"/>
      <c r="R466" s="89"/>
      <c r="S466" s="89"/>
      <c r="T466" s="89"/>
      <c r="U466" s="89"/>
      <c r="V466" s="89"/>
      <c r="W466" s="89"/>
      <c r="X466" s="89"/>
      <c r="Y466" s="89"/>
      <c r="Z466" s="89"/>
      <c r="AA466" s="89"/>
      <c r="AB466" s="89"/>
      <c r="AC466" s="89"/>
      <c r="AD466" s="89"/>
      <c r="AE466" s="89"/>
      <c r="AF466" s="89"/>
      <c r="AM466" s="89"/>
      <c r="AN466" s="199"/>
      <c r="AO466" s="89"/>
    </row>
    <row r="467" spans="3:41" ht="15.75" customHeight="1" x14ac:dyDescent="0.25"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208"/>
      <c r="P467" s="20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M467" s="89"/>
      <c r="AN467" s="199"/>
      <c r="AO467" s="89"/>
    </row>
    <row r="468" spans="3:41" ht="15.75" customHeight="1" x14ac:dyDescent="0.25"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208"/>
      <c r="P468" s="20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M468" s="89"/>
      <c r="AN468" s="199"/>
      <c r="AO468" s="89"/>
    </row>
    <row r="469" spans="3:41" ht="15.75" customHeight="1" x14ac:dyDescent="0.25"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208"/>
      <c r="P469" s="209"/>
      <c r="Q469" s="89"/>
      <c r="R469" s="89"/>
      <c r="S469" s="89"/>
      <c r="T469" s="89"/>
      <c r="U469" s="89"/>
      <c r="V469" s="89"/>
      <c r="W469" s="89"/>
      <c r="X469" s="89"/>
      <c r="Y469" s="89"/>
      <c r="Z469" s="89"/>
      <c r="AA469" s="89"/>
      <c r="AB469" s="89"/>
      <c r="AC469" s="89"/>
      <c r="AD469" s="89"/>
      <c r="AE469" s="89"/>
      <c r="AF469" s="89"/>
      <c r="AM469" s="89"/>
      <c r="AN469" s="199"/>
      <c r="AO469" s="89"/>
    </row>
    <row r="470" spans="3:41" ht="15.75" customHeight="1" x14ac:dyDescent="0.25"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208"/>
      <c r="P470" s="209"/>
      <c r="Q470" s="89"/>
      <c r="R470" s="89"/>
      <c r="S470" s="89"/>
      <c r="T470" s="89"/>
      <c r="U470" s="89"/>
      <c r="V470" s="89"/>
      <c r="W470" s="89"/>
      <c r="X470" s="89"/>
      <c r="Y470" s="89"/>
      <c r="Z470" s="89"/>
      <c r="AA470" s="89"/>
      <c r="AB470" s="89"/>
      <c r="AC470" s="89"/>
      <c r="AD470" s="89"/>
      <c r="AE470" s="89"/>
      <c r="AF470" s="89"/>
      <c r="AM470" s="89"/>
      <c r="AN470" s="199"/>
      <c r="AO470" s="89"/>
    </row>
    <row r="471" spans="3:41" ht="15.75" customHeight="1" x14ac:dyDescent="0.25"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208"/>
      <c r="P471" s="20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M471" s="89"/>
      <c r="AN471" s="199"/>
      <c r="AO471" s="89"/>
    </row>
    <row r="472" spans="3:41" ht="15.75" customHeight="1" x14ac:dyDescent="0.25"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208"/>
      <c r="P472" s="209"/>
      <c r="Q472" s="89"/>
      <c r="R472" s="89"/>
      <c r="S472" s="89"/>
      <c r="T472" s="89"/>
      <c r="U472" s="89"/>
      <c r="V472" s="89"/>
      <c r="W472" s="89"/>
      <c r="X472" s="89"/>
      <c r="Y472" s="89"/>
      <c r="Z472" s="89"/>
      <c r="AA472" s="89"/>
      <c r="AB472" s="89"/>
      <c r="AC472" s="89"/>
      <c r="AD472" s="89"/>
      <c r="AE472" s="89"/>
      <c r="AF472" s="89"/>
      <c r="AM472" s="89"/>
      <c r="AN472" s="199"/>
      <c r="AO472" s="89"/>
    </row>
    <row r="473" spans="3:41" ht="15.75" customHeight="1" x14ac:dyDescent="0.25"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208"/>
      <c r="P473" s="209"/>
      <c r="Q473" s="89"/>
      <c r="R473" s="89"/>
      <c r="S473" s="89"/>
      <c r="T473" s="89"/>
      <c r="U473" s="89"/>
      <c r="V473" s="89"/>
      <c r="W473" s="89"/>
      <c r="X473" s="89"/>
      <c r="Y473" s="89"/>
      <c r="Z473" s="89"/>
      <c r="AA473" s="89"/>
      <c r="AB473" s="89"/>
      <c r="AC473" s="89"/>
      <c r="AD473" s="89"/>
      <c r="AE473" s="89"/>
      <c r="AF473" s="89"/>
      <c r="AM473" s="89"/>
      <c r="AN473" s="199"/>
      <c r="AO473" s="89"/>
    </row>
    <row r="474" spans="3:41" ht="15.75" customHeight="1" x14ac:dyDescent="0.25"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208"/>
      <c r="P474" s="209"/>
      <c r="Q474" s="89"/>
      <c r="R474" s="89"/>
      <c r="S474" s="89"/>
      <c r="T474" s="89"/>
      <c r="U474" s="89"/>
      <c r="V474" s="89"/>
      <c r="W474" s="89"/>
      <c r="X474" s="89"/>
      <c r="Y474" s="89"/>
      <c r="Z474" s="89"/>
      <c r="AA474" s="89"/>
      <c r="AB474" s="89"/>
      <c r="AC474" s="89"/>
      <c r="AD474" s="89"/>
      <c r="AE474" s="89"/>
      <c r="AF474" s="89"/>
      <c r="AM474" s="89"/>
      <c r="AN474" s="199"/>
      <c r="AO474" s="89"/>
    </row>
    <row r="475" spans="3:41" ht="15.75" customHeight="1" x14ac:dyDescent="0.25"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208"/>
      <c r="P475" s="20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M475" s="89"/>
      <c r="AN475" s="199"/>
      <c r="AO475" s="89"/>
    </row>
    <row r="476" spans="3:41" ht="15.75" customHeight="1" x14ac:dyDescent="0.25"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208"/>
      <c r="P476" s="20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M476" s="89"/>
      <c r="AN476" s="199"/>
      <c r="AO476" s="89"/>
    </row>
    <row r="477" spans="3:41" ht="15.75" customHeight="1" x14ac:dyDescent="0.25"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208"/>
      <c r="P477" s="20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M477" s="89"/>
      <c r="AN477" s="199"/>
      <c r="AO477" s="89"/>
    </row>
    <row r="478" spans="3:41" ht="15.75" customHeight="1" x14ac:dyDescent="0.25"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208"/>
      <c r="P478" s="20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M478" s="89"/>
      <c r="AN478" s="199"/>
      <c r="AO478" s="89"/>
    </row>
    <row r="479" spans="3:41" ht="15.75" customHeight="1" x14ac:dyDescent="0.25"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208"/>
      <c r="P479" s="20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M479" s="89"/>
      <c r="AN479" s="199"/>
      <c r="AO479" s="89"/>
    </row>
    <row r="480" spans="3:41" ht="15.75" customHeight="1" x14ac:dyDescent="0.25"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208"/>
      <c r="P480" s="20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89"/>
      <c r="AB480" s="89"/>
      <c r="AC480" s="89"/>
      <c r="AD480" s="89"/>
      <c r="AE480" s="89"/>
      <c r="AF480" s="89"/>
      <c r="AM480" s="89"/>
      <c r="AN480" s="199"/>
      <c r="AO480" s="89"/>
    </row>
    <row r="481" spans="3:41" ht="15.75" customHeight="1" x14ac:dyDescent="0.25"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208"/>
      <c r="P481" s="209"/>
      <c r="Q481" s="89"/>
      <c r="R481" s="89"/>
      <c r="S481" s="89"/>
      <c r="T481" s="89"/>
      <c r="U481" s="89"/>
      <c r="V481" s="89"/>
      <c r="W481" s="89"/>
      <c r="X481" s="89"/>
      <c r="Y481" s="89"/>
      <c r="Z481" s="89"/>
      <c r="AA481" s="89"/>
      <c r="AB481" s="89"/>
      <c r="AC481" s="89"/>
      <c r="AD481" s="89"/>
      <c r="AE481" s="89"/>
      <c r="AF481" s="89"/>
      <c r="AM481" s="89"/>
      <c r="AN481" s="199"/>
      <c r="AO481" s="89"/>
    </row>
    <row r="482" spans="3:41" ht="15.75" customHeight="1" x14ac:dyDescent="0.25"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208"/>
      <c r="P482" s="209"/>
      <c r="Q482" s="89"/>
      <c r="R482" s="89"/>
      <c r="S482" s="89"/>
      <c r="T482" s="89"/>
      <c r="U482" s="89"/>
      <c r="V482" s="89"/>
      <c r="W482" s="89"/>
      <c r="X482" s="89"/>
      <c r="Y482" s="89"/>
      <c r="Z482" s="89"/>
      <c r="AA482" s="89"/>
      <c r="AB482" s="89"/>
      <c r="AC482" s="89"/>
      <c r="AD482" s="89"/>
      <c r="AE482" s="89"/>
      <c r="AF482" s="89"/>
      <c r="AM482" s="89"/>
      <c r="AN482" s="199"/>
      <c r="AO482" s="89"/>
    </row>
    <row r="483" spans="3:41" ht="15.75" customHeight="1" x14ac:dyDescent="0.25"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208"/>
      <c r="P483" s="20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M483" s="89"/>
      <c r="AN483" s="199"/>
      <c r="AO483" s="89"/>
    </row>
    <row r="484" spans="3:41" ht="15.75" customHeight="1" x14ac:dyDescent="0.25"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208"/>
      <c r="P484" s="20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M484" s="89"/>
      <c r="AN484" s="199"/>
      <c r="AO484" s="89"/>
    </row>
    <row r="485" spans="3:41" ht="15.75" customHeight="1" x14ac:dyDescent="0.25"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208"/>
      <c r="P485" s="209"/>
      <c r="Q485" s="89"/>
      <c r="R485" s="89"/>
      <c r="S485" s="89"/>
      <c r="T485" s="89"/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M485" s="89"/>
      <c r="AN485" s="199"/>
      <c r="AO485" s="89"/>
    </row>
    <row r="486" spans="3:41" ht="15.75" customHeight="1" x14ac:dyDescent="0.25"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208"/>
      <c r="P486" s="20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M486" s="89"/>
      <c r="AN486" s="199"/>
      <c r="AO486" s="89"/>
    </row>
    <row r="487" spans="3:41" ht="15.75" customHeight="1" x14ac:dyDescent="0.25"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208"/>
      <c r="P487" s="20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M487" s="89"/>
      <c r="AN487" s="199"/>
      <c r="AO487" s="89"/>
    </row>
    <row r="488" spans="3:41" ht="15.75" customHeight="1" x14ac:dyDescent="0.25"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208"/>
      <c r="P488" s="20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M488" s="89"/>
      <c r="AN488" s="199"/>
      <c r="AO488" s="89"/>
    </row>
    <row r="489" spans="3:41" ht="15.75" customHeight="1" x14ac:dyDescent="0.25"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208"/>
      <c r="P489" s="20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89"/>
      <c r="AB489" s="89"/>
      <c r="AC489" s="89"/>
      <c r="AD489" s="89"/>
      <c r="AE489" s="89"/>
      <c r="AF489" s="89"/>
      <c r="AM489" s="89"/>
      <c r="AN489" s="199"/>
      <c r="AO489" s="89"/>
    </row>
    <row r="490" spans="3:41" ht="15.75" customHeight="1" x14ac:dyDescent="0.25"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208"/>
      <c r="P490" s="20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89"/>
      <c r="AB490" s="89"/>
      <c r="AC490" s="89"/>
      <c r="AD490" s="89"/>
      <c r="AE490" s="89"/>
      <c r="AF490" s="89"/>
      <c r="AM490" s="89"/>
      <c r="AN490" s="199"/>
      <c r="AO490" s="89"/>
    </row>
    <row r="491" spans="3:41" ht="15.75" customHeight="1" x14ac:dyDescent="0.25"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208"/>
      <c r="P491" s="209"/>
      <c r="Q491" s="89"/>
      <c r="R491" s="89"/>
      <c r="S491" s="89"/>
      <c r="T491" s="89"/>
      <c r="U491" s="89"/>
      <c r="V491" s="89"/>
      <c r="W491" s="89"/>
      <c r="X491" s="89"/>
      <c r="Y491" s="89"/>
      <c r="Z491" s="89"/>
      <c r="AA491" s="89"/>
      <c r="AB491" s="89"/>
      <c r="AC491" s="89"/>
      <c r="AD491" s="89"/>
      <c r="AE491" s="89"/>
      <c r="AF491" s="89"/>
      <c r="AM491" s="89"/>
      <c r="AN491" s="199"/>
      <c r="AO491" s="89"/>
    </row>
    <row r="492" spans="3:41" ht="15.75" customHeight="1" x14ac:dyDescent="0.25"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208"/>
      <c r="P492" s="209"/>
      <c r="Q492" s="89"/>
      <c r="R492" s="89"/>
      <c r="S492" s="89"/>
      <c r="T492" s="89"/>
      <c r="U492" s="89"/>
      <c r="V492" s="89"/>
      <c r="W492" s="89"/>
      <c r="X492" s="89"/>
      <c r="Y492" s="89"/>
      <c r="Z492" s="89"/>
      <c r="AA492" s="89"/>
      <c r="AB492" s="89"/>
      <c r="AC492" s="89"/>
      <c r="AD492" s="89"/>
      <c r="AE492" s="89"/>
      <c r="AF492" s="89"/>
      <c r="AM492" s="89"/>
      <c r="AN492" s="199"/>
      <c r="AO492" s="89"/>
    </row>
    <row r="493" spans="3:41" ht="15.75" customHeight="1" x14ac:dyDescent="0.25"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208"/>
      <c r="P493" s="209"/>
      <c r="Q493" s="89"/>
      <c r="R493" s="89"/>
      <c r="S493" s="89"/>
      <c r="T493" s="89"/>
      <c r="U493" s="89"/>
      <c r="V493" s="89"/>
      <c r="W493" s="89"/>
      <c r="X493" s="89"/>
      <c r="Y493" s="89"/>
      <c r="Z493" s="89"/>
      <c r="AA493" s="89"/>
      <c r="AB493" s="89"/>
      <c r="AC493" s="89"/>
      <c r="AD493" s="89"/>
      <c r="AE493" s="89"/>
      <c r="AF493" s="89"/>
      <c r="AM493" s="89"/>
      <c r="AN493" s="199"/>
      <c r="AO493" s="89"/>
    </row>
    <row r="494" spans="3:41" ht="15.75" customHeight="1" x14ac:dyDescent="0.25"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208"/>
      <c r="P494" s="209"/>
      <c r="Q494" s="89"/>
      <c r="R494" s="89"/>
      <c r="S494" s="89"/>
      <c r="T494" s="89"/>
      <c r="U494" s="89"/>
      <c r="V494" s="89"/>
      <c r="W494" s="89"/>
      <c r="X494" s="89"/>
      <c r="Y494" s="89"/>
      <c r="Z494" s="89"/>
      <c r="AA494" s="89"/>
      <c r="AB494" s="89"/>
      <c r="AC494" s="89"/>
      <c r="AD494" s="89"/>
      <c r="AE494" s="89"/>
      <c r="AF494" s="89"/>
      <c r="AM494" s="89"/>
      <c r="AN494" s="199"/>
      <c r="AO494" s="89"/>
    </row>
    <row r="495" spans="3:41" ht="15.75" customHeight="1" x14ac:dyDescent="0.25"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208"/>
      <c r="P495" s="209"/>
      <c r="Q495" s="89"/>
      <c r="R495" s="89"/>
      <c r="S495" s="89"/>
      <c r="T495" s="89"/>
      <c r="U495" s="89"/>
      <c r="V495" s="89"/>
      <c r="W495" s="89"/>
      <c r="X495" s="89"/>
      <c r="Y495" s="89"/>
      <c r="Z495" s="89"/>
      <c r="AA495" s="89"/>
      <c r="AB495" s="89"/>
      <c r="AC495" s="89"/>
      <c r="AD495" s="89"/>
      <c r="AE495" s="89"/>
      <c r="AF495" s="89"/>
      <c r="AM495" s="89"/>
      <c r="AN495" s="199"/>
      <c r="AO495" s="89"/>
    </row>
    <row r="496" spans="3:41" ht="15.75" customHeight="1" x14ac:dyDescent="0.25"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208"/>
      <c r="P496" s="209"/>
      <c r="Q496" s="89"/>
      <c r="R496" s="89"/>
      <c r="S496" s="89"/>
      <c r="T496" s="89"/>
      <c r="U496" s="89"/>
      <c r="V496" s="89"/>
      <c r="W496" s="89"/>
      <c r="X496" s="89"/>
      <c r="Y496" s="89"/>
      <c r="Z496" s="89"/>
      <c r="AA496" s="89"/>
      <c r="AB496" s="89"/>
      <c r="AC496" s="89"/>
      <c r="AD496" s="89"/>
      <c r="AE496" s="89"/>
      <c r="AF496" s="89"/>
      <c r="AM496" s="89"/>
      <c r="AN496" s="199"/>
      <c r="AO496" s="89"/>
    </row>
    <row r="497" spans="3:41" ht="15.75" customHeight="1" x14ac:dyDescent="0.25"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208"/>
      <c r="P497" s="20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M497" s="89"/>
      <c r="AN497" s="199"/>
      <c r="AO497" s="89"/>
    </row>
    <row r="498" spans="3:41" ht="15.75" customHeight="1" x14ac:dyDescent="0.25"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208"/>
      <c r="P498" s="209"/>
      <c r="Q498" s="89"/>
      <c r="R498" s="89"/>
      <c r="S498" s="89"/>
      <c r="T498" s="89"/>
      <c r="U498" s="89"/>
      <c r="V498" s="89"/>
      <c r="W498" s="89"/>
      <c r="X498" s="89"/>
      <c r="Y498" s="89"/>
      <c r="Z498" s="89"/>
      <c r="AA498" s="89"/>
      <c r="AB498" s="89"/>
      <c r="AC498" s="89"/>
      <c r="AD498" s="89"/>
      <c r="AE498" s="89"/>
      <c r="AF498" s="89"/>
      <c r="AM498" s="89"/>
      <c r="AN498" s="199"/>
      <c r="AO498" s="89"/>
    </row>
    <row r="499" spans="3:41" ht="15.75" customHeight="1" x14ac:dyDescent="0.25"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208"/>
      <c r="P499" s="209"/>
      <c r="Q499" s="89"/>
      <c r="R499" s="89"/>
      <c r="S499" s="89"/>
      <c r="T499" s="89"/>
      <c r="U499" s="89"/>
      <c r="V499" s="89"/>
      <c r="W499" s="89"/>
      <c r="X499" s="89"/>
      <c r="Y499" s="89"/>
      <c r="Z499" s="89"/>
      <c r="AA499" s="89"/>
      <c r="AB499" s="89"/>
      <c r="AC499" s="89"/>
      <c r="AD499" s="89"/>
      <c r="AE499" s="89"/>
      <c r="AF499" s="89"/>
      <c r="AM499" s="89"/>
      <c r="AN499" s="199"/>
      <c r="AO499" s="89"/>
    </row>
    <row r="500" spans="3:41" ht="15.75" customHeight="1" x14ac:dyDescent="0.25"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208"/>
      <c r="P500" s="209"/>
      <c r="Q500" s="89"/>
      <c r="R500" s="89"/>
      <c r="S500" s="89"/>
      <c r="T500" s="89"/>
      <c r="U500" s="89"/>
      <c r="V500" s="89"/>
      <c r="W500" s="89"/>
      <c r="X500" s="89"/>
      <c r="Y500" s="89"/>
      <c r="Z500" s="89"/>
      <c r="AA500" s="89"/>
      <c r="AB500" s="89"/>
      <c r="AC500" s="89"/>
      <c r="AD500" s="89"/>
      <c r="AE500" s="89"/>
      <c r="AF500" s="89"/>
      <c r="AM500" s="89"/>
      <c r="AN500" s="199"/>
      <c r="AO500" s="89"/>
    </row>
    <row r="501" spans="3:41" ht="15.75" customHeight="1" x14ac:dyDescent="0.25"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208"/>
      <c r="P501" s="209"/>
      <c r="Q501" s="89"/>
      <c r="R501" s="89"/>
      <c r="S501" s="89"/>
      <c r="T501" s="89"/>
      <c r="U501" s="89"/>
      <c r="V501" s="89"/>
      <c r="W501" s="89"/>
      <c r="X501" s="89"/>
      <c r="Y501" s="89"/>
      <c r="Z501" s="89"/>
      <c r="AA501" s="89"/>
      <c r="AB501" s="89"/>
      <c r="AC501" s="89"/>
      <c r="AD501" s="89"/>
      <c r="AE501" s="89"/>
      <c r="AF501" s="89"/>
      <c r="AM501" s="89"/>
      <c r="AN501" s="199"/>
      <c r="AO501" s="89"/>
    </row>
    <row r="502" spans="3:41" ht="15.75" customHeight="1" x14ac:dyDescent="0.25"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208"/>
      <c r="P502" s="209"/>
      <c r="Q502" s="89"/>
      <c r="R502" s="89"/>
      <c r="S502" s="89"/>
      <c r="T502" s="89"/>
      <c r="U502" s="89"/>
      <c r="V502" s="89"/>
      <c r="W502" s="89"/>
      <c r="X502" s="89"/>
      <c r="Y502" s="89"/>
      <c r="Z502" s="89"/>
      <c r="AA502" s="89"/>
      <c r="AB502" s="89"/>
      <c r="AC502" s="89"/>
      <c r="AD502" s="89"/>
      <c r="AE502" s="89"/>
      <c r="AF502" s="89"/>
      <c r="AM502" s="89"/>
      <c r="AN502" s="199"/>
      <c r="AO502" s="89"/>
    </row>
    <row r="503" spans="3:41" ht="15.75" customHeight="1" x14ac:dyDescent="0.25"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208"/>
      <c r="P503" s="209"/>
      <c r="Q503" s="89"/>
      <c r="R503" s="89"/>
      <c r="S503" s="89"/>
      <c r="T503" s="89"/>
      <c r="U503" s="89"/>
      <c r="V503" s="89"/>
      <c r="W503" s="89"/>
      <c r="X503" s="89"/>
      <c r="Y503" s="89"/>
      <c r="Z503" s="89"/>
      <c r="AA503" s="89"/>
      <c r="AB503" s="89"/>
      <c r="AC503" s="89"/>
      <c r="AD503" s="89"/>
      <c r="AE503" s="89"/>
      <c r="AF503" s="89"/>
      <c r="AM503" s="89"/>
      <c r="AN503" s="199"/>
      <c r="AO503" s="89"/>
    </row>
    <row r="504" spans="3:41" ht="15.75" customHeight="1" x14ac:dyDescent="0.25"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208"/>
      <c r="P504" s="209"/>
      <c r="Q504" s="89"/>
      <c r="R504" s="89"/>
      <c r="S504" s="89"/>
      <c r="T504" s="89"/>
      <c r="U504" s="89"/>
      <c r="V504" s="89"/>
      <c r="W504" s="89"/>
      <c r="X504" s="89"/>
      <c r="Y504" s="89"/>
      <c r="Z504" s="89"/>
      <c r="AA504" s="89"/>
      <c r="AB504" s="89"/>
      <c r="AC504" s="89"/>
      <c r="AD504" s="89"/>
      <c r="AE504" s="89"/>
      <c r="AF504" s="89"/>
      <c r="AM504" s="89"/>
      <c r="AN504" s="199"/>
      <c r="AO504" s="89"/>
    </row>
    <row r="505" spans="3:41" ht="15.75" customHeight="1" x14ac:dyDescent="0.25"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208"/>
      <c r="P505" s="209"/>
      <c r="Q505" s="89"/>
      <c r="R505" s="89"/>
      <c r="S505" s="89"/>
      <c r="T505" s="89"/>
      <c r="U505" s="89"/>
      <c r="V505" s="89"/>
      <c r="W505" s="89"/>
      <c r="X505" s="89"/>
      <c r="Y505" s="89"/>
      <c r="Z505" s="89"/>
      <c r="AA505" s="89"/>
      <c r="AB505" s="89"/>
      <c r="AC505" s="89"/>
      <c r="AD505" s="89"/>
      <c r="AE505" s="89"/>
      <c r="AF505" s="89"/>
      <c r="AM505" s="89"/>
      <c r="AN505" s="199"/>
      <c r="AO505" s="89"/>
    </row>
    <row r="506" spans="3:41" ht="15.75" customHeight="1" x14ac:dyDescent="0.25"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208"/>
      <c r="P506" s="209"/>
      <c r="Q506" s="89"/>
      <c r="R506" s="89"/>
      <c r="S506" s="89"/>
      <c r="T506" s="89"/>
      <c r="U506" s="89"/>
      <c r="V506" s="89"/>
      <c r="W506" s="89"/>
      <c r="X506" s="89"/>
      <c r="Y506" s="89"/>
      <c r="Z506" s="89"/>
      <c r="AA506" s="89"/>
      <c r="AB506" s="89"/>
      <c r="AC506" s="89"/>
      <c r="AD506" s="89"/>
      <c r="AE506" s="89"/>
      <c r="AF506" s="89"/>
      <c r="AM506" s="89"/>
      <c r="AN506" s="199"/>
      <c r="AO506" s="89"/>
    </row>
    <row r="507" spans="3:41" ht="15.75" customHeight="1" x14ac:dyDescent="0.25"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208"/>
      <c r="P507" s="209"/>
      <c r="Q507" s="89"/>
      <c r="R507" s="89"/>
      <c r="S507" s="89"/>
      <c r="T507" s="89"/>
      <c r="U507" s="89"/>
      <c r="V507" s="89"/>
      <c r="W507" s="89"/>
      <c r="X507" s="89"/>
      <c r="Y507" s="89"/>
      <c r="Z507" s="89"/>
      <c r="AA507" s="89"/>
      <c r="AB507" s="89"/>
      <c r="AC507" s="89"/>
      <c r="AD507" s="89"/>
      <c r="AE507" s="89"/>
      <c r="AF507" s="89"/>
      <c r="AM507" s="89"/>
      <c r="AN507" s="199"/>
      <c r="AO507" s="89"/>
    </row>
    <row r="508" spans="3:41" ht="15.75" customHeight="1" x14ac:dyDescent="0.25"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208"/>
      <c r="P508" s="209"/>
      <c r="Q508" s="89"/>
      <c r="R508" s="89"/>
      <c r="S508" s="89"/>
      <c r="T508" s="89"/>
      <c r="U508" s="89"/>
      <c r="V508" s="89"/>
      <c r="W508" s="89"/>
      <c r="X508" s="89"/>
      <c r="Y508" s="89"/>
      <c r="Z508" s="89"/>
      <c r="AA508" s="89"/>
      <c r="AB508" s="89"/>
      <c r="AC508" s="89"/>
      <c r="AD508" s="89"/>
      <c r="AE508" s="89"/>
      <c r="AF508" s="89"/>
      <c r="AM508" s="89"/>
      <c r="AN508" s="199"/>
      <c r="AO508" s="89"/>
    </row>
    <row r="509" spans="3:41" ht="15.75" customHeight="1" x14ac:dyDescent="0.25"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208"/>
      <c r="P509" s="209"/>
      <c r="Q509" s="89"/>
      <c r="R509" s="89"/>
      <c r="S509" s="89"/>
      <c r="T509" s="89"/>
      <c r="U509" s="89"/>
      <c r="V509" s="89"/>
      <c r="W509" s="89"/>
      <c r="X509" s="89"/>
      <c r="Y509" s="89"/>
      <c r="Z509" s="89"/>
      <c r="AA509" s="89"/>
      <c r="AB509" s="89"/>
      <c r="AC509" s="89"/>
      <c r="AD509" s="89"/>
      <c r="AE509" s="89"/>
      <c r="AF509" s="89"/>
      <c r="AM509" s="89"/>
      <c r="AN509" s="199"/>
      <c r="AO509" s="89"/>
    </row>
    <row r="510" spans="3:41" ht="15.75" customHeight="1" x14ac:dyDescent="0.25"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208"/>
      <c r="P510" s="209"/>
      <c r="Q510" s="89"/>
      <c r="R510" s="89"/>
      <c r="S510" s="89"/>
      <c r="T510" s="89"/>
      <c r="U510" s="89"/>
      <c r="V510" s="89"/>
      <c r="W510" s="89"/>
      <c r="X510" s="89"/>
      <c r="Y510" s="89"/>
      <c r="Z510" s="89"/>
      <c r="AA510" s="89"/>
      <c r="AB510" s="89"/>
      <c r="AC510" s="89"/>
      <c r="AD510" s="89"/>
      <c r="AE510" s="89"/>
      <c r="AF510" s="89"/>
      <c r="AM510" s="89"/>
      <c r="AN510" s="199"/>
      <c r="AO510" s="89"/>
    </row>
    <row r="511" spans="3:41" ht="15.75" customHeight="1" x14ac:dyDescent="0.25"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208"/>
      <c r="P511" s="209"/>
      <c r="Q511" s="89"/>
      <c r="R511" s="89"/>
      <c r="S511" s="89"/>
      <c r="T511" s="89"/>
      <c r="U511" s="89"/>
      <c r="V511" s="89"/>
      <c r="W511" s="89"/>
      <c r="X511" s="89"/>
      <c r="Y511" s="89"/>
      <c r="Z511" s="89"/>
      <c r="AA511" s="89"/>
      <c r="AB511" s="89"/>
      <c r="AC511" s="89"/>
      <c r="AD511" s="89"/>
      <c r="AE511" s="89"/>
      <c r="AF511" s="89"/>
      <c r="AM511" s="89"/>
      <c r="AN511" s="199"/>
      <c r="AO511" s="89"/>
    </row>
    <row r="512" spans="3:41" ht="15.75" customHeight="1" x14ac:dyDescent="0.25"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208"/>
      <c r="P512" s="209"/>
      <c r="Q512" s="89"/>
      <c r="R512" s="89"/>
      <c r="S512" s="89"/>
      <c r="T512" s="89"/>
      <c r="U512" s="89"/>
      <c r="V512" s="89"/>
      <c r="W512" s="89"/>
      <c r="X512" s="89"/>
      <c r="Y512" s="89"/>
      <c r="Z512" s="89"/>
      <c r="AA512" s="89"/>
      <c r="AB512" s="89"/>
      <c r="AC512" s="89"/>
      <c r="AD512" s="89"/>
      <c r="AE512" s="89"/>
      <c r="AF512" s="89"/>
      <c r="AM512" s="89"/>
      <c r="AN512" s="199"/>
      <c r="AO512" s="89"/>
    </row>
    <row r="513" spans="3:41" ht="15.75" customHeight="1" x14ac:dyDescent="0.25"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208"/>
      <c r="P513" s="209"/>
      <c r="Q513" s="89"/>
      <c r="R513" s="89"/>
      <c r="S513" s="89"/>
      <c r="T513" s="89"/>
      <c r="U513" s="89"/>
      <c r="V513" s="89"/>
      <c r="W513" s="89"/>
      <c r="X513" s="89"/>
      <c r="Y513" s="89"/>
      <c r="Z513" s="89"/>
      <c r="AA513" s="89"/>
      <c r="AB513" s="89"/>
      <c r="AC513" s="89"/>
      <c r="AD513" s="89"/>
      <c r="AE513" s="89"/>
      <c r="AF513" s="89"/>
      <c r="AM513" s="89"/>
      <c r="AN513" s="199"/>
      <c r="AO513" s="89"/>
    </row>
    <row r="514" spans="3:41" ht="15.75" customHeight="1" x14ac:dyDescent="0.25"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208"/>
      <c r="P514" s="209"/>
      <c r="Q514" s="89"/>
      <c r="R514" s="89"/>
      <c r="S514" s="89"/>
      <c r="T514" s="89"/>
      <c r="U514" s="89"/>
      <c r="V514" s="89"/>
      <c r="W514" s="89"/>
      <c r="X514" s="89"/>
      <c r="Y514" s="89"/>
      <c r="Z514" s="89"/>
      <c r="AA514" s="89"/>
      <c r="AB514" s="89"/>
      <c r="AC514" s="89"/>
      <c r="AD514" s="89"/>
      <c r="AE514" s="89"/>
      <c r="AF514" s="89"/>
      <c r="AM514" s="89"/>
      <c r="AN514" s="199"/>
      <c r="AO514" s="89"/>
    </row>
    <row r="515" spans="3:41" ht="15.75" customHeight="1" x14ac:dyDescent="0.25"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208"/>
      <c r="P515" s="209"/>
      <c r="Q515" s="89"/>
      <c r="R515" s="89"/>
      <c r="S515" s="89"/>
      <c r="T515" s="89"/>
      <c r="U515" s="89"/>
      <c r="V515" s="89"/>
      <c r="W515" s="89"/>
      <c r="X515" s="89"/>
      <c r="Y515" s="89"/>
      <c r="Z515" s="89"/>
      <c r="AA515" s="89"/>
      <c r="AB515" s="89"/>
      <c r="AC515" s="89"/>
      <c r="AD515" s="89"/>
      <c r="AE515" s="89"/>
      <c r="AF515" s="89"/>
      <c r="AM515" s="89"/>
      <c r="AN515" s="199"/>
      <c r="AO515" s="89"/>
    </row>
    <row r="516" spans="3:41" ht="15.75" customHeight="1" x14ac:dyDescent="0.25"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208"/>
      <c r="P516" s="209"/>
      <c r="Q516" s="89"/>
      <c r="R516" s="89"/>
      <c r="S516" s="89"/>
      <c r="T516" s="89"/>
      <c r="U516" s="89"/>
      <c r="V516" s="89"/>
      <c r="W516" s="89"/>
      <c r="X516" s="89"/>
      <c r="Y516" s="89"/>
      <c r="Z516" s="89"/>
      <c r="AA516" s="89"/>
      <c r="AB516" s="89"/>
      <c r="AC516" s="89"/>
      <c r="AD516" s="89"/>
      <c r="AE516" s="89"/>
      <c r="AF516" s="89"/>
      <c r="AM516" s="89"/>
      <c r="AN516" s="199"/>
      <c r="AO516" s="89"/>
    </row>
    <row r="517" spans="3:41" ht="15.75" customHeight="1" x14ac:dyDescent="0.25"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208"/>
      <c r="P517" s="209"/>
      <c r="Q517" s="89"/>
      <c r="R517" s="89"/>
      <c r="S517" s="89"/>
      <c r="T517" s="89"/>
      <c r="U517" s="89"/>
      <c r="V517" s="89"/>
      <c r="W517" s="89"/>
      <c r="X517" s="89"/>
      <c r="Y517" s="89"/>
      <c r="Z517" s="89"/>
      <c r="AA517" s="89"/>
      <c r="AB517" s="89"/>
      <c r="AC517" s="89"/>
      <c r="AD517" s="89"/>
      <c r="AE517" s="89"/>
      <c r="AF517" s="89"/>
      <c r="AM517" s="89"/>
      <c r="AN517" s="199"/>
      <c r="AO517" s="89"/>
    </row>
    <row r="518" spans="3:41" ht="15.75" customHeight="1" x14ac:dyDescent="0.25"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208"/>
      <c r="P518" s="209"/>
      <c r="Q518" s="89"/>
      <c r="R518" s="89"/>
      <c r="S518" s="89"/>
      <c r="T518" s="89"/>
      <c r="U518" s="89"/>
      <c r="V518" s="89"/>
      <c r="W518" s="89"/>
      <c r="X518" s="89"/>
      <c r="Y518" s="89"/>
      <c r="Z518" s="89"/>
      <c r="AA518" s="89"/>
      <c r="AB518" s="89"/>
      <c r="AC518" s="89"/>
      <c r="AD518" s="89"/>
      <c r="AE518" s="89"/>
      <c r="AF518" s="89"/>
      <c r="AM518" s="89"/>
      <c r="AN518" s="199"/>
      <c r="AO518" s="89"/>
    </row>
    <row r="519" spans="3:41" ht="15.75" customHeight="1" x14ac:dyDescent="0.25"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208"/>
      <c r="P519" s="209"/>
      <c r="Q519" s="89"/>
      <c r="R519" s="89"/>
      <c r="S519" s="89"/>
      <c r="T519" s="89"/>
      <c r="U519" s="89"/>
      <c r="V519" s="89"/>
      <c r="W519" s="89"/>
      <c r="X519" s="89"/>
      <c r="Y519" s="89"/>
      <c r="Z519" s="89"/>
      <c r="AA519" s="89"/>
      <c r="AB519" s="89"/>
      <c r="AC519" s="89"/>
      <c r="AD519" s="89"/>
      <c r="AE519" s="89"/>
      <c r="AF519" s="89"/>
      <c r="AM519" s="89"/>
      <c r="AN519" s="199"/>
      <c r="AO519" s="89"/>
    </row>
    <row r="520" spans="3:41" ht="15.75" customHeight="1" x14ac:dyDescent="0.25"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208"/>
      <c r="P520" s="209"/>
      <c r="Q520" s="89"/>
      <c r="R520" s="89"/>
      <c r="S520" s="89"/>
      <c r="T520" s="89"/>
      <c r="U520" s="89"/>
      <c r="V520" s="89"/>
      <c r="W520" s="89"/>
      <c r="X520" s="89"/>
      <c r="Y520" s="89"/>
      <c r="Z520" s="89"/>
      <c r="AA520" s="89"/>
      <c r="AB520" s="89"/>
      <c r="AC520" s="89"/>
      <c r="AD520" s="89"/>
      <c r="AE520" s="89"/>
      <c r="AF520" s="89"/>
      <c r="AM520" s="89"/>
      <c r="AN520" s="199"/>
      <c r="AO520" s="89"/>
    </row>
    <row r="521" spans="3:41" ht="15.75" customHeight="1" x14ac:dyDescent="0.25"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208"/>
      <c r="P521" s="209"/>
      <c r="Q521" s="89"/>
      <c r="R521" s="89"/>
      <c r="S521" s="89"/>
      <c r="T521" s="89"/>
      <c r="U521" s="89"/>
      <c r="V521" s="89"/>
      <c r="W521" s="89"/>
      <c r="X521" s="89"/>
      <c r="Y521" s="89"/>
      <c r="Z521" s="89"/>
      <c r="AA521" s="89"/>
      <c r="AB521" s="89"/>
      <c r="AC521" s="89"/>
      <c r="AD521" s="89"/>
      <c r="AE521" s="89"/>
      <c r="AF521" s="89"/>
      <c r="AM521" s="89"/>
      <c r="AN521" s="199"/>
      <c r="AO521" s="89"/>
    </row>
    <row r="522" spans="3:41" ht="15.75" customHeight="1" x14ac:dyDescent="0.25"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208"/>
      <c r="P522" s="209"/>
      <c r="Q522" s="89"/>
      <c r="R522" s="89"/>
      <c r="S522" s="89"/>
      <c r="T522" s="89"/>
      <c r="U522" s="89"/>
      <c r="V522" s="89"/>
      <c r="W522" s="89"/>
      <c r="X522" s="89"/>
      <c r="Y522" s="89"/>
      <c r="Z522" s="89"/>
      <c r="AA522" s="89"/>
      <c r="AB522" s="89"/>
      <c r="AC522" s="89"/>
      <c r="AD522" s="89"/>
      <c r="AE522" s="89"/>
      <c r="AF522" s="89"/>
      <c r="AM522" s="89"/>
      <c r="AN522" s="199"/>
      <c r="AO522" s="89"/>
    </row>
    <row r="523" spans="3:41" ht="15.75" customHeight="1" x14ac:dyDescent="0.25"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208"/>
      <c r="P523" s="209"/>
      <c r="Q523" s="89"/>
      <c r="R523" s="89"/>
      <c r="S523" s="89"/>
      <c r="T523" s="89"/>
      <c r="U523" s="89"/>
      <c r="V523" s="89"/>
      <c r="W523" s="89"/>
      <c r="X523" s="89"/>
      <c r="Y523" s="89"/>
      <c r="Z523" s="89"/>
      <c r="AA523" s="89"/>
      <c r="AB523" s="89"/>
      <c r="AC523" s="89"/>
      <c r="AD523" s="89"/>
      <c r="AE523" s="89"/>
      <c r="AF523" s="89"/>
      <c r="AM523" s="89"/>
      <c r="AN523" s="199"/>
      <c r="AO523" s="89"/>
    </row>
    <row r="524" spans="3:41" ht="15.75" customHeight="1" x14ac:dyDescent="0.25"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208"/>
      <c r="P524" s="209"/>
      <c r="Q524" s="89"/>
      <c r="R524" s="89"/>
      <c r="S524" s="89"/>
      <c r="T524" s="89"/>
      <c r="U524" s="89"/>
      <c r="V524" s="89"/>
      <c r="W524" s="89"/>
      <c r="X524" s="89"/>
      <c r="Y524" s="89"/>
      <c r="Z524" s="89"/>
      <c r="AA524" s="89"/>
      <c r="AB524" s="89"/>
      <c r="AC524" s="89"/>
      <c r="AD524" s="89"/>
      <c r="AE524" s="89"/>
      <c r="AF524" s="89"/>
      <c r="AM524" s="89"/>
      <c r="AN524" s="199"/>
      <c r="AO524" s="89"/>
    </row>
    <row r="525" spans="3:41" ht="15.75" customHeight="1" x14ac:dyDescent="0.25"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208"/>
      <c r="P525" s="209"/>
      <c r="Q525" s="89"/>
      <c r="R525" s="89"/>
      <c r="S525" s="89"/>
      <c r="T525" s="89"/>
      <c r="U525" s="89"/>
      <c r="V525" s="89"/>
      <c r="W525" s="89"/>
      <c r="X525" s="89"/>
      <c r="Y525" s="89"/>
      <c r="Z525" s="89"/>
      <c r="AA525" s="89"/>
      <c r="AB525" s="89"/>
      <c r="AC525" s="89"/>
      <c r="AD525" s="89"/>
      <c r="AE525" s="89"/>
      <c r="AF525" s="89"/>
      <c r="AM525" s="89"/>
      <c r="AN525" s="199"/>
      <c r="AO525" s="89"/>
    </row>
    <row r="526" spans="3:41" ht="15.75" customHeight="1" x14ac:dyDescent="0.25"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208"/>
      <c r="P526" s="209"/>
      <c r="Q526" s="89"/>
      <c r="R526" s="89"/>
      <c r="S526" s="89"/>
      <c r="T526" s="89"/>
      <c r="U526" s="89"/>
      <c r="V526" s="89"/>
      <c r="W526" s="89"/>
      <c r="X526" s="89"/>
      <c r="Y526" s="89"/>
      <c r="Z526" s="89"/>
      <c r="AA526" s="89"/>
      <c r="AB526" s="89"/>
      <c r="AC526" s="89"/>
      <c r="AD526" s="89"/>
      <c r="AE526" s="89"/>
      <c r="AF526" s="89"/>
      <c r="AM526" s="89"/>
      <c r="AN526" s="199"/>
      <c r="AO526" s="89"/>
    </row>
    <row r="527" spans="3:41" ht="15.75" customHeight="1" x14ac:dyDescent="0.25"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208"/>
      <c r="P527" s="209"/>
      <c r="Q527" s="89"/>
      <c r="R527" s="89"/>
      <c r="S527" s="89"/>
      <c r="T527" s="89"/>
      <c r="U527" s="89"/>
      <c r="V527" s="89"/>
      <c r="W527" s="89"/>
      <c r="X527" s="89"/>
      <c r="Y527" s="89"/>
      <c r="Z527" s="89"/>
      <c r="AA527" s="89"/>
      <c r="AB527" s="89"/>
      <c r="AC527" s="89"/>
      <c r="AD527" s="89"/>
      <c r="AE527" s="89"/>
      <c r="AF527" s="89"/>
      <c r="AM527" s="89"/>
      <c r="AN527" s="199"/>
      <c r="AO527" s="89"/>
    </row>
    <row r="528" spans="3:41" ht="15.75" customHeight="1" x14ac:dyDescent="0.25"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208"/>
      <c r="P528" s="209"/>
      <c r="Q528" s="89"/>
      <c r="R528" s="89"/>
      <c r="S528" s="89"/>
      <c r="T528" s="89"/>
      <c r="U528" s="89"/>
      <c r="V528" s="89"/>
      <c r="W528" s="89"/>
      <c r="X528" s="89"/>
      <c r="Y528" s="89"/>
      <c r="Z528" s="89"/>
      <c r="AA528" s="89"/>
      <c r="AB528" s="89"/>
      <c r="AC528" s="89"/>
      <c r="AD528" s="89"/>
      <c r="AE528" s="89"/>
      <c r="AF528" s="89"/>
      <c r="AM528" s="89"/>
      <c r="AN528" s="199"/>
      <c r="AO528" s="89"/>
    </row>
    <row r="529" spans="3:41" ht="15.75" customHeight="1" x14ac:dyDescent="0.25"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208"/>
      <c r="P529" s="209"/>
      <c r="Q529" s="89"/>
      <c r="R529" s="89"/>
      <c r="S529" s="89"/>
      <c r="T529" s="89"/>
      <c r="U529" s="89"/>
      <c r="V529" s="89"/>
      <c r="W529" s="89"/>
      <c r="X529" s="89"/>
      <c r="Y529" s="89"/>
      <c r="Z529" s="89"/>
      <c r="AA529" s="89"/>
      <c r="AB529" s="89"/>
      <c r="AC529" s="89"/>
      <c r="AD529" s="89"/>
      <c r="AE529" s="89"/>
      <c r="AF529" s="89"/>
      <c r="AM529" s="89"/>
      <c r="AN529" s="199"/>
      <c r="AO529" s="89"/>
    </row>
    <row r="530" spans="3:41" ht="15.75" customHeight="1" x14ac:dyDescent="0.25"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208"/>
      <c r="P530" s="209"/>
      <c r="Q530" s="89"/>
      <c r="R530" s="89"/>
      <c r="S530" s="89"/>
      <c r="T530" s="89"/>
      <c r="U530" s="89"/>
      <c r="V530" s="89"/>
      <c r="W530" s="89"/>
      <c r="X530" s="89"/>
      <c r="Y530" s="89"/>
      <c r="Z530" s="89"/>
      <c r="AA530" s="89"/>
      <c r="AB530" s="89"/>
      <c r="AC530" s="89"/>
      <c r="AD530" s="89"/>
      <c r="AE530" s="89"/>
      <c r="AF530" s="89"/>
      <c r="AM530" s="89"/>
      <c r="AN530" s="199"/>
      <c r="AO530" s="89"/>
    </row>
    <row r="531" spans="3:41" ht="15.75" customHeight="1" x14ac:dyDescent="0.25"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208"/>
      <c r="P531" s="209"/>
      <c r="Q531" s="89"/>
      <c r="R531" s="89"/>
      <c r="S531" s="89"/>
      <c r="T531" s="89"/>
      <c r="U531" s="89"/>
      <c r="V531" s="89"/>
      <c r="W531" s="89"/>
      <c r="X531" s="89"/>
      <c r="Y531" s="89"/>
      <c r="Z531" s="89"/>
      <c r="AA531" s="89"/>
      <c r="AB531" s="89"/>
      <c r="AC531" s="89"/>
      <c r="AD531" s="89"/>
      <c r="AE531" s="89"/>
      <c r="AF531" s="89"/>
      <c r="AM531" s="89"/>
      <c r="AN531" s="199"/>
      <c r="AO531" s="89"/>
    </row>
    <row r="532" spans="3:41" ht="15.75" customHeight="1" x14ac:dyDescent="0.25"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208"/>
      <c r="P532" s="209"/>
      <c r="Q532" s="89"/>
      <c r="R532" s="89"/>
      <c r="S532" s="89"/>
      <c r="T532" s="89"/>
      <c r="U532" s="89"/>
      <c r="V532" s="89"/>
      <c r="W532" s="89"/>
      <c r="X532" s="89"/>
      <c r="Y532" s="89"/>
      <c r="Z532" s="89"/>
      <c r="AA532" s="89"/>
      <c r="AB532" s="89"/>
      <c r="AC532" s="89"/>
      <c r="AD532" s="89"/>
      <c r="AE532" s="89"/>
      <c r="AF532" s="89"/>
      <c r="AM532" s="89"/>
      <c r="AN532" s="199"/>
      <c r="AO532" s="89"/>
    </row>
    <row r="533" spans="3:41" ht="15.75" customHeight="1" x14ac:dyDescent="0.25"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208"/>
      <c r="P533" s="209"/>
      <c r="Q533" s="89"/>
      <c r="R533" s="89"/>
      <c r="S533" s="89"/>
      <c r="T533" s="89"/>
      <c r="U533" s="89"/>
      <c r="V533" s="89"/>
      <c r="W533" s="89"/>
      <c r="X533" s="89"/>
      <c r="Y533" s="89"/>
      <c r="Z533" s="89"/>
      <c r="AA533" s="89"/>
      <c r="AB533" s="89"/>
      <c r="AC533" s="89"/>
      <c r="AD533" s="89"/>
      <c r="AE533" s="89"/>
      <c r="AF533" s="89"/>
      <c r="AM533" s="89"/>
      <c r="AN533" s="199"/>
      <c r="AO533" s="89"/>
    </row>
    <row r="534" spans="3:41" ht="15.75" customHeight="1" x14ac:dyDescent="0.25"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208"/>
      <c r="P534" s="209"/>
      <c r="Q534" s="89"/>
      <c r="R534" s="89"/>
      <c r="S534" s="89"/>
      <c r="T534" s="89"/>
      <c r="U534" s="89"/>
      <c r="V534" s="89"/>
      <c r="W534" s="89"/>
      <c r="X534" s="89"/>
      <c r="Y534" s="89"/>
      <c r="Z534" s="89"/>
      <c r="AA534" s="89"/>
      <c r="AB534" s="89"/>
      <c r="AC534" s="89"/>
      <c r="AD534" s="89"/>
      <c r="AE534" s="89"/>
      <c r="AF534" s="89"/>
      <c r="AM534" s="89"/>
      <c r="AN534" s="199"/>
      <c r="AO534" s="89"/>
    </row>
    <row r="535" spans="3:41" ht="15.75" customHeight="1" x14ac:dyDescent="0.25"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208"/>
      <c r="P535" s="20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M535" s="89"/>
      <c r="AN535" s="199"/>
      <c r="AO535" s="89"/>
    </row>
    <row r="536" spans="3:41" ht="15.75" customHeight="1" x14ac:dyDescent="0.25"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208"/>
      <c r="P536" s="209"/>
      <c r="Q536" s="89"/>
      <c r="R536" s="89"/>
      <c r="S536" s="89"/>
      <c r="T536" s="89"/>
      <c r="U536" s="89"/>
      <c r="V536" s="89"/>
      <c r="W536" s="89"/>
      <c r="X536" s="89"/>
      <c r="Y536" s="89"/>
      <c r="Z536" s="89"/>
      <c r="AA536" s="89"/>
      <c r="AB536" s="89"/>
      <c r="AC536" s="89"/>
      <c r="AD536" s="89"/>
      <c r="AE536" s="89"/>
      <c r="AF536" s="89"/>
      <c r="AM536" s="89"/>
      <c r="AN536" s="199"/>
      <c r="AO536" s="89"/>
    </row>
    <row r="537" spans="3:41" ht="15.75" customHeight="1" x14ac:dyDescent="0.25"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208"/>
      <c r="P537" s="209"/>
      <c r="Q537" s="89"/>
      <c r="R537" s="89"/>
      <c r="S537" s="89"/>
      <c r="T537" s="89"/>
      <c r="U537" s="89"/>
      <c r="V537" s="89"/>
      <c r="W537" s="89"/>
      <c r="X537" s="89"/>
      <c r="Y537" s="89"/>
      <c r="Z537" s="89"/>
      <c r="AA537" s="89"/>
      <c r="AB537" s="89"/>
      <c r="AC537" s="89"/>
      <c r="AD537" s="89"/>
      <c r="AE537" s="89"/>
      <c r="AF537" s="89"/>
      <c r="AM537" s="89"/>
      <c r="AN537" s="199"/>
      <c r="AO537" s="89"/>
    </row>
    <row r="538" spans="3:41" ht="15.75" customHeight="1" x14ac:dyDescent="0.25"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208"/>
      <c r="P538" s="209"/>
      <c r="Q538" s="89"/>
      <c r="R538" s="89"/>
      <c r="S538" s="89"/>
      <c r="T538" s="89"/>
      <c r="U538" s="89"/>
      <c r="V538" s="89"/>
      <c r="W538" s="89"/>
      <c r="X538" s="89"/>
      <c r="Y538" s="89"/>
      <c r="Z538" s="89"/>
      <c r="AA538" s="89"/>
      <c r="AB538" s="89"/>
      <c r="AC538" s="89"/>
      <c r="AD538" s="89"/>
      <c r="AE538" s="89"/>
      <c r="AF538" s="89"/>
      <c r="AM538" s="89"/>
      <c r="AN538" s="199"/>
      <c r="AO538" s="89"/>
    </row>
    <row r="539" spans="3:41" ht="15.75" customHeight="1" x14ac:dyDescent="0.25"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208"/>
      <c r="P539" s="209"/>
      <c r="Q539" s="89"/>
      <c r="R539" s="89"/>
      <c r="S539" s="89"/>
      <c r="T539" s="89"/>
      <c r="U539" s="89"/>
      <c r="V539" s="89"/>
      <c r="W539" s="89"/>
      <c r="X539" s="89"/>
      <c r="Y539" s="89"/>
      <c r="Z539" s="89"/>
      <c r="AA539" s="89"/>
      <c r="AB539" s="89"/>
      <c r="AC539" s="89"/>
      <c r="AD539" s="89"/>
      <c r="AE539" s="89"/>
      <c r="AF539" s="89"/>
      <c r="AM539" s="89"/>
      <c r="AN539" s="199"/>
      <c r="AO539" s="89"/>
    </row>
    <row r="540" spans="3:41" ht="15.75" customHeight="1" x14ac:dyDescent="0.25"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208"/>
      <c r="P540" s="209"/>
      <c r="Q540" s="89"/>
      <c r="R540" s="89"/>
      <c r="S540" s="89"/>
      <c r="T540" s="89"/>
      <c r="U540" s="89"/>
      <c r="V540" s="89"/>
      <c r="W540" s="89"/>
      <c r="X540" s="89"/>
      <c r="Y540" s="89"/>
      <c r="Z540" s="89"/>
      <c r="AA540" s="89"/>
      <c r="AB540" s="89"/>
      <c r="AC540" s="89"/>
      <c r="AD540" s="89"/>
      <c r="AE540" s="89"/>
      <c r="AF540" s="89"/>
      <c r="AM540" s="89"/>
      <c r="AN540" s="199"/>
      <c r="AO540" s="89"/>
    </row>
    <row r="541" spans="3:41" ht="15.75" customHeight="1" x14ac:dyDescent="0.25"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208"/>
      <c r="P541" s="209"/>
      <c r="Q541" s="89"/>
      <c r="R541" s="89"/>
      <c r="S541" s="89"/>
      <c r="T541" s="89"/>
      <c r="U541" s="89"/>
      <c r="V541" s="89"/>
      <c r="W541" s="89"/>
      <c r="X541" s="89"/>
      <c r="Y541" s="89"/>
      <c r="Z541" s="89"/>
      <c r="AA541" s="89"/>
      <c r="AB541" s="89"/>
      <c r="AC541" s="89"/>
      <c r="AD541" s="89"/>
      <c r="AE541" s="89"/>
      <c r="AF541" s="89"/>
      <c r="AM541" s="89"/>
      <c r="AN541" s="199"/>
      <c r="AO541" s="89"/>
    </row>
    <row r="542" spans="3:41" ht="15.75" customHeight="1" x14ac:dyDescent="0.25"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208"/>
      <c r="P542" s="209"/>
      <c r="Q542" s="89"/>
      <c r="R542" s="89"/>
      <c r="S542" s="89"/>
      <c r="T542" s="89"/>
      <c r="U542" s="89"/>
      <c r="V542" s="89"/>
      <c r="W542" s="89"/>
      <c r="X542" s="89"/>
      <c r="Y542" s="89"/>
      <c r="Z542" s="89"/>
      <c r="AA542" s="89"/>
      <c r="AB542" s="89"/>
      <c r="AC542" s="89"/>
      <c r="AD542" s="89"/>
      <c r="AE542" s="89"/>
      <c r="AF542" s="89"/>
      <c r="AM542" s="89"/>
      <c r="AN542" s="199"/>
      <c r="AO542" s="89"/>
    </row>
    <row r="543" spans="3:41" ht="15.75" customHeight="1" x14ac:dyDescent="0.25"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208"/>
      <c r="P543" s="209"/>
      <c r="Q543" s="89"/>
      <c r="R543" s="89"/>
      <c r="S543" s="89"/>
      <c r="T543" s="89"/>
      <c r="U543" s="89"/>
      <c r="V543" s="89"/>
      <c r="W543" s="89"/>
      <c r="X543" s="89"/>
      <c r="Y543" s="89"/>
      <c r="Z543" s="89"/>
      <c r="AA543" s="89"/>
      <c r="AB543" s="89"/>
      <c r="AC543" s="89"/>
      <c r="AD543" s="89"/>
      <c r="AE543" s="89"/>
      <c r="AF543" s="89"/>
      <c r="AM543" s="89"/>
      <c r="AN543" s="199"/>
      <c r="AO543" s="89"/>
    </row>
    <row r="544" spans="3:41" ht="15.75" customHeight="1" x14ac:dyDescent="0.25"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208"/>
      <c r="P544" s="209"/>
      <c r="Q544" s="89"/>
      <c r="R544" s="89"/>
      <c r="S544" s="89"/>
      <c r="T544" s="89"/>
      <c r="U544" s="89"/>
      <c r="V544" s="89"/>
      <c r="W544" s="89"/>
      <c r="X544" s="89"/>
      <c r="Y544" s="89"/>
      <c r="Z544" s="89"/>
      <c r="AA544" s="89"/>
      <c r="AB544" s="89"/>
      <c r="AC544" s="89"/>
      <c r="AD544" s="89"/>
      <c r="AE544" s="89"/>
      <c r="AF544" s="89"/>
      <c r="AM544" s="89"/>
      <c r="AN544" s="199"/>
      <c r="AO544" s="89"/>
    </row>
    <row r="545" spans="3:41" ht="15.75" customHeight="1" x14ac:dyDescent="0.25"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208"/>
      <c r="P545" s="209"/>
      <c r="Q545" s="89"/>
      <c r="R545" s="89"/>
      <c r="S545" s="89"/>
      <c r="T545" s="89"/>
      <c r="U545" s="89"/>
      <c r="V545" s="89"/>
      <c r="W545" s="89"/>
      <c r="X545" s="89"/>
      <c r="Y545" s="89"/>
      <c r="Z545" s="89"/>
      <c r="AA545" s="89"/>
      <c r="AB545" s="89"/>
      <c r="AC545" s="89"/>
      <c r="AD545" s="89"/>
      <c r="AE545" s="89"/>
      <c r="AF545" s="89"/>
      <c r="AM545" s="89"/>
      <c r="AN545" s="199"/>
      <c r="AO545" s="89"/>
    </row>
    <row r="546" spans="3:41" ht="15.75" customHeight="1" x14ac:dyDescent="0.25"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208"/>
      <c r="P546" s="209"/>
      <c r="Q546" s="89"/>
      <c r="R546" s="89"/>
      <c r="S546" s="89"/>
      <c r="T546" s="89"/>
      <c r="U546" s="89"/>
      <c r="V546" s="89"/>
      <c r="W546" s="89"/>
      <c r="X546" s="89"/>
      <c r="Y546" s="89"/>
      <c r="Z546" s="89"/>
      <c r="AA546" s="89"/>
      <c r="AB546" s="89"/>
      <c r="AC546" s="89"/>
      <c r="AD546" s="89"/>
      <c r="AE546" s="89"/>
      <c r="AF546" s="89"/>
      <c r="AM546" s="89"/>
      <c r="AN546" s="199"/>
      <c r="AO546" s="89"/>
    </row>
    <row r="547" spans="3:41" ht="15.75" customHeight="1" x14ac:dyDescent="0.25"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208"/>
      <c r="P547" s="209"/>
      <c r="Q547" s="89"/>
      <c r="R547" s="89"/>
      <c r="S547" s="89"/>
      <c r="T547" s="89"/>
      <c r="U547" s="89"/>
      <c r="V547" s="89"/>
      <c r="W547" s="89"/>
      <c r="X547" s="89"/>
      <c r="Y547" s="89"/>
      <c r="Z547" s="89"/>
      <c r="AA547" s="89"/>
      <c r="AB547" s="89"/>
      <c r="AC547" s="89"/>
      <c r="AD547" s="89"/>
      <c r="AE547" s="89"/>
      <c r="AF547" s="89"/>
      <c r="AM547" s="89"/>
      <c r="AN547" s="199"/>
      <c r="AO547" s="89"/>
    </row>
    <row r="548" spans="3:41" ht="15.75" customHeight="1" x14ac:dyDescent="0.25"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208"/>
      <c r="P548" s="209"/>
      <c r="Q548" s="89"/>
      <c r="R548" s="89"/>
      <c r="S548" s="89"/>
      <c r="T548" s="89"/>
      <c r="U548" s="89"/>
      <c r="V548" s="89"/>
      <c r="W548" s="89"/>
      <c r="X548" s="89"/>
      <c r="Y548" s="89"/>
      <c r="Z548" s="89"/>
      <c r="AA548" s="89"/>
      <c r="AB548" s="89"/>
      <c r="AC548" s="89"/>
      <c r="AD548" s="89"/>
      <c r="AE548" s="89"/>
      <c r="AF548" s="89"/>
      <c r="AM548" s="89"/>
      <c r="AN548" s="199"/>
      <c r="AO548" s="89"/>
    </row>
    <row r="549" spans="3:41" ht="15.75" customHeight="1" x14ac:dyDescent="0.25"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208"/>
      <c r="P549" s="209"/>
      <c r="Q549" s="89"/>
      <c r="R549" s="89"/>
      <c r="S549" s="89"/>
      <c r="T549" s="89"/>
      <c r="U549" s="89"/>
      <c r="V549" s="89"/>
      <c r="W549" s="89"/>
      <c r="X549" s="89"/>
      <c r="Y549" s="89"/>
      <c r="Z549" s="89"/>
      <c r="AA549" s="89"/>
      <c r="AB549" s="89"/>
      <c r="AC549" s="89"/>
      <c r="AD549" s="89"/>
      <c r="AE549" s="89"/>
      <c r="AF549" s="89"/>
      <c r="AM549" s="89"/>
      <c r="AN549" s="199"/>
      <c r="AO549" s="89"/>
    </row>
    <row r="550" spans="3:41" ht="15.75" customHeight="1" x14ac:dyDescent="0.25"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208"/>
      <c r="P550" s="209"/>
      <c r="Q550" s="89"/>
      <c r="R550" s="89"/>
      <c r="S550" s="89"/>
      <c r="T550" s="89"/>
      <c r="U550" s="89"/>
      <c r="V550" s="89"/>
      <c r="W550" s="89"/>
      <c r="X550" s="89"/>
      <c r="Y550" s="89"/>
      <c r="Z550" s="89"/>
      <c r="AA550" s="89"/>
      <c r="AB550" s="89"/>
      <c r="AC550" s="89"/>
      <c r="AD550" s="89"/>
      <c r="AE550" s="89"/>
      <c r="AF550" s="89"/>
      <c r="AM550" s="89"/>
      <c r="AN550" s="199"/>
      <c r="AO550" s="89"/>
    </row>
    <row r="551" spans="3:41" ht="15.75" customHeight="1" x14ac:dyDescent="0.25"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208"/>
      <c r="P551" s="209"/>
      <c r="Q551" s="89"/>
      <c r="R551" s="89"/>
      <c r="S551" s="89"/>
      <c r="T551" s="89"/>
      <c r="U551" s="89"/>
      <c r="V551" s="89"/>
      <c r="W551" s="89"/>
      <c r="X551" s="89"/>
      <c r="Y551" s="89"/>
      <c r="Z551" s="89"/>
      <c r="AA551" s="89"/>
      <c r="AB551" s="89"/>
      <c r="AC551" s="89"/>
      <c r="AD551" s="89"/>
      <c r="AE551" s="89"/>
      <c r="AF551" s="89"/>
      <c r="AM551" s="89"/>
      <c r="AN551" s="199"/>
      <c r="AO551" s="89"/>
    </row>
    <row r="552" spans="3:41" ht="15.75" customHeight="1" x14ac:dyDescent="0.25"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208"/>
      <c r="P552" s="209"/>
      <c r="Q552" s="89"/>
      <c r="R552" s="89"/>
      <c r="S552" s="89"/>
      <c r="T552" s="89"/>
      <c r="U552" s="89"/>
      <c r="V552" s="89"/>
      <c r="W552" s="89"/>
      <c r="X552" s="89"/>
      <c r="Y552" s="89"/>
      <c r="Z552" s="89"/>
      <c r="AA552" s="89"/>
      <c r="AB552" s="89"/>
      <c r="AC552" s="89"/>
      <c r="AD552" s="89"/>
      <c r="AE552" s="89"/>
      <c r="AF552" s="89"/>
      <c r="AM552" s="89"/>
      <c r="AN552" s="199"/>
      <c r="AO552" s="89"/>
    </row>
    <row r="553" spans="3:41" ht="15.75" customHeight="1" x14ac:dyDescent="0.25"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208"/>
      <c r="P553" s="209"/>
      <c r="Q553" s="89"/>
      <c r="R553" s="89"/>
      <c r="S553" s="89"/>
      <c r="T553" s="89"/>
      <c r="U553" s="89"/>
      <c r="V553" s="89"/>
      <c r="W553" s="89"/>
      <c r="X553" s="89"/>
      <c r="Y553" s="89"/>
      <c r="Z553" s="89"/>
      <c r="AA553" s="89"/>
      <c r="AB553" s="89"/>
      <c r="AC553" s="89"/>
      <c r="AD553" s="89"/>
      <c r="AE553" s="89"/>
      <c r="AF553" s="89"/>
      <c r="AM553" s="89"/>
      <c r="AN553" s="199"/>
      <c r="AO553" s="89"/>
    </row>
    <row r="554" spans="3:41" ht="15.75" customHeight="1" x14ac:dyDescent="0.25"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208"/>
      <c r="P554" s="209"/>
      <c r="Q554" s="89"/>
      <c r="R554" s="89"/>
      <c r="S554" s="89"/>
      <c r="T554" s="89"/>
      <c r="U554" s="89"/>
      <c r="V554" s="89"/>
      <c r="W554" s="89"/>
      <c r="X554" s="89"/>
      <c r="Y554" s="89"/>
      <c r="Z554" s="89"/>
      <c r="AA554" s="89"/>
      <c r="AB554" s="89"/>
      <c r="AC554" s="89"/>
      <c r="AD554" s="89"/>
      <c r="AE554" s="89"/>
      <c r="AF554" s="89"/>
      <c r="AM554" s="89"/>
      <c r="AN554" s="199"/>
      <c r="AO554" s="89"/>
    </row>
    <row r="555" spans="3:41" ht="15.75" customHeight="1" x14ac:dyDescent="0.25"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208"/>
      <c r="P555" s="209"/>
      <c r="Q555" s="89"/>
      <c r="R555" s="89"/>
      <c r="S555" s="89"/>
      <c r="T555" s="89"/>
      <c r="U555" s="89"/>
      <c r="V555" s="89"/>
      <c r="W555" s="89"/>
      <c r="X555" s="89"/>
      <c r="Y555" s="89"/>
      <c r="Z555" s="89"/>
      <c r="AA555" s="89"/>
      <c r="AB555" s="89"/>
      <c r="AC555" s="89"/>
      <c r="AD555" s="89"/>
      <c r="AE555" s="89"/>
      <c r="AF555" s="89"/>
      <c r="AM555" s="89"/>
      <c r="AN555" s="199"/>
      <c r="AO555" s="89"/>
    </row>
    <row r="556" spans="3:41" ht="15.75" customHeight="1" x14ac:dyDescent="0.25"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208"/>
      <c r="P556" s="209"/>
      <c r="Q556" s="89"/>
      <c r="R556" s="89"/>
      <c r="S556" s="89"/>
      <c r="T556" s="89"/>
      <c r="U556" s="89"/>
      <c r="V556" s="89"/>
      <c r="W556" s="89"/>
      <c r="X556" s="89"/>
      <c r="Y556" s="89"/>
      <c r="Z556" s="89"/>
      <c r="AA556" s="89"/>
      <c r="AB556" s="89"/>
      <c r="AC556" s="89"/>
      <c r="AD556" s="89"/>
      <c r="AE556" s="89"/>
      <c r="AF556" s="89"/>
      <c r="AM556" s="89"/>
      <c r="AN556" s="199"/>
      <c r="AO556" s="89"/>
    </row>
    <row r="557" spans="3:41" ht="15.75" customHeight="1" x14ac:dyDescent="0.25"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208"/>
      <c r="P557" s="209"/>
      <c r="Q557" s="89"/>
      <c r="R557" s="89"/>
      <c r="S557" s="89"/>
      <c r="T557" s="89"/>
      <c r="U557" s="89"/>
      <c r="V557" s="89"/>
      <c r="W557" s="89"/>
      <c r="X557" s="89"/>
      <c r="Y557" s="89"/>
      <c r="Z557" s="89"/>
      <c r="AA557" s="89"/>
      <c r="AB557" s="89"/>
      <c r="AC557" s="89"/>
      <c r="AD557" s="89"/>
      <c r="AE557" s="89"/>
      <c r="AF557" s="89"/>
      <c r="AM557" s="89"/>
      <c r="AN557" s="199"/>
      <c r="AO557" s="89"/>
    </row>
    <row r="558" spans="3:41" ht="15.75" customHeight="1" x14ac:dyDescent="0.25"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208"/>
      <c r="P558" s="209"/>
      <c r="Q558" s="89"/>
      <c r="R558" s="89"/>
      <c r="S558" s="89"/>
      <c r="T558" s="89"/>
      <c r="U558" s="89"/>
      <c r="V558" s="89"/>
      <c r="W558" s="89"/>
      <c r="X558" s="89"/>
      <c r="Y558" s="89"/>
      <c r="Z558" s="89"/>
      <c r="AA558" s="89"/>
      <c r="AB558" s="89"/>
      <c r="AC558" s="89"/>
      <c r="AD558" s="89"/>
      <c r="AE558" s="89"/>
      <c r="AF558" s="89"/>
      <c r="AM558" s="89"/>
      <c r="AN558" s="199"/>
      <c r="AO558" s="89"/>
    </row>
    <row r="559" spans="3:41" ht="15.75" customHeight="1" x14ac:dyDescent="0.25"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208"/>
      <c r="P559" s="209"/>
      <c r="Q559" s="89"/>
      <c r="R559" s="89"/>
      <c r="S559" s="89"/>
      <c r="T559" s="89"/>
      <c r="U559" s="89"/>
      <c r="V559" s="89"/>
      <c r="W559" s="89"/>
      <c r="X559" s="89"/>
      <c r="Y559" s="89"/>
      <c r="Z559" s="89"/>
      <c r="AA559" s="89"/>
      <c r="AB559" s="89"/>
      <c r="AC559" s="89"/>
      <c r="AD559" s="89"/>
      <c r="AE559" s="89"/>
      <c r="AF559" s="89"/>
      <c r="AM559" s="89"/>
      <c r="AN559" s="199"/>
      <c r="AO559" s="89"/>
    </row>
    <row r="560" spans="3:41" ht="15.75" customHeight="1" x14ac:dyDescent="0.25"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208"/>
      <c r="P560" s="209"/>
      <c r="Q560" s="89"/>
      <c r="R560" s="89"/>
      <c r="S560" s="89"/>
      <c r="T560" s="89"/>
      <c r="U560" s="89"/>
      <c r="V560" s="89"/>
      <c r="W560" s="89"/>
      <c r="X560" s="89"/>
      <c r="Y560" s="89"/>
      <c r="Z560" s="89"/>
      <c r="AA560" s="89"/>
      <c r="AB560" s="89"/>
      <c r="AC560" s="89"/>
      <c r="AD560" s="89"/>
      <c r="AE560" s="89"/>
      <c r="AF560" s="89"/>
      <c r="AM560" s="89"/>
      <c r="AN560" s="199"/>
      <c r="AO560" s="89"/>
    </row>
    <row r="561" spans="3:41" ht="15.75" customHeight="1" x14ac:dyDescent="0.25"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208"/>
      <c r="P561" s="209"/>
      <c r="Q561" s="89"/>
      <c r="R561" s="89"/>
      <c r="S561" s="89"/>
      <c r="T561" s="89"/>
      <c r="U561" s="89"/>
      <c r="V561" s="89"/>
      <c r="W561" s="89"/>
      <c r="X561" s="89"/>
      <c r="Y561" s="89"/>
      <c r="Z561" s="89"/>
      <c r="AA561" s="89"/>
      <c r="AB561" s="89"/>
      <c r="AC561" s="89"/>
      <c r="AD561" s="89"/>
      <c r="AE561" s="89"/>
      <c r="AF561" s="89"/>
      <c r="AM561" s="89"/>
      <c r="AN561" s="199"/>
      <c r="AO561" s="89"/>
    </row>
    <row r="562" spans="3:41" ht="15.75" customHeight="1" x14ac:dyDescent="0.25"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208"/>
      <c r="P562" s="209"/>
      <c r="Q562" s="89"/>
      <c r="R562" s="89"/>
      <c r="S562" s="89"/>
      <c r="T562" s="89"/>
      <c r="U562" s="89"/>
      <c r="V562" s="89"/>
      <c r="W562" s="89"/>
      <c r="X562" s="89"/>
      <c r="Y562" s="89"/>
      <c r="Z562" s="89"/>
      <c r="AA562" s="89"/>
      <c r="AB562" s="89"/>
      <c r="AC562" s="89"/>
      <c r="AD562" s="89"/>
      <c r="AE562" s="89"/>
      <c r="AF562" s="89"/>
      <c r="AM562" s="89"/>
      <c r="AN562" s="199"/>
      <c r="AO562" s="89"/>
    </row>
    <row r="563" spans="3:41" ht="15.75" customHeight="1" x14ac:dyDescent="0.25"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208"/>
      <c r="P563" s="209"/>
      <c r="Q563" s="89"/>
      <c r="R563" s="89"/>
      <c r="S563" s="89"/>
      <c r="T563" s="89"/>
      <c r="U563" s="89"/>
      <c r="V563" s="89"/>
      <c r="W563" s="89"/>
      <c r="X563" s="89"/>
      <c r="Y563" s="89"/>
      <c r="Z563" s="89"/>
      <c r="AA563" s="89"/>
      <c r="AB563" s="89"/>
      <c r="AC563" s="89"/>
      <c r="AD563" s="89"/>
      <c r="AE563" s="89"/>
      <c r="AF563" s="89"/>
      <c r="AM563" s="89"/>
      <c r="AN563" s="199"/>
      <c r="AO563" s="89"/>
    </row>
    <row r="564" spans="3:41" ht="15.75" customHeight="1" x14ac:dyDescent="0.25"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208"/>
      <c r="P564" s="209"/>
      <c r="Q564" s="89"/>
      <c r="R564" s="89"/>
      <c r="S564" s="89"/>
      <c r="T564" s="89"/>
      <c r="U564" s="89"/>
      <c r="V564" s="89"/>
      <c r="W564" s="89"/>
      <c r="X564" s="89"/>
      <c r="Y564" s="89"/>
      <c r="Z564" s="89"/>
      <c r="AA564" s="89"/>
      <c r="AB564" s="89"/>
      <c r="AC564" s="89"/>
      <c r="AD564" s="89"/>
      <c r="AE564" s="89"/>
      <c r="AF564" s="89"/>
      <c r="AM564" s="89"/>
      <c r="AN564" s="199"/>
      <c r="AO564" s="89"/>
    </row>
    <row r="565" spans="3:41" ht="15.75" customHeight="1" x14ac:dyDescent="0.25"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208"/>
      <c r="P565" s="209"/>
      <c r="Q565" s="89"/>
      <c r="R565" s="89"/>
      <c r="S565" s="89"/>
      <c r="T565" s="89"/>
      <c r="U565" s="89"/>
      <c r="V565" s="89"/>
      <c r="W565" s="89"/>
      <c r="X565" s="89"/>
      <c r="Y565" s="89"/>
      <c r="Z565" s="89"/>
      <c r="AA565" s="89"/>
      <c r="AB565" s="89"/>
      <c r="AC565" s="89"/>
      <c r="AD565" s="89"/>
      <c r="AE565" s="89"/>
      <c r="AF565" s="89"/>
      <c r="AM565" s="89"/>
      <c r="AN565" s="199"/>
      <c r="AO565" s="89"/>
    </row>
    <row r="566" spans="3:41" ht="15.75" customHeight="1" x14ac:dyDescent="0.25"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208"/>
      <c r="P566" s="209"/>
      <c r="Q566" s="89"/>
      <c r="R566" s="89"/>
      <c r="S566" s="89"/>
      <c r="T566" s="89"/>
      <c r="U566" s="89"/>
      <c r="V566" s="89"/>
      <c r="W566" s="89"/>
      <c r="X566" s="89"/>
      <c r="Y566" s="89"/>
      <c r="Z566" s="89"/>
      <c r="AA566" s="89"/>
      <c r="AB566" s="89"/>
      <c r="AC566" s="89"/>
      <c r="AD566" s="89"/>
      <c r="AE566" s="89"/>
      <c r="AF566" s="89"/>
      <c r="AM566" s="89"/>
      <c r="AN566" s="199"/>
      <c r="AO566" s="89"/>
    </row>
    <row r="567" spans="3:41" ht="15.75" customHeight="1" x14ac:dyDescent="0.25"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208"/>
      <c r="P567" s="209"/>
      <c r="Q567" s="89"/>
      <c r="R567" s="89"/>
      <c r="S567" s="89"/>
      <c r="T567" s="89"/>
      <c r="U567" s="89"/>
      <c r="V567" s="89"/>
      <c r="W567" s="89"/>
      <c r="X567" s="89"/>
      <c r="Y567" s="89"/>
      <c r="Z567" s="89"/>
      <c r="AA567" s="89"/>
      <c r="AB567" s="89"/>
      <c r="AC567" s="89"/>
      <c r="AD567" s="89"/>
      <c r="AE567" s="89"/>
      <c r="AF567" s="89"/>
      <c r="AM567" s="89"/>
      <c r="AN567" s="199"/>
      <c r="AO567" s="89"/>
    </row>
    <row r="568" spans="3:41" ht="15.75" customHeight="1" x14ac:dyDescent="0.25"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208"/>
      <c r="P568" s="209"/>
      <c r="Q568" s="89"/>
      <c r="R568" s="89"/>
      <c r="S568" s="89"/>
      <c r="T568" s="89"/>
      <c r="U568" s="89"/>
      <c r="V568" s="89"/>
      <c r="W568" s="89"/>
      <c r="X568" s="89"/>
      <c r="Y568" s="89"/>
      <c r="Z568" s="89"/>
      <c r="AA568" s="89"/>
      <c r="AB568" s="89"/>
      <c r="AC568" s="89"/>
      <c r="AD568" s="89"/>
      <c r="AE568" s="89"/>
      <c r="AF568" s="89"/>
      <c r="AM568" s="89"/>
      <c r="AN568" s="199"/>
      <c r="AO568" s="89"/>
    </row>
    <row r="569" spans="3:41" ht="15.75" customHeight="1" x14ac:dyDescent="0.25"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208"/>
      <c r="P569" s="209"/>
      <c r="Q569" s="89"/>
      <c r="R569" s="89"/>
      <c r="S569" s="89"/>
      <c r="T569" s="89"/>
      <c r="U569" s="89"/>
      <c r="V569" s="89"/>
      <c r="W569" s="89"/>
      <c r="X569" s="89"/>
      <c r="Y569" s="89"/>
      <c r="Z569" s="89"/>
      <c r="AA569" s="89"/>
      <c r="AB569" s="89"/>
      <c r="AC569" s="89"/>
      <c r="AD569" s="89"/>
      <c r="AE569" s="89"/>
      <c r="AF569" s="89"/>
      <c r="AM569" s="89"/>
      <c r="AN569" s="199"/>
      <c r="AO569" s="89"/>
    </row>
    <row r="570" spans="3:41" ht="15.75" customHeight="1" x14ac:dyDescent="0.25"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208"/>
      <c r="P570" s="209"/>
      <c r="Q570" s="89"/>
      <c r="R570" s="89"/>
      <c r="S570" s="89"/>
      <c r="T570" s="89"/>
      <c r="U570" s="89"/>
      <c r="V570" s="89"/>
      <c r="W570" s="89"/>
      <c r="X570" s="89"/>
      <c r="Y570" s="89"/>
      <c r="Z570" s="89"/>
      <c r="AA570" s="89"/>
      <c r="AB570" s="89"/>
      <c r="AC570" s="89"/>
      <c r="AD570" s="89"/>
      <c r="AE570" s="89"/>
      <c r="AF570" s="89"/>
      <c r="AM570" s="89"/>
      <c r="AN570" s="199"/>
      <c r="AO570" s="89"/>
    </row>
    <row r="571" spans="3:41" ht="15.75" customHeight="1" x14ac:dyDescent="0.25"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208"/>
      <c r="P571" s="209"/>
      <c r="Q571" s="89"/>
      <c r="R571" s="89"/>
      <c r="S571" s="89"/>
      <c r="T571" s="89"/>
      <c r="U571" s="89"/>
      <c r="V571" s="89"/>
      <c r="W571" s="89"/>
      <c r="X571" s="89"/>
      <c r="Y571" s="89"/>
      <c r="Z571" s="89"/>
      <c r="AA571" s="89"/>
      <c r="AB571" s="89"/>
      <c r="AC571" s="89"/>
      <c r="AD571" s="89"/>
      <c r="AE571" s="89"/>
      <c r="AF571" s="89"/>
      <c r="AM571" s="89"/>
      <c r="AN571" s="199"/>
      <c r="AO571" s="89"/>
    </row>
    <row r="572" spans="3:41" ht="15.75" customHeight="1" x14ac:dyDescent="0.25"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208"/>
      <c r="P572" s="209"/>
      <c r="Q572" s="89"/>
      <c r="R572" s="89"/>
      <c r="S572" s="89"/>
      <c r="T572" s="89"/>
      <c r="U572" s="89"/>
      <c r="V572" s="89"/>
      <c r="W572" s="89"/>
      <c r="X572" s="89"/>
      <c r="Y572" s="89"/>
      <c r="Z572" s="89"/>
      <c r="AA572" s="89"/>
      <c r="AB572" s="89"/>
      <c r="AC572" s="89"/>
      <c r="AD572" s="89"/>
      <c r="AE572" s="89"/>
      <c r="AF572" s="89"/>
      <c r="AM572" s="89"/>
      <c r="AN572" s="199"/>
      <c r="AO572" s="89"/>
    </row>
    <row r="573" spans="3:41" ht="15.75" customHeight="1" x14ac:dyDescent="0.25"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208"/>
      <c r="P573" s="20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M573" s="89"/>
      <c r="AN573" s="199"/>
      <c r="AO573" s="89"/>
    </row>
    <row r="574" spans="3:41" ht="15.75" customHeight="1" x14ac:dyDescent="0.25"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208"/>
      <c r="P574" s="209"/>
      <c r="Q574" s="89"/>
      <c r="R574" s="89"/>
      <c r="S574" s="89"/>
      <c r="T574" s="89"/>
      <c r="U574" s="89"/>
      <c r="V574" s="89"/>
      <c r="W574" s="89"/>
      <c r="X574" s="89"/>
      <c r="Y574" s="89"/>
      <c r="Z574" s="89"/>
      <c r="AA574" s="89"/>
      <c r="AB574" s="89"/>
      <c r="AC574" s="89"/>
      <c r="AD574" s="89"/>
      <c r="AE574" s="89"/>
      <c r="AF574" s="89"/>
      <c r="AM574" s="89"/>
      <c r="AN574" s="199"/>
      <c r="AO574" s="89"/>
    </row>
    <row r="575" spans="3:41" ht="15.75" customHeight="1" x14ac:dyDescent="0.25"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208"/>
      <c r="P575" s="209"/>
      <c r="Q575" s="89"/>
      <c r="R575" s="89"/>
      <c r="S575" s="89"/>
      <c r="T575" s="89"/>
      <c r="U575" s="89"/>
      <c r="V575" s="89"/>
      <c r="W575" s="89"/>
      <c r="X575" s="89"/>
      <c r="Y575" s="89"/>
      <c r="Z575" s="89"/>
      <c r="AA575" s="89"/>
      <c r="AB575" s="89"/>
      <c r="AC575" s="89"/>
      <c r="AD575" s="89"/>
      <c r="AE575" s="89"/>
      <c r="AF575" s="89"/>
      <c r="AM575" s="89"/>
      <c r="AN575" s="199"/>
      <c r="AO575" s="89"/>
    </row>
    <row r="576" spans="3:41" ht="15.75" customHeight="1" x14ac:dyDescent="0.25"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208"/>
      <c r="P576" s="209"/>
      <c r="Q576" s="89"/>
      <c r="R576" s="89"/>
      <c r="S576" s="89"/>
      <c r="T576" s="89"/>
      <c r="U576" s="89"/>
      <c r="V576" s="89"/>
      <c r="W576" s="89"/>
      <c r="X576" s="89"/>
      <c r="Y576" s="89"/>
      <c r="Z576" s="89"/>
      <c r="AA576" s="89"/>
      <c r="AB576" s="89"/>
      <c r="AC576" s="89"/>
      <c r="AD576" s="89"/>
      <c r="AE576" s="89"/>
      <c r="AF576" s="89"/>
      <c r="AM576" s="89"/>
      <c r="AN576" s="199"/>
      <c r="AO576" s="89"/>
    </row>
    <row r="577" spans="3:41" ht="15.75" customHeight="1" x14ac:dyDescent="0.25"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208"/>
      <c r="P577" s="209"/>
      <c r="Q577" s="89"/>
      <c r="R577" s="89"/>
      <c r="S577" s="89"/>
      <c r="T577" s="89"/>
      <c r="U577" s="89"/>
      <c r="V577" s="89"/>
      <c r="W577" s="89"/>
      <c r="X577" s="89"/>
      <c r="Y577" s="89"/>
      <c r="Z577" s="89"/>
      <c r="AA577" s="89"/>
      <c r="AB577" s="89"/>
      <c r="AC577" s="89"/>
      <c r="AD577" s="89"/>
      <c r="AE577" s="89"/>
      <c r="AF577" s="89"/>
      <c r="AM577" s="89"/>
      <c r="AN577" s="199"/>
      <c r="AO577" s="89"/>
    </row>
    <row r="578" spans="3:41" ht="15.75" customHeight="1" x14ac:dyDescent="0.25"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208"/>
      <c r="P578" s="209"/>
      <c r="Q578" s="89"/>
      <c r="R578" s="89"/>
      <c r="S578" s="89"/>
      <c r="T578" s="89"/>
      <c r="U578" s="89"/>
      <c r="V578" s="89"/>
      <c r="W578" s="89"/>
      <c r="X578" s="89"/>
      <c r="Y578" s="89"/>
      <c r="Z578" s="89"/>
      <c r="AA578" s="89"/>
      <c r="AB578" s="89"/>
      <c r="AC578" s="89"/>
      <c r="AD578" s="89"/>
      <c r="AE578" s="89"/>
      <c r="AF578" s="89"/>
      <c r="AM578" s="89"/>
      <c r="AN578" s="199"/>
      <c r="AO578" s="89"/>
    </row>
    <row r="579" spans="3:41" ht="15.75" customHeight="1" x14ac:dyDescent="0.25"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208"/>
      <c r="P579" s="209"/>
      <c r="Q579" s="89"/>
      <c r="R579" s="89"/>
      <c r="S579" s="89"/>
      <c r="T579" s="89"/>
      <c r="U579" s="89"/>
      <c r="V579" s="89"/>
      <c r="W579" s="89"/>
      <c r="X579" s="89"/>
      <c r="Y579" s="89"/>
      <c r="Z579" s="89"/>
      <c r="AA579" s="89"/>
      <c r="AB579" s="89"/>
      <c r="AC579" s="89"/>
      <c r="AD579" s="89"/>
      <c r="AE579" s="89"/>
      <c r="AF579" s="89"/>
      <c r="AM579" s="89"/>
      <c r="AN579" s="199"/>
      <c r="AO579" s="89"/>
    </row>
    <row r="580" spans="3:41" ht="15.75" customHeight="1" x14ac:dyDescent="0.25"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208"/>
      <c r="P580" s="209"/>
      <c r="Q580" s="89"/>
      <c r="R580" s="89"/>
      <c r="S580" s="89"/>
      <c r="T580" s="89"/>
      <c r="U580" s="89"/>
      <c r="V580" s="89"/>
      <c r="W580" s="89"/>
      <c r="X580" s="89"/>
      <c r="Y580" s="89"/>
      <c r="Z580" s="89"/>
      <c r="AA580" s="89"/>
      <c r="AB580" s="89"/>
      <c r="AC580" s="89"/>
      <c r="AD580" s="89"/>
      <c r="AE580" s="89"/>
      <c r="AF580" s="89"/>
      <c r="AM580" s="89"/>
      <c r="AN580" s="199"/>
      <c r="AO580" s="89"/>
    </row>
    <row r="581" spans="3:41" ht="15.75" customHeight="1" x14ac:dyDescent="0.25"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208"/>
      <c r="P581" s="209"/>
      <c r="Q581" s="89"/>
      <c r="R581" s="89"/>
      <c r="S581" s="89"/>
      <c r="T581" s="89"/>
      <c r="U581" s="89"/>
      <c r="V581" s="89"/>
      <c r="W581" s="89"/>
      <c r="X581" s="89"/>
      <c r="Y581" s="89"/>
      <c r="Z581" s="89"/>
      <c r="AA581" s="89"/>
      <c r="AB581" s="89"/>
      <c r="AC581" s="89"/>
      <c r="AD581" s="89"/>
      <c r="AE581" s="89"/>
      <c r="AF581" s="89"/>
      <c r="AM581" s="89"/>
      <c r="AN581" s="199"/>
      <c r="AO581" s="89"/>
    </row>
    <row r="582" spans="3:41" ht="15.75" customHeight="1" x14ac:dyDescent="0.25"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208"/>
      <c r="P582" s="209"/>
      <c r="Q582" s="89"/>
      <c r="R582" s="89"/>
      <c r="S582" s="89"/>
      <c r="T582" s="89"/>
      <c r="U582" s="89"/>
      <c r="V582" s="89"/>
      <c r="W582" s="89"/>
      <c r="X582" s="89"/>
      <c r="Y582" s="89"/>
      <c r="Z582" s="89"/>
      <c r="AA582" s="89"/>
      <c r="AB582" s="89"/>
      <c r="AC582" s="89"/>
      <c r="AD582" s="89"/>
      <c r="AE582" s="89"/>
      <c r="AF582" s="89"/>
      <c r="AM582" s="89"/>
      <c r="AN582" s="199"/>
      <c r="AO582" s="89"/>
    </row>
    <row r="583" spans="3:41" ht="15.75" customHeight="1" x14ac:dyDescent="0.25"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208"/>
      <c r="P583" s="209"/>
      <c r="Q583" s="89"/>
      <c r="R583" s="89"/>
      <c r="S583" s="89"/>
      <c r="T583" s="89"/>
      <c r="U583" s="89"/>
      <c r="V583" s="89"/>
      <c r="W583" s="89"/>
      <c r="X583" s="89"/>
      <c r="Y583" s="89"/>
      <c r="Z583" s="89"/>
      <c r="AA583" s="89"/>
      <c r="AB583" s="89"/>
      <c r="AC583" s="89"/>
      <c r="AD583" s="89"/>
      <c r="AE583" s="89"/>
      <c r="AF583" s="89"/>
      <c r="AM583" s="89"/>
      <c r="AN583" s="199"/>
      <c r="AO583" s="89"/>
    </row>
    <row r="584" spans="3:41" ht="15.75" customHeight="1" x14ac:dyDescent="0.25"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208"/>
      <c r="P584" s="209"/>
      <c r="Q584" s="89"/>
      <c r="R584" s="89"/>
      <c r="S584" s="89"/>
      <c r="T584" s="89"/>
      <c r="U584" s="89"/>
      <c r="V584" s="89"/>
      <c r="W584" s="89"/>
      <c r="X584" s="89"/>
      <c r="Y584" s="89"/>
      <c r="Z584" s="89"/>
      <c r="AA584" s="89"/>
      <c r="AB584" s="89"/>
      <c r="AC584" s="89"/>
      <c r="AD584" s="89"/>
      <c r="AE584" s="89"/>
      <c r="AF584" s="89"/>
      <c r="AM584" s="89"/>
      <c r="AN584" s="199"/>
      <c r="AO584" s="89"/>
    </row>
    <row r="585" spans="3:41" ht="15.75" customHeight="1" x14ac:dyDescent="0.25"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208"/>
      <c r="P585" s="209"/>
      <c r="Q585" s="89"/>
      <c r="R585" s="89"/>
      <c r="S585" s="89"/>
      <c r="T585" s="89"/>
      <c r="U585" s="89"/>
      <c r="V585" s="89"/>
      <c r="W585" s="89"/>
      <c r="X585" s="89"/>
      <c r="Y585" s="89"/>
      <c r="Z585" s="89"/>
      <c r="AA585" s="89"/>
      <c r="AB585" s="89"/>
      <c r="AC585" s="89"/>
      <c r="AD585" s="89"/>
      <c r="AE585" s="89"/>
      <c r="AF585" s="89"/>
      <c r="AM585" s="89"/>
      <c r="AN585" s="199"/>
      <c r="AO585" s="89"/>
    </row>
    <row r="586" spans="3:41" ht="15.75" customHeight="1" x14ac:dyDescent="0.25"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208"/>
      <c r="P586" s="209"/>
      <c r="Q586" s="89"/>
      <c r="R586" s="89"/>
      <c r="S586" s="89"/>
      <c r="T586" s="89"/>
      <c r="U586" s="89"/>
      <c r="V586" s="89"/>
      <c r="W586" s="89"/>
      <c r="X586" s="89"/>
      <c r="Y586" s="89"/>
      <c r="Z586" s="89"/>
      <c r="AA586" s="89"/>
      <c r="AB586" s="89"/>
      <c r="AC586" s="89"/>
      <c r="AD586" s="89"/>
      <c r="AE586" s="89"/>
      <c r="AF586" s="89"/>
      <c r="AM586" s="89"/>
      <c r="AN586" s="199"/>
      <c r="AO586" s="89"/>
    </row>
    <row r="587" spans="3:41" ht="15.75" customHeight="1" x14ac:dyDescent="0.25"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208"/>
      <c r="P587" s="209"/>
      <c r="Q587" s="89"/>
      <c r="R587" s="89"/>
      <c r="S587" s="89"/>
      <c r="T587" s="89"/>
      <c r="U587" s="89"/>
      <c r="V587" s="89"/>
      <c r="W587" s="89"/>
      <c r="X587" s="89"/>
      <c r="Y587" s="89"/>
      <c r="Z587" s="89"/>
      <c r="AA587" s="89"/>
      <c r="AB587" s="89"/>
      <c r="AC587" s="89"/>
      <c r="AD587" s="89"/>
      <c r="AE587" s="89"/>
      <c r="AF587" s="89"/>
      <c r="AM587" s="89"/>
      <c r="AN587" s="199"/>
      <c r="AO587" s="89"/>
    </row>
    <row r="588" spans="3:41" ht="15.75" customHeight="1" x14ac:dyDescent="0.25"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208"/>
      <c r="P588" s="209"/>
      <c r="Q588" s="89"/>
      <c r="R588" s="89"/>
      <c r="S588" s="89"/>
      <c r="T588" s="89"/>
      <c r="U588" s="89"/>
      <c r="V588" s="89"/>
      <c r="W588" s="89"/>
      <c r="X588" s="89"/>
      <c r="Y588" s="89"/>
      <c r="Z588" s="89"/>
      <c r="AA588" s="89"/>
      <c r="AB588" s="89"/>
      <c r="AC588" s="89"/>
      <c r="AD588" s="89"/>
      <c r="AE588" s="89"/>
      <c r="AF588" s="89"/>
      <c r="AM588" s="89"/>
      <c r="AN588" s="199"/>
      <c r="AO588" s="89"/>
    </row>
    <row r="589" spans="3:41" ht="15.75" customHeight="1" x14ac:dyDescent="0.25"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208"/>
      <c r="P589" s="209"/>
      <c r="Q589" s="89"/>
      <c r="R589" s="89"/>
      <c r="S589" s="89"/>
      <c r="T589" s="89"/>
      <c r="U589" s="89"/>
      <c r="V589" s="89"/>
      <c r="W589" s="89"/>
      <c r="X589" s="89"/>
      <c r="Y589" s="89"/>
      <c r="Z589" s="89"/>
      <c r="AA589" s="89"/>
      <c r="AB589" s="89"/>
      <c r="AC589" s="89"/>
      <c r="AD589" s="89"/>
      <c r="AE589" s="89"/>
      <c r="AF589" s="89"/>
      <c r="AM589" s="89"/>
      <c r="AN589" s="199"/>
      <c r="AO589" s="89"/>
    </row>
    <row r="590" spans="3:41" ht="15.75" customHeight="1" x14ac:dyDescent="0.25"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208"/>
      <c r="P590" s="209"/>
      <c r="Q590" s="89"/>
      <c r="R590" s="89"/>
      <c r="S590" s="89"/>
      <c r="T590" s="89"/>
      <c r="U590" s="89"/>
      <c r="V590" s="89"/>
      <c r="W590" s="89"/>
      <c r="X590" s="89"/>
      <c r="Y590" s="89"/>
      <c r="Z590" s="89"/>
      <c r="AA590" s="89"/>
      <c r="AB590" s="89"/>
      <c r="AC590" s="89"/>
      <c r="AD590" s="89"/>
      <c r="AE590" s="89"/>
      <c r="AF590" s="89"/>
      <c r="AM590" s="89"/>
      <c r="AN590" s="199"/>
      <c r="AO590" s="89"/>
    </row>
    <row r="591" spans="3:41" ht="15.75" customHeight="1" x14ac:dyDescent="0.25"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208"/>
      <c r="P591" s="209"/>
      <c r="Q591" s="89"/>
      <c r="R591" s="89"/>
      <c r="S591" s="89"/>
      <c r="T591" s="89"/>
      <c r="U591" s="89"/>
      <c r="V591" s="89"/>
      <c r="W591" s="89"/>
      <c r="X591" s="89"/>
      <c r="Y591" s="89"/>
      <c r="Z591" s="89"/>
      <c r="AA591" s="89"/>
      <c r="AB591" s="89"/>
      <c r="AC591" s="89"/>
      <c r="AD591" s="89"/>
      <c r="AE591" s="89"/>
      <c r="AF591" s="89"/>
      <c r="AM591" s="89"/>
      <c r="AN591" s="199"/>
      <c r="AO591" s="89"/>
    </row>
    <row r="592" spans="3:41" ht="15.75" customHeight="1" x14ac:dyDescent="0.25"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208"/>
      <c r="P592" s="209"/>
      <c r="Q592" s="89"/>
      <c r="R592" s="89"/>
      <c r="S592" s="89"/>
      <c r="T592" s="89"/>
      <c r="U592" s="89"/>
      <c r="V592" s="89"/>
      <c r="W592" s="89"/>
      <c r="X592" s="89"/>
      <c r="Y592" s="89"/>
      <c r="Z592" s="89"/>
      <c r="AA592" s="89"/>
      <c r="AB592" s="89"/>
      <c r="AC592" s="89"/>
      <c r="AD592" s="89"/>
      <c r="AE592" s="89"/>
      <c r="AF592" s="89"/>
      <c r="AM592" s="89"/>
      <c r="AN592" s="199"/>
      <c r="AO592" s="89"/>
    </row>
    <row r="593" spans="3:41" ht="15.75" customHeight="1" x14ac:dyDescent="0.25"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208"/>
      <c r="P593" s="209"/>
      <c r="Q593" s="89"/>
      <c r="R593" s="89"/>
      <c r="S593" s="89"/>
      <c r="T593" s="89"/>
      <c r="U593" s="89"/>
      <c r="V593" s="89"/>
      <c r="W593" s="89"/>
      <c r="X593" s="89"/>
      <c r="Y593" s="89"/>
      <c r="Z593" s="89"/>
      <c r="AA593" s="89"/>
      <c r="AB593" s="89"/>
      <c r="AC593" s="89"/>
      <c r="AD593" s="89"/>
      <c r="AE593" s="89"/>
      <c r="AF593" s="89"/>
      <c r="AM593" s="89"/>
      <c r="AN593" s="199"/>
      <c r="AO593" s="89"/>
    </row>
    <row r="594" spans="3:41" ht="15.75" customHeight="1" x14ac:dyDescent="0.25"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208"/>
      <c r="P594" s="209"/>
      <c r="Q594" s="89"/>
      <c r="R594" s="89"/>
      <c r="S594" s="89"/>
      <c r="T594" s="89"/>
      <c r="U594" s="89"/>
      <c r="V594" s="89"/>
      <c r="W594" s="89"/>
      <c r="X594" s="89"/>
      <c r="Y594" s="89"/>
      <c r="Z594" s="89"/>
      <c r="AA594" s="89"/>
      <c r="AB594" s="89"/>
      <c r="AC594" s="89"/>
      <c r="AD594" s="89"/>
      <c r="AE594" s="89"/>
      <c r="AF594" s="89"/>
      <c r="AM594" s="89"/>
      <c r="AN594" s="199"/>
      <c r="AO594" s="89"/>
    </row>
    <row r="595" spans="3:41" ht="15.75" customHeight="1" x14ac:dyDescent="0.25"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208"/>
      <c r="P595" s="209"/>
      <c r="Q595" s="89"/>
      <c r="R595" s="89"/>
      <c r="S595" s="89"/>
      <c r="T595" s="89"/>
      <c r="U595" s="89"/>
      <c r="V595" s="89"/>
      <c r="W595" s="89"/>
      <c r="X595" s="89"/>
      <c r="Y595" s="89"/>
      <c r="Z595" s="89"/>
      <c r="AA595" s="89"/>
      <c r="AB595" s="89"/>
      <c r="AC595" s="89"/>
      <c r="AD595" s="89"/>
      <c r="AE595" s="89"/>
      <c r="AF595" s="89"/>
      <c r="AM595" s="89"/>
      <c r="AN595" s="199"/>
      <c r="AO595" s="89"/>
    </row>
    <row r="596" spans="3:41" ht="15.75" customHeight="1" x14ac:dyDescent="0.25"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208"/>
      <c r="P596" s="209"/>
      <c r="Q596" s="89"/>
      <c r="R596" s="89"/>
      <c r="S596" s="89"/>
      <c r="T596" s="89"/>
      <c r="U596" s="89"/>
      <c r="V596" s="89"/>
      <c r="W596" s="89"/>
      <c r="X596" s="89"/>
      <c r="Y596" s="89"/>
      <c r="Z596" s="89"/>
      <c r="AA596" s="89"/>
      <c r="AB596" s="89"/>
      <c r="AC596" s="89"/>
      <c r="AD596" s="89"/>
      <c r="AE596" s="89"/>
      <c r="AF596" s="89"/>
      <c r="AM596" s="89"/>
      <c r="AN596" s="199"/>
      <c r="AO596" s="89"/>
    </row>
    <row r="597" spans="3:41" ht="15.75" customHeight="1" x14ac:dyDescent="0.25"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208"/>
      <c r="P597" s="209"/>
      <c r="Q597" s="89"/>
      <c r="R597" s="89"/>
      <c r="S597" s="89"/>
      <c r="T597" s="89"/>
      <c r="U597" s="89"/>
      <c r="V597" s="89"/>
      <c r="W597" s="89"/>
      <c r="X597" s="89"/>
      <c r="Y597" s="89"/>
      <c r="Z597" s="89"/>
      <c r="AA597" s="89"/>
      <c r="AB597" s="89"/>
      <c r="AC597" s="89"/>
      <c r="AD597" s="89"/>
      <c r="AE597" s="89"/>
      <c r="AF597" s="89"/>
      <c r="AM597" s="89"/>
      <c r="AN597" s="199"/>
      <c r="AO597" s="89"/>
    </row>
    <row r="598" spans="3:41" ht="15.75" customHeight="1" x14ac:dyDescent="0.25"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208"/>
      <c r="P598" s="209"/>
      <c r="Q598" s="89"/>
      <c r="R598" s="89"/>
      <c r="S598" s="89"/>
      <c r="T598" s="89"/>
      <c r="U598" s="89"/>
      <c r="V598" s="89"/>
      <c r="W598" s="89"/>
      <c r="X598" s="89"/>
      <c r="Y598" s="89"/>
      <c r="Z598" s="89"/>
      <c r="AA598" s="89"/>
      <c r="AB598" s="89"/>
      <c r="AC598" s="89"/>
      <c r="AD598" s="89"/>
      <c r="AE598" s="89"/>
      <c r="AF598" s="89"/>
      <c r="AM598" s="89"/>
      <c r="AN598" s="199"/>
      <c r="AO598" s="89"/>
    </row>
    <row r="599" spans="3:41" ht="15.75" customHeight="1" x14ac:dyDescent="0.25"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208"/>
      <c r="P599" s="209"/>
      <c r="Q599" s="89"/>
      <c r="R599" s="89"/>
      <c r="S599" s="89"/>
      <c r="T599" s="89"/>
      <c r="U599" s="89"/>
      <c r="V599" s="89"/>
      <c r="W599" s="89"/>
      <c r="X599" s="89"/>
      <c r="Y599" s="89"/>
      <c r="Z599" s="89"/>
      <c r="AA599" s="89"/>
      <c r="AB599" s="89"/>
      <c r="AC599" s="89"/>
      <c r="AD599" s="89"/>
      <c r="AE599" s="89"/>
      <c r="AF599" s="89"/>
      <c r="AM599" s="89"/>
      <c r="AN599" s="199"/>
      <c r="AO599" s="89"/>
    </row>
    <row r="600" spans="3:41" ht="15.75" customHeight="1" x14ac:dyDescent="0.25"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208"/>
      <c r="P600" s="209"/>
      <c r="Q600" s="89"/>
      <c r="R600" s="89"/>
      <c r="S600" s="89"/>
      <c r="T600" s="89"/>
      <c r="U600" s="89"/>
      <c r="V600" s="89"/>
      <c r="W600" s="89"/>
      <c r="X600" s="89"/>
      <c r="Y600" s="89"/>
      <c r="Z600" s="89"/>
      <c r="AA600" s="89"/>
      <c r="AB600" s="89"/>
      <c r="AC600" s="89"/>
      <c r="AD600" s="89"/>
      <c r="AE600" s="89"/>
      <c r="AF600" s="89"/>
      <c r="AM600" s="89"/>
      <c r="AN600" s="199"/>
      <c r="AO600" s="89"/>
    </row>
    <row r="601" spans="3:41" ht="15.75" customHeight="1" x14ac:dyDescent="0.25"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208"/>
      <c r="P601" s="209"/>
      <c r="Q601" s="89"/>
      <c r="R601" s="89"/>
      <c r="S601" s="89"/>
      <c r="T601" s="89"/>
      <c r="U601" s="89"/>
      <c r="V601" s="89"/>
      <c r="W601" s="89"/>
      <c r="X601" s="89"/>
      <c r="Y601" s="89"/>
      <c r="Z601" s="89"/>
      <c r="AA601" s="89"/>
      <c r="AB601" s="89"/>
      <c r="AC601" s="89"/>
      <c r="AD601" s="89"/>
      <c r="AE601" s="89"/>
      <c r="AF601" s="89"/>
      <c r="AM601" s="89"/>
      <c r="AN601" s="199"/>
      <c r="AO601" s="89"/>
    </row>
    <row r="602" spans="3:41" ht="15.75" customHeight="1" x14ac:dyDescent="0.25"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208"/>
      <c r="P602" s="209"/>
      <c r="Q602" s="89"/>
      <c r="R602" s="89"/>
      <c r="S602" s="89"/>
      <c r="T602" s="89"/>
      <c r="U602" s="89"/>
      <c r="V602" s="89"/>
      <c r="W602" s="89"/>
      <c r="X602" s="89"/>
      <c r="Y602" s="89"/>
      <c r="Z602" s="89"/>
      <c r="AA602" s="89"/>
      <c r="AB602" s="89"/>
      <c r="AC602" s="89"/>
      <c r="AD602" s="89"/>
      <c r="AE602" s="89"/>
      <c r="AF602" s="89"/>
      <c r="AM602" s="89"/>
      <c r="AN602" s="199"/>
      <c r="AO602" s="89"/>
    </row>
    <row r="603" spans="3:41" ht="15.75" customHeight="1" x14ac:dyDescent="0.25"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208"/>
      <c r="P603" s="209"/>
      <c r="Q603" s="89"/>
      <c r="R603" s="89"/>
      <c r="S603" s="89"/>
      <c r="T603" s="89"/>
      <c r="U603" s="89"/>
      <c r="V603" s="89"/>
      <c r="W603" s="89"/>
      <c r="X603" s="89"/>
      <c r="Y603" s="89"/>
      <c r="Z603" s="89"/>
      <c r="AA603" s="89"/>
      <c r="AB603" s="89"/>
      <c r="AC603" s="89"/>
      <c r="AD603" s="89"/>
      <c r="AE603" s="89"/>
      <c r="AF603" s="89"/>
      <c r="AM603" s="89"/>
      <c r="AN603" s="199"/>
      <c r="AO603" s="89"/>
    </row>
    <row r="604" spans="3:41" ht="15.75" customHeight="1" x14ac:dyDescent="0.25"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208"/>
      <c r="P604" s="209"/>
      <c r="Q604" s="89"/>
      <c r="R604" s="89"/>
      <c r="S604" s="89"/>
      <c r="T604" s="89"/>
      <c r="U604" s="89"/>
      <c r="V604" s="89"/>
      <c r="W604" s="89"/>
      <c r="X604" s="89"/>
      <c r="Y604" s="89"/>
      <c r="Z604" s="89"/>
      <c r="AA604" s="89"/>
      <c r="AB604" s="89"/>
      <c r="AC604" s="89"/>
      <c r="AD604" s="89"/>
      <c r="AE604" s="89"/>
      <c r="AF604" s="89"/>
      <c r="AM604" s="89"/>
      <c r="AN604" s="199"/>
      <c r="AO604" s="89"/>
    </row>
    <row r="605" spans="3:41" ht="15.75" customHeight="1" x14ac:dyDescent="0.25"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208"/>
      <c r="P605" s="209"/>
      <c r="Q605" s="89"/>
      <c r="R605" s="89"/>
      <c r="S605" s="89"/>
      <c r="T605" s="89"/>
      <c r="U605" s="89"/>
      <c r="V605" s="89"/>
      <c r="W605" s="89"/>
      <c r="X605" s="89"/>
      <c r="Y605" s="89"/>
      <c r="Z605" s="89"/>
      <c r="AA605" s="89"/>
      <c r="AB605" s="89"/>
      <c r="AC605" s="89"/>
      <c r="AD605" s="89"/>
      <c r="AE605" s="89"/>
      <c r="AF605" s="89"/>
      <c r="AM605" s="89"/>
      <c r="AN605" s="199"/>
      <c r="AO605" s="89"/>
    </row>
    <row r="606" spans="3:41" ht="15.75" customHeight="1" x14ac:dyDescent="0.25"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208"/>
      <c r="P606" s="209"/>
      <c r="Q606" s="89"/>
      <c r="R606" s="89"/>
      <c r="S606" s="89"/>
      <c r="T606" s="89"/>
      <c r="U606" s="89"/>
      <c r="V606" s="89"/>
      <c r="W606" s="89"/>
      <c r="X606" s="89"/>
      <c r="Y606" s="89"/>
      <c r="Z606" s="89"/>
      <c r="AA606" s="89"/>
      <c r="AB606" s="89"/>
      <c r="AC606" s="89"/>
      <c r="AD606" s="89"/>
      <c r="AE606" s="89"/>
      <c r="AF606" s="89"/>
      <c r="AM606" s="89"/>
      <c r="AN606" s="199"/>
      <c r="AO606" s="89"/>
    </row>
    <row r="607" spans="3:41" ht="15.75" customHeight="1" x14ac:dyDescent="0.25"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208"/>
      <c r="P607" s="209"/>
      <c r="Q607" s="89"/>
      <c r="R607" s="89"/>
      <c r="S607" s="89"/>
      <c r="T607" s="89"/>
      <c r="U607" s="89"/>
      <c r="V607" s="89"/>
      <c r="W607" s="89"/>
      <c r="X607" s="89"/>
      <c r="Y607" s="89"/>
      <c r="Z607" s="89"/>
      <c r="AA607" s="89"/>
      <c r="AB607" s="89"/>
      <c r="AC607" s="89"/>
      <c r="AD607" s="89"/>
      <c r="AE607" s="89"/>
      <c r="AF607" s="89"/>
      <c r="AM607" s="89"/>
      <c r="AN607" s="199"/>
      <c r="AO607" s="89"/>
    </row>
    <row r="608" spans="3:41" ht="15.75" customHeight="1" x14ac:dyDescent="0.25"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208"/>
      <c r="P608" s="209"/>
      <c r="Q608" s="89"/>
      <c r="R608" s="89"/>
      <c r="S608" s="89"/>
      <c r="T608" s="89"/>
      <c r="U608" s="89"/>
      <c r="V608" s="89"/>
      <c r="W608" s="89"/>
      <c r="X608" s="89"/>
      <c r="Y608" s="89"/>
      <c r="Z608" s="89"/>
      <c r="AA608" s="89"/>
      <c r="AB608" s="89"/>
      <c r="AC608" s="89"/>
      <c r="AD608" s="89"/>
      <c r="AE608" s="89"/>
      <c r="AF608" s="89"/>
      <c r="AM608" s="89"/>
      <c r="AN608" s="199"/>
      <c r="AO608" s="89"/>
    </row>
    <row r="609" spans="3:41" ht="15.75" customHeight="1" x14ac:dyDescent="0.25"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208"/>
      <c r="P609" s="209"/>
      <c r="Q609" s="89"/>
      <c r="R609" s="89"/>
      <c r="S609" s="89"/>
      <c r="T609" s="89"/>
      <c r="U609" s="89"/>
      <c r="V609" s="89"/>
      <c r="W609" s="89"/>
      <c r="X609" s="89"/>
      <c r="Y609" s="89"/>
      <c r="Z609" s="89"/>
      <c r="AA609" s="89"/>
      <c r="AB609" s="89"/>
      <c r="AC609" s="89"/>
      <c r="AD609" s="89"/>
      <c r="AE609" s="89"/>
      <c r="AF609" s="89"/>
      <c r="AM609" s="89"/>
      <c r="AN609" s="199"/>
      <c r="AO609" s="89"/>
    </row>
    <row r="610" spans="3:41" ht="15.75" customHeight="1" x14ac:dyDescent="0.25"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208"/>
      <c r="P610" s="209"/>
      <c r="Q610" s="89"/>
      <c r="R610" s="89"/>
      <c r="S610" s="89"/>
      <c r="T610" s="89"/>
      <c r="U610" s="89"/>
      <c r="V610" s="89"/>
      <c r="W610" s="89"/>
      <c r="X610" s="89"/>
      <c r="Y610" s="89"/>
      <c r="Z610" s="89"/>
      <c r="AA610" s="89"/>
      <c r="AB610" s="89"/>
      <c r="AC610" s="89"/>
      <c r="AD610" s="89"/>
      <c r="AE610" s="89"/>
      <c r="AF610" s="89"/>
      <c r="AM610" s="89"/>
      <c r="AN610" s="199"/>
      <c r="AO610" s="89"/>
    </row>
    <row r="611" spans="3:41" ht="15.75" customHeight="1" x14ac:dyDescent="0.25"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208"/>
      <c r="P611" s="20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M611" s="89"/>
      <c r="AN611" s="199"/>
      <c r="AO611" s="89"/>
    </row>
    <row r="612" spans="3:41" ht="15.75" customHeight="1" x14ac:dyDescent="0.25"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208"/>
      <c r="P612" s="209"/>
      <c r="Q612" s="89"/>
      <c r="R612" s="89"/>
      <c r="S612" s="89"/>
      <c r="T612" s="89"/>
      <c r="U612" s="89"/>
      <c r="V612" s="89"/>
      <c r="W612" s="89"/>
      <c r="X612" s="89"/>
      <c r="Y612" s="89"/>
      <c r="Z612" s="89"/>
      <c r="AA612" s="89"/>
      <c r="AB612" s="89"/>
      <c r="AC612" s="89"/>
      <c r="AD612" s="89"/>
      <c r="AE612" s="89"/>
      <c r="AF612" s="89"/>
      <c r="AM612" s="89"/>
      <c r="AN612" s="199"/>
      <c r="AO612" s="89"/>
    </row>
    <row r="613" spans="3:41" ht="15.75" customHeight="1" x14ac:dyDescent="0.25"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208"/>
      <c r="P613" s="209"/>
      <c r="Q613" s="89"/>
      <c r="R613" s="89"/>
      <c r="S613" s="89"/>
      <c r="T613" s="89"/>
      <c r="U613" s="89"/>
      <c r="V613" s="89"/>
      <c r="W613" s="89"/>
      <c r="X613" s="89"/>
      <c r="Y613" s="89"/>
      <c r="Z613" s="89"/>
      <c r="AA613" s="89"/>
      <c r="AB613" s="89"/>
      <c r="AC613" s="89"/>
      <c r="AD613" s="89"/>
      <c r="AE613" s="89"/>
      <c r="AF613" s="89"/>
      <c r="AM613" s="89"/>
      <c r="AN613" s="199"/>
      <c r="AO613" s="89"/>
    </row>
    <row r="614" spans="3:41" ht="15.75" customHeight="1" x14ac:dyDescent="0.25"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208"/>
      <c r="P614" s="209"/>
      <c r="Q614" s="89"/>
      <c r="R614" s="89"/>
      <c r="S614" s="89"/>
      <c r="T614" s="89"/>
      <c r="U614" s="89"/>
      <c r="V614" s="89"/>
      <c r="W614" s="89"/>
      <c r="X614" s="89"/>
      <c r="Y614" s="89"/>
      <c r="Z614" s="89"/>
      <c r="AA614" s="89"/>
      <c r="AB614" s="89"/>
      <c r="AC614" s="89"/>
      <c r="AD614" s="89"/>
      <c r="AE614" s="89"/>
      <c r="AF614" s="89"/>
      <c r="AM614" s="89"/>
      <c r="AN614" s="199"/>
      <c r="AO614" s="89"/>
    </row>
    <row r="615" spans="3:41" ht="15.75" customHeight="1" x14ac:dyDescent="0.25"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208"/>
      <c r="P615" s="209"/>
      <c r="Q615" s="89"/>
      <c r="R615" s="89"/>
      <c r="S615" s="89"/>
      <c r="T615" s="89"/>
      <c r="U615" s="89"/>
      <c r="V615" s="89"/>
      <c r="W615" s="89"/>
      <c r="X615" s="89"/>
      <c r="Y615" s="89"/>
      <c r="Z615" s="89"/>
      <c r="AA615" s="89"/>
      <c r="AB615" s="89"/>
      <c r="AC615" s="89"/>
      <c r="AD615" s="89"/>
      <c r="AE615" s="89"/>
      <c r="AF615" s="89"/>
      <c r="AM615" s="89"/>
      <c r="AN615" s="199"/>
      <c r="AO615" s="89"/>
    </row>
    <row r="616" spans="3:41" ht="15.75" customHeight="1" x14ac:dyDescent="0.25"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208"/>
      <c r="P616" s="209"/>
      <c r="Q616" s="89"/>
      <c r="R616" s="89"/>
      <c r="S616" s="89"/>
      <c r="T616" s="89"/>
      <c r="U616" s="89"/>
      <c r="V616" s="89"/>
      <c r="W616" s="89"/>
      <c r="X616" s="89"/>
      <c r="Y616" s="89"/>
      <c r="Z616" s="89"/>
      <c r="AA616" s="89"/>
      <c r="AB616" s="89"/>
      <c r="AC616" s="89"/>
      <c r="AD616" s="89"/>
      <c r="AE616" s="89"/>
      <c r="AF616" s="89"/>
      <c r="AM616" s="89"/>
      <c r="AN616" s="199"/>
      <c r="AO616" s="89"/>
    </row>
    <row r="617" spans="3:41" ht="15.75" customHeight="1" x14ac:dyDescent="0.25"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208"/>
      <c r="P617" s="209"/>
      <c r="Q617" s="89"/>
      <c r="R617" s="89"/>
      <c r="S617" s="89"/>
      <c r="T617" s="89"/>
      <c r="U617" s="89"/>
      <c r="V617" s="89"/>
      <c r="W617" s="89"/>
      <c r="X617" s="89"/>
      <c r="Y617" s="89"/>
      <c r="Z617" s="89"/>
      <c r="AA617" s="89"/>
      <c r="AB617" s="89"/>
      <c r="AC617" s="89"/>
      <c r="AD617" s="89"/>
      <c r="AE617" s="89"/>
      <c r="AF617" s="89"/>
      <c r="AM617" s="89"/>
      <c r="AN617" s="199"/>
      <c r="AO617" s="89"/>
    </row>
    <row r="618" spans="3:41" ht="15.75" customHeight="1" x14ac:dyDescent="0.25"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208"/>
      <c r="P618" s="209"/>
      <c r="Q618" s="89"/>
      <c r="R618" s="89"/>
      <c r="S618" s="89"/>
      <c r="T618" s="89"/>
      <c r="U618" s="89"/>
      <c r="V618" s="89"/>
      <c r="W618" s="89"/>
      <c r="X618" s="89"/>
      <c r="Y618" s="89"/>
      <c r="Z618" s="89"/>
      <c r="AA618" s="89"/>
      <c r="AB618" s="89"/>
      <c r="AC618" s="89"/>
      <c r="AD618" s="89"/>
      <c r="AE618" s="89"/>
      <c r="AF618" s="89"/>
      <c r="AM618" s="89"/>
      <c r="AN618" s="199"/>
      <c r="AO618" s="89"/>
    </row>
    <row r="619" spans="3:41" ht="15.75" customHeight="1" x14ac:dyDescent="0.25"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208"/>
      <c r="P619" s="209"/>
      <c r="Q619" s="89"/>
      <c r="R619" s="89"/>
      <c r="S619" s="89"/>
      <c r="T619" s="89"/>
      <c r="U619" s="89"/>
      <c r="V619" s="89"/>
      <c r="W619" s="89"/>
      <c r="X619" s="89"/>
      <c r="Y619" s="89"/>
      <c r="Z619" s="89"/>
      <c r="AA619" s="89"/>
      <c r="AB619" s="89"/>
      <c r="AC619" s="89"/>
      <c r="AD619" s="89"/>
      <c r="AE619" s="89"/>
      <c r="AF619" s="89"/>
      <c r="AM619" s="89"/>
      <c r="AN619" s="199"/>
      <c r="AO619" s="89"/>
    </row>
    <row r="620" spans="3:41" ht="15.75" customHeight="1" x14ac:dyDescent="0.25"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208"/>
      <c r="P620" s="209"/>
      <c r="Q620" s="89"/>
      <c r="R620" s="89"/>
      <c r="S620" s="89"/>
      <c r="T620" s="89"/>
      <c r="U620" s="89"/>
      <c r="V620" s="89"/>
      <c r="W620" s="89"/>
      <c r="X620" s="89"/>
      <c r="Y620" s="89"/>
      <c r="Z620" s="89"/>
      <c r="AA620" s="89"/>
      <c r="AB620" s="89"/>
      <c r="AC620" s="89"/>
      <c r="AD620" s="89"/>
      <c r="AE620" s="89"/>
      <c r="AF620" s="89"/>
      <c r="AM620" s="89"/>
      <c r="AN620" s="199"/>
      <c r="AO620" s="89"/>
    </row>
    <row r="621" spans="3:41" ht="15.75" customHeight="1" x14ac:dyDescent="0.25"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208"/>
      <c r="P621" s="209"/>
      <c r="Q621" s="89"/>
      <c r="R621" s="89"/>
      <c r="S621" s="89"/>
      <c r="T621" s="89"/>
      <c r="U621" s="89"/>
      <c r="V621" s="89"/>
      <c r="W621" s="89"/>
      <c r="X621" s="89"/>
      <c r="Y621" s="89"/>
      <c r="Z621" s="89"/>
      <c r="AA621" s="89"/>
      <c r="AB621" s="89"/>
      <c r="AC621" s="89"/>
      <c r="AD621" s="89"/>
      <c r="AE621" s="89"/>
      <c r="AF621" s="89"/>
      <c r="AM621" s="89"/>
      <c r="AN621" s="199"/>
      <c r="AO621" s="89"/>
    </row>
    <row r="622" spans="3:41" ht="15.75" customHeight="1" x14ac:dyDescent="0.25"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208"/>
      <c r="P622" s="209"/>
      <c r="Q622" s="89"/>
      <c r="R622" s="89"/>
      <c r="S622" s="89"/>
      <c r="T622" s="89"/>
      <c r="U622" s="89"/>
      <c r="V622" s="89"/>
      <c r="W622" s="89"/>
      <c r="X622" s="89"/>
      <c r="Y622" s="89"/>
      <c r="Z622" s="89"/>
      <c r="AA622" s="89"/>
      <c r="AB622" s="89"/>
      <c r="AC622" s="89"/>
      <c r="AD622" s="89"/>
      <c r="AE622" s="89"/>
      <c r="AF622" s="89"/>
      <c r="AM622" s="89"/>
      <c r="AN622" s="199"/>
      <c r="AO622" s="89"/>
    </row>
    <row r="623" spans="3:41" ht="15.75" customHeight="1" x14ac:dyDescent="0.25"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208"/>
      <c r="P623" s="209"/>
      <c r="Q623" s="89"/>
      <c r="R623" s="89"/>
      <c r="S623" s="89"/>
      <c r="T623" s="89"/>
      <c r="U623" s="89"/>
      <c r="V623" s="89"/>
      <c r="W623" s="89"/>
      <c r="X623" s="89"/>
      <c r="Y623" s="89"/>
      <c r="Z623" s="89"/>
      <c r="AA623" s="89"/>
      <c r="AB623" s="89"/>
      <c r="AC623" s="89"/>
      <c r="AD623" s="89"/>
      <c r="AE623" s="89"/>
      <c r="AF623" s="89"/>
      <c r="AM623" s="89"/>
      <c r="AN623" s="199"/>
      <c r="AO623" s="89"/>
    </row>
    <row r="624" spans="3:41" ht="15.75" customHeight="1" x14ac:dyDescent="0.25"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208"/>
      <c r="P624" s="209"/>
      <c r="Q624" s="89"/>
      <c r="R624" s="89"/>
      <c r="S624" s="89"/>
      <c r="T624" s="89"/>
      <c r="U624" s="89"/>
      <c r="V624" s="89"/>
      <c r="W624" s="89"/>
      <c r="X624" s="89"/>
      <c r="Y624" s="89"/>
      <c r="Z624" s="89"/>
      <c r="AA624" s="89"/>
      <c r="AB624" s="89"/>
      <c r="AC624" s="89"/>
      <c r="AD624" s="89"/>
      <c r="AE624" s="89"/>
      <c r="AF624" s="89"/>
      <c r="AM624" s="89"/>
      <c r="AN624" s="199"/>
      <c r="AO624" s="89"/>
    </row>
    <row r="625" spans="3:41" ht="15.75" customHeight="1" x14ac:dyDescent="0.25"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208"/>
      <c r="P625" s="209"/>
      <c r="Q625" s="89"/>
      <c r="R625" s="89"/>
      <c r="S625" s="89"/>
      <c r="T625" s="89"/>
      <c r="U625" s="89"/>
      <c r="V625" s="89"/>
      <c r="W625" s="89"/>
      <c r="X625" s="89"/>
      <c r="Y625" s="89"/>
      <c r="Z625" s="89"/>
      <c r="AA625" s="89"/>
      <c r="AB625" s="89"/>
      <c r="AC625" s="89"/>
      <c r="AD625" s="89"/>
      <c r="AE625" s="89"/>
      <c r="AF625" s="89"/>
      <c r="AM625" s="89"/>
      <c r="AN625" s="199"/>
      <c r="AO625" s="89"/>
    </row>
    <row r="626" spans="3:41" ht="15.75" customHeight="1" x14ac:dyDescent="0.25"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208"/>
      <c r="P626" s="209"/>
      <c r="Q626" s="89"/>
      <c r="R626" s="89"/>
      <c r="S626" s="89"/>
      <c r="T626" s="89"/>
      <c r="U626" s="89"/>
      <c r="V626" s="89"/>
      <c r="W626" s="89"/>
      <c r="X626" s="89"/>
      <c r="Y626" s="89"/>
      <c r="Z626" s="89"/>
      <c r="AA626" s="89"/>
      <c r="AB626" s="89"/>
      <c r="AC626" s="89"/>
      <c r="AD626" s="89"/>
      <c r="AE626" s="89"/>
      <c r="AF626" s="89"/>
      <c r="AM626" s="89"/>
      <c r="AN626" s="199"/>
      <c r="AO626" s="89"/>
    </row>
    <row r="627" spans="3:41" ht="15.75" customHeight="1" x14ac:dyDescent="0.25"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208"/>
      <c r="P627" s="209"/>
      <c r="Q627" s="89"/>
      <c r="R627" s="89"/>
      <c r="S627" s="89"/>
      <c r="T627" s="89"/>
      <c r="U627" s="89"/>
      <c r="V627" s="89"/>
      <c r="W627" s="89"/>
      <c r="X627" s="89"/>
      <c r="Y627" s="89"/>
      <c r="Z627" s="89"/>
      <c r="AA627" s="89"/>
      <c r="AB627" s="89"/>
      <c r="AC627" s="89"/>
      <c r="AD627" s="89"/>
      <c r="AE627" s="89"/>
      <c r="AF627" s="89"/>
      <c r="AM627" s="89"/>
      <c r="AN627" s="199"/>
      <c r="AO627" s="89"/>
    </row>
    <row r="628" spans="3:41" ht="15.75" customHeight="1" x14ac:dyDescent="0.25"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208"/>
      <c r="P628" s="209"/>
      <c r="Q628" s="89"/>
      <c r="R628" s="89"/>
      <c r="S628" s="89"/>
      <c r="T628" s="89"/>
      <c r="U628" s="89"/>
      <c r="V628" s="89"/>
      <c r="W628" s="89"/>
      <c r="X628" s="89"/>
      <c r="Y628" s="89"/>
      <c r="Z628" s="89"/>
      <c r="AA628" s="89"/>
      <c r="AB628" s="89"/>
      <c r="AC628" s="89"/>
      <c r="AD628" s="89"/>
      <c r="AE628" s="89"/>
      <c r="AF628" s="89"/>
      <c r="AM628" s="89"/>
      <c r="AN628" s="199"/>
      <c r="AO628" s="89"/>
    </row>
    <row r="629" spans="3:41" ht="15.75" customHeight="1" x14ac:dyDescent="0.25"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208"/>
      <c r="P629" s="209"/>
      <c r="Q629" s="89"/>
      <c r="R629" s="89"/>
      <c r="S629" s="89"/>
      <c r="T629" s="89"/>
      <c r="U629" s="89"/>
      <c r="V629" s="89"/>
      <c r="W629" s="89"/>
      <c r="X629" s="89"/>
      <c r="Y629" s="89"/>
      <c r="Z629" s="89"/>
      <c r="AA629" s="89"/>
      <c r="AB629" s="89"/>
      <c r="AC629" s="89"/>
      <c r="AD629" s="89"/>
      <c r="AE629" s="89"/>
      <c r="AF629" s="89"/>
      <c r="AM629" s="89"/>
      <c r="AN629" s="199"/>
      <c r="AO629" s="89"/>
    </row>
    <row r="630" spans="3:41" ht="15.75" customHeight="1" x14ac:dyDescent="0.25"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208"/>
      <c r="P630" s="209"/>
      <c r="Q630" s="89"/>
      <c r="R630" s="89"/>
      <c r="S630" s="89"/>
      <c r="T630" s="89"/>
      <c r="U630" s="89"/>
      <c r="V630" s="89"/>
      <c r="W630" s="89"/>
      <c r="X630" s="89"/>
      <c r="Y630" s="89"/>
      <c r="Z630" s="89"/>
      <c r="AA630" s="89"/>
      <c r="AB630" s="89"/>
      <c r="AC630" s="89"/>
      <c r="AD630" s="89"/>
      <c r="AE630" s="89"/>
      <c r="AF630" s="89"/>
      <c r="AM630" s="89"/>
      <c r="AN630" s="199"/>
      <c r="AO630" s="89"/>
    </row>
    <row r="631" spans="3:41" ht="15.75" customHeight="1" x14ac:dyDescent="0.25"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208"/>
      <c r="P631" s="209"/>
      <c r="Q631" s="89"/>
      <c r="R631" s="89"/>
      <c r="S631" s="89"/>
      <c r="T631" s="89"/>
      <c r="U631" s="89"/>
      <c r="V631" s="89"/>
      <c r="W631" s="89"/>
      <c r="X631" s="89"/>
      <c r="Y631" s="89"/>
      <c r="Z631" s="89"/>
      <c r="AA631" s="89"/>
      <c r="AB631" s="89"/>
      <c r="AC631" s="89"/>
      <c r="AD631" s="89"/>
      <c r="AE631" s="89"/>
      <c r="AF631" s="89"/>
      <c r="AM631" s="89"/>
      <c r="AN631" s="199"/>
      <c r="AO631" s="89"/>
    </row>
    <row r="632" spans="3:41" ht="15.75" customHeight="1" x14ac:dyDescent="0.25"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208"/>
      <c r="P632" s="209"/>
      <c r="Q632" s="89"/>
      <c r="R632" s="89"/>
      <c r="S632" s="89"/>
      <c r="T632" s="89"/>
      <c r="U632" s="89"/>
      <c r="V632" s="89"/>
      <c r="W632" s="89"/>
      <c r="X632" s="89"/>
      <c r="Y632" s="89"/>
      <c r="Z632" s="89"/>
      <c r="AA632" s="89"/>
      <c r="AB632" s="89"/>
      <c r="AC632" s="89"/>
      <c r="AD632" s="89"/>
      <c r="AE632" s="89"/>
      <c r="AF632" s="89"/>
      <c r="AM632" s="89"/>
      <c r="AN632" s="199"/>
      <c r="AO632" s="89"/>
    </row>
    <row r="633" spans="3:41" ht="15.75" customHeight="1" x14ac:dyDescent="0.25"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208"/>
      <c r="P633" s="209"/>
      <c r="Q633" s="89"/>
      <c r="R633" s="89"/>
      <c r="S633" s="89"/>
      <c r="T633" s="89"/>
      <c r="U633" s="89"/>
      <c r="V633" s="89"/>
      <c r="W633" s="89"/>
      <c r="X633" s="89"/>
      <c r="Y633" s="89"/>
      <c r="Z633" s="89"/>
      <c r="AA633" s="89"/>
      <c r="AB633" s="89"/>
      <c r="AC633" s="89"/>
      <c r="AD633" s="89"/>
      <c r="AE633" s="89"/>
      <c r="AF633" s="89"/>
      <c r="AM633" s="89"/>
      <c r="AN633" s="199"/>
      <c r="AO633" s="89"/>
    </row>
    <row r="634" spans="3:41" ht="15.75" customHeight="1" x14ac:dyDescent="0.25"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208"/>
      <c r="P634" s="209"/>
      <c r="Q634" s="89"/>
      <c r="R634" s="89"/>
      <c r="S634" s="89"/>
      <c r="T634" s="89"/>
      <c r="U634" s="89"/>
      <c r="V634" s="89"/>
      <c r="W634" s="89"/>
      <c r="X634" s="89"/>
      <c r="Y634" s="89"/>
      <c r="Z634" s="89"/>
      <c r="AA634" s="89"/>
      <c r="AB634" s="89"/>
      <c r="AC634" s="89"/>
      <c r="AD634" s="89"/>
      <c r="AE634" s="89"/>
      <c r="AF634" s="89"/>
      <c r="AM634" s="89"/>
      <c r="AN634" s="199"/>
      <c r="AO634" s="89"/>
    </row>
    <row r="635" spans="3:41" ht="15.75" customHeight="1" x14ac:dyDescent="0.25"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208"/>
      <c r="P635" s="209"/>
      <c r="Q635" s="89"/>
      <c r="R635" s="89"/>
      <c r="S635" s="89"/>
      <c r="T635" s="89"/>
      <c r="U635" s="89"/>
      <c r="V635" s="89"/>
      <c r="W635" s="89"/>
      <c r="X635" s="89"/>
      <c r="Y635" s="89"/>
      <c r="Z635" s="89"/>
      <c r="AA635" s="89"/>
      <c r="AB635" s="89"/>
      <c r="AC635" s="89"/>
      <c r="AD635" s="89"/>
      <c r="AE635" s="89"/>
      <c r="AF635" s="89"/>
      <c r="AM635" s="89"/>
      <c r="AN635" s="199"/>
      <c r="AO635" s="89"/>
    </row>
    <row r="636" spans="3:41" ht="15.75" customHeight="1" x14ac:dyDescent="0.25"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208"/>
      <c r="P636" s="209"/>
      <c r="Q636" s="89"/>
      <c r="R636" s="89"/>
      <c r="S636" s="89"/>
      <c r="T636" s="89"/>
      <c r="U636" s="89"/>
      <c r="V636" s="89"/>
      <c r="W636" s="89"/>
      <c r="X636" s="89"/>
      <c r="Y636" s="89"/>
      <c r="Z636" s="89"/>
      <c r="AA636" s="89"/>
      <c r="AB636" s="89"/>
      <c r="AC636" s="89"/>
      <c r="AD636" s="89"/>
      <c r="AE636" s="89"/>
      <c r="AF636" s="89"/>
      <c r="AM636" s="89"/>
      <c r="AN636" s="199"/>
      <c r="AO636" s="89"/>
    </row>
    <row r="637" spans="3:41" ht="15.75" customHeight="1" x14ac:dyDescent="0.25"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208"/>
      <c r="P637" s="209"/>
      <c r="Q637" s="89"/>
      <c r="R637" s="89"/>
      <c r="S637" s="89"/>
      <c r="T637" s="89"/>
      <c r="U637" s="89"/>
      <c r="V637" s="89"/>
      <c r="W637" s="89"/>
      <c r="X637" s="89"/>
      <c r="Y637" s="89"/>
      <c r="Z637" s="89"/>
      <c r="AA637" s="89"/>
      <c r="AB637" s="89"/>
      <c r="AC637" s="89"/>
      <c r="AD637" s="89"/>
      <c r="AE637" s="89"/>
      <c r="AF637" s="89"/>
      <c r="AM637" s="89"/>
      <c r="AN637" s="199"/>
      <c r="AO637" s="89"/>
    </row>
    <row r="638" spans="3:41" ht="15.75" customHeight="1" x14ac:dyDescent="0.25"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208"/>
      <c r="P638" s="209"/>
      <c r="Q638" s="89"/>
      <c r="R638" s="89"/>
      <c r="S638" s="89"/>
      <c r="T638" s="89"/>
      <c r="U638" s="89"/>
      <c r="V638" s="89"/>
      <c r="W638" s="89"/>
      <c r="X638" s="89"/>
      <c r="Y638" s="89"/>
      <c r="Z638" s="89"/>
      <c r="AA638" s="89"/>
      <c r="AB638" s="89"/>
      <c r="AC638" s="89"/>
      <c r="AD638" s="89"/>
      <c r="AE638" s="89"/>
      <c r="AF638" s="89"/>
      <c r="AM638" s="89"/>
      <c r="AN638" s="199"/>
      <c r="AO638" s="89"/>
    </row>
    <row r="639" spans="3:41" ht="15.75" customHeight="1" x14ac:dyDescent="0.25"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208"/>
      <c r="P639" s="209"/>
      <c r="Q639" s="89"/>
      <c r="R639" s="89"/>
      <c r="S639" s="89"/>
      <c r="T639" s="89"/>
      <c r="U639" s="89"/>
      <c r="V639" s="89"/>
      <c r="W639" s="89"/>
      <c r="X639" s="89"/>
      <c r="Y639" s="89"/>
      <c r="Z639" s="89"/>
      <c r="AA639" s="89"/>
      <c r="AB639" s="89"/>
      <c r="AC639" s="89"/>
      <c r="AD639" s="89"/>
      <c r="AE639" s="89"/>
      <c r="AF639" s="89"/>
      <c r="AM639" s="89"/>
      <c r="AN639" s="199"/>
      <c r="AO639" s="89"/>
    </row>
    <row r="640" spans="3:41" ht="15.75" customHeight="1" x14ac:dyDescent="0.25"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208"/>
      <c r="P640" s="209"/>
      <c r="Q640" s="89"/>
      <c r="R640" s="89"/>
      <c r="S640" s="89"/>
      <c r="T640" s="89"/>
      <c r="U640" s="89"/>
      <c r="V640" s="89"/>
      <c r="W640" s="89"/>
      <c r="X640" s="89"/>
      <c r="Y640" s="89"/>
      <c r="Z640" s="89"/>
      <c r="AA640" s="89"/>
      <c r="AB640" s="89"/>
      <c r="AC640" s="89"/>
      <c r="AD640" s="89"/>
      <c r="AE640" s="89"/>
      <c r="AF640" s="89"/>
      <c r="AM640" s="89"/>
      <c r="AN640" s="199"/>
      <c r="AO640" s="89"/>
    </row>
    <row r="641" spans="3:41" ht="15.75" customHeight="1" x14ac:dyDescent="0.25"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208"/>
      <c r="P641" s="209"/>
      <c r="Q641" s="89"/>
      <c r="R641" s="89"/>
      <c r="S641" s="89"/>
      <c r="T641" s="89"/>
      <c r="U641" s="89"/>
      <c r="V641" s="89"/>
      <c r="W641" s="89"/>
      <c r="X641" s="89"/>
      <c r="Y641" s="89"/>
      <c r="Z641" s="89"/>
      <c r="AA641" s="89"/>
      <c r="AB641" s="89"/>
      <c r="AC641" s="89"/>
      <c r="AD641" s="89"/>
      <c r="AE641" s="89"/>
      <c r="AF641" s="89"/>
      <c r="AM641" s="89"/>
      <c r="AN641" s="199"/>
      <c r="AO641" s="89"/>
    </row>
    <row r="642" spans="3:41" ht="15.75" customHeight="1" x14ac:dyDescent="0.25"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208"/>
      <c r="P642" s="209"/>
      <c r="Q642" s="89"/>
      <c r="R642" s="89"/>
      <c r="S642" s="89"/>
      <c r="T642" s="89"/>
      <c r="U642" s="89"/>
      <c r="V642" s="89"/>
      <c r="W642" s="89"/>
      <c r="X642" s="89"/>
      <c r="Y642" s="89"/>
      <c r="Z642" s="89"/>
      <c r="AA642" s="89"/>
      <c r="AB642" s="89"/>
      <c r="AC642" s="89"/>
      <c r="AD642" s="89"/>
      <c r="AE642" s="89"/>
      <c r="AF642" s="89"/>
      <c r="AM642" s="89"/>
      <c r="AN642" s="199"/>
      <c r="AO642" s="89"/>
    </row>
    <row r="643" spans="3:41" ht="15.75" customHeight="1" x14ac:dyDescent="0.25"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208"/>
      <c r="P643" s="209"/>
      <c r="Q643" s="89"/>
      <c r="R643" s="89"/>
      <c r="S643" s="89"/>
      <c r="T643" s="89"/>
      <c r="U643" s="89"/>
      <c r="V643" s="89"/>
      <c r="W643" s="89"/>
      <c r="X643" s="89"/>
      <c r="Y643" s="89"/>
      <c r="Z643" s="89"/>
      <c r="AA643" s="89"/>
      <c r="AB643" s="89"/>
      <c r="AC643" s="89"/>
      <c r="AD643" s="89"/>
      <c r="AE643" s="89"/>
      <c r="AF643" s="89"/>
      <c r="AM643" s="89"/>
      <c r="AN643" s="199"/>
      <c r="AO643" s="89"/>
    </row>
    <row r="644" spans="3:41" ht="15.75" customHeight="1" x14ac:dyDescent="0.25"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208"/>
      <c r="P644" s="209"/>
      <c r="Q644" s="89"/>
      <c r="R644" s="89"/>
      <c r="S644" s="89"/>
      <c r="T644" s="89"/>
      <c r="U644" s="89"/>
      <c r="V644" s="89"/>
      <c r="W644" s="89"/>
      <c r="X644" s="89"/>
      <c r="Y644" s="89"/>
      <c r="Z644" s="89"/>
      <c r="AA644" s="89"/>
      <c r="AB644" s="89"/>
      <c r="AC644" s="89"/>
      <c r="AD644" s="89"/>
      <c r="AE644" s="89"/>
      <c r="AF644" s="89"/>
      <c r="AM644" s="89"/>
      <c r="AN644" s="199"/>
      <c r="AO644" s="89"/>
    </row>
    <row r="645" spans="3:41" ht="15.75" customHeight="1" x14ac:dyDescent="0.25"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208"/>
      <c r="P645" s="209"/>
      <c r="Q645" s="89"/>
      <c r="R645" s="89"/>
      <c r="S645" s="89"/>
      <c r="T645" s="89"/>
      <c r="U645" s="89"/>
      <c r="V645" s="89"/>
      <c r="W645" s="89"/>
      <c r="X645" s="89"/>
      <c r="Y645" s="89"/>
      <c r="Z645" s="89"/>
      <c r="AA645" s="89"/>
      <c r="AB645" s="89"/>
      <c r="AC645" s="89"/>
      <c r="AD645" s="89"/>
      <c r="AE645" s="89"/>
      <c r="AF645" s="89"/>
      <c r="AM645" s="89"/>
      <c r="AN645" s="199"/>
      <c r="AO645" s="89"/>
    </row>
    <row r="646" spans="3:41" ht="15.75" customHeight="1" x14ac:dyDescent="0.25"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208"/>
      <c r="P646" s="209"/>
      <c r="Q646" s="89"/>
      <c r="R646" s="89"/>
      <c r="S646" s="89"/>
      <c r="T646" s="89"/>
      <c r="U646" s="89"/>
      <c r="V646" s="89"/>
      <c r="W646" s="89"/>
      <c r="X646" s="89"/>
      <c r="Y646" s="89"/>
      <c r="Z646" s="89"/>
      <c r="AA646" s="89"/>
      <c r="AB646" s="89"/>
      <c r="AC646" s="89"/>
      <c r="AD646" s="89"/>
      <c r="AE646" s="89"/>
      <c r="AF646" s="89"/>
      <c r="AM646" s="89"/>
      <c r="AN646" s="199"/>
      <c r="AO646" s="89"/>
    </row>
    <row r="647" spans="3:41" ht="15.75" customHeight="1" x14ac:dyDescent="0.25"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208"/>
      <c r="P647" s="209"/>
      <c r="Q647" s="89"/>
      <c r="R647" s="89"/>
      <c r="S647" s="89"/>
      <c r="T647" s="89"/>
      <c r="U647" s="89"/>
      <c r="V647" s="89"/>
      <c r="W647" s="89"/>
      <c r="X647" s="89"/>
      <c r="Y647" s="89"/>
      <c r="Z647" s="89"/>
      <c r="AA647" s="89"/>
      <c r="AB647" s="89"/>
      <c r="AC647" s="89"/>
      <c r="AD647" s="89"/>
      <c r="AE647" s="89"/>
      <c r="AF647" s="89"/>
      <c r="AM647" s="89"/>
      <c r="AN647" s="199"/>
      <c r="AO647" s="89"/>
    </row>
    <row r="648" spans="3:41" ht="15.75" customHeight="1" x14ac:dyDescent="0.25"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208"/>
      <c r="P648" s="209"/>
      <c r="Q648" s="89"/>
      <c r="R648" s="89"/>
      <c r="S648" s="89"/>
      <c r="T648" s="89"/>
      <c r="U648" s="89"/>
      <c r="V648" s="89"/>
      <c r="W648" s="89"/>
      <c r="X648" s="89"/>
      <c r="Y648" s="89"/>
      <c r="Z648" s="89"/>
      <c r="AA648" s="89"/>
      <c r="AB648" s="89"/>
      <c r="AC648" s="89"/>
      <c r="AD648" s="89"/>
      <c r="AE648" s="89"/>
      <c r="AF648" s="89"/>
      <c r="AM648" s="89"/>
      <c r="AN648" s="199"/>
      <c r="AO648" s="89"/>
    </row>
    <row r="649" spans="3:41" ht="15.75" customHeight="1" x14ac:dyDescent="0.25"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208"/>
      <c r="P649" s="20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M649" s="89"/>
      <c r="AN649" s="199"/>
      <c r="AO649" s="89"/>
    </row>
    <row r="650" spans="3:41" ht="15.75" customHeight="1" x14ac:dyDescent="0.25"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208"/>
      <c r="P650" s="209"/>
      <c r="Q650" s="89"/>
      <c r="R650" s="89"/>
      <c r="S650" s="89"/>
      <c r="T650" s="89"/>
      <c r="U650" s="89"/>
      <c r="V650" s="89"/>
      <c r="W650" s="89"/>
      <c r="X650" s="89"/>
      <c r="Y650" s="89"/>
      <c r="Z650" s="89"/>
      <c r="AA650" s="89"/>
      <c r="AB650" s="89"/>
      <c r="AC650" s="89"/>
      <c r="AD650" s="89"/>
      <c r="AE650" s="89"/>
      <c r="AF650" s="89"/>
      <c r="AM650" s="89"/>
      <c r="AN650" s="199"/>
      <c r="AO650" s="89"/>
    </row>
    <row r="651" spans="3:41" ht="15.75" customHeight="1" x14ac:dyDescent="0.25"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208"/>
      <c r="P651" s="209"/>
      <c r="Q651" s="89"/>
      <c r="R651" s="89"/>
      <c r="S651" s="89"/>
      <c r="T651" s="89"/>
      <c r="U651" s="89"/>
      <c r="V651" s="89"/>
      <c r="W651" s="89"/>
      <c r="X651" s="89"/>
      <c r="Y651" s="89"/>
      <c r="Z651" s="89"/>
      <c r="AA651" s="89"/>
      <c r="AB651" s="89"/>
      <c r="AC651" s="89"/>
      <c r="AD651" s="89"/>
      <c r="AE651" s="89"/>
      <c r="AF651" s="89"/>
      <c r="AM651" s="89"/>
      <c r="AN651" s="199"/>
      <c r="AO651" s="89"/>
    </row>
    <row r="652" spans="3:41" ht="15.75" customHeight="1" x14ac:dyDescent="0.25"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208"/>
      <c r="P652" s="209"/>
      <c r="Q652" s="89"/>
      <c r="R652" s="89"/>
      <c r="S652" s="89"/>
      <c r="T652" s="89"/>
      <c r="U652" s="89"/>
      <c r="V652" s="89"/>
      <c r="W652" s="89"/>
      <c r="X652" s="89"/>
      <c r="Y652" s="89"/>
      <c r="Z652" s="89"/>
      <c r="AA652" s="89"/>
      <c r="AB652" s="89"/>
      <c r="AC652" s="89"/>
      <c r="AD652" s="89"/>
      <c r="AE652" s="89"/>
      <c r="AF652" s="89"/>
      <c r="AM652" s="89"/>
      <c r="AN652" s="199"/>
      <c r="AO652" s="89"/>
    </row>
    <row r="653" spans="3:41" ht="15.75" customHeight="1" x14ac:dyDescent="0.25"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208"/>
      <c r="P653" s="209"/>
      <c r="Q653" s="89"/>
      <c r="R653" s="89"/>
      <c r="S653" s="89"/>
      <c r="T653" s="89"/>
      <c r="U653" s="89"/>
      <c r="V653" s="89"/>
      <c r="W653" s="89"/>
      <c r="X653" s="89"/>
      <c r="Y653" s="89"/>
      <c r="Z653" s="89"/>
      <c r="AA653" s="89"/>
      <c r="AB653" s="89"/>
      <c r="AC653" s="89"/>
      <c r="AD653" s="89"/>
      <c r="AE653" s="89"/>
      <c r="AF653" s="89"/>
      <c r="AM653" s="89"/>
      <c r="AN653" s="199"/>
      <c r="AO653" s="89"/>
    </row>
    <row r="654" spans="3:41" ht="15.75" customHeight="1" x14ac:dyDescent="0.25"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208"/>
      <c r="P654" s="209"/>
      <c r="Q654" s="89"/>
      <c r="R654" s="89"/>
      <c r="S654" s="89"/>
      <c r="T654" s="89"/>
      <c r="U654" s="89"/>
      <c r="V654" s="89"/>
      <c r="W654" s="89"/>
      <c r="X654" s="89"/>
      <c r="Y654" s="89"/>
      <c r="Z654" s="89"/>
      <c r="AA654" s="89"/>
      <c r="AB654" s="89"/>
      <c r="AC654" s="89"/>
      <c r="AD654" s="89"/>
      <c r="AE654" s="89"/>
      <c r="AF654" s="89"/>
      <c r="AM654" s="89"/>
      <c r="AN654" s="199"/>
      <c r="AO654" s="89"/>
    </row>
    <row r="655" spans="3:41" ht="15.75" customHeight="1" x14ac:dyDescent="0.25"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208"/>
      <c r="P655" s="209"/>
      <c r="Q655" s="89"/>
      <c r="R655" s="89"/>
      <c r="S655" s="89"/>
      <c r="T655" s="89"/>
      <c r="U655" s="89"/>
      <c r="V655" s="89"/>
      <c r="W655" s="89"/>
      <c r="X655" s="89"/>
      <c r="Y655" s="89"/>
      <c r="Z655" s="89"/>
      <c r="AA655" s="89"/>
      <c r="AB655" s="89"/>
      <c r="AC655" s="89"/>
      <c r="AD655" s="89"/>
      <c r="AE655" s="89"/>
      <c r="AF655" s="89"/>
      <c r="AM655" s="89"/>
      <c r="AN655" s="199"/>
      <c r="AO655" s="89"/>
    </row>
    <row r="656" spans="3:41" ht="15.75" customHeight="1" x14ac:dyDescent="0.25"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208"/>
      <c r="P656" s="209"/>
      <c r="Q656" s="89"/>
      <c r="R656" s="89"/>
      <c r="S656" s="89"/>
      <c r="T656" s="89"/>
      <c r="U656" s="89"/>
      <c r="V656" s="89"/>
      <c r="W656" s="89"/>
      <c r="X656" s="89"/>
      <c r="Y656" s="89"/>
      <c r="Z656" s="89"/>
      <c r="AA656" s="89"/>
      <c r="AB656" s="89"/>
      <c r="AC656" s="89"/>
      <c r="AD656" s="89"/>
      <c r="AE656" s="89"/>
      <c r="AF656" s="89"/>
      <c r="AM656" s="89"/>
      <c r="AN656" s="199"/>
      <c r="AO656" s="89"/>
    </row>
    <row r="657" spans="3:41" ht="15.75" customHeight="1" x14ac:dyDescent="0.25"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208"/>
      <c r="P657" s="209"/>
      <c r="Q657" s="89"/>
      <c r="R657" s="89"/>
      <c r="S657" s="89"/>
      <c r="T657" s="89"/>
      <c r="U657" s="89"/>
      <c r="V657" s="89"/>
      <c r="W657" s="89"/>
      <c r="X657" s="89"/>
      <c r="Y657" s="89"/>
      <c r="Z657" s="89"/>
      <c r="AA657" s="89"/>
      <c r="AB657" s="89"/>
      <c r="AC657" s="89"/>
      <c r="AD657" s="89"/>
      <c r="AE657" s="89"/>
      <c r="AF657" s="89"/>
      <c r="AM657" s="89"/>
      <c r="AN657" s="199"/>
      <c r="AO657" s="89"/>
    </row>
    <row r="658" spans="3:41" ht="15.75" customHeight="1" x14ac:dyDescent="0.25"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208"/>
      <c r="P658" s="209"/>
      <c r="Q658" s="89"/>
      <c r="R658" s="89"/>
      <c r="S658" s="89"/>
      <c r="T658" s="89"/>
      <c r="U658" s="89"/>
      <c r="V658" s="89"/>
      <c r="W658" s="89"/>
      <c r="X658" s="89"/>
      <c r="Y658" s="89"/>
      <c r="Z658" s="89"/>
      <c r="AA658" s="89"/>
      <c r="AB658" s="89"/>
      <c r="AC658" s="89"/>
      <c r="AD658" s="89"/>
      <c r="AE658" s="89"/>
      <c r="AF658" s="89"/>
      <c r="AM658" s="89"/>
      <c r="AN658" s="199"/>
      <c r="AO658" s="89"/>
    </row>
    <row r="659" spans="3:41" ht="15.75" customHeight="1" x14ac:dyDescent="0.25"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208"/>
      <c r="P659" s="209"/>
      <c r="Q659" s="89"/>
      <c r="R659" s="89"/>
      <c r="S659" s="89"/>
      <c r="T659" s="89"/>
      <c r="U659" s="89"/>
      <c r="V659" s="89"/>
      <c r="W659" s="89"/>
      <c r="X659" s="89"/>
      <c r="Y659" s="89"/>
      <c r="Z659" s="89"/>
      <c r="AA659" s="89"/>
      <c r="AB659" s="89"/>
      <c r="AC659" s="89"/>
      <c r="AD659" s="89"/>
      <c r="AE659" s="89"/>
      <c r="AF659" s="89"/>
      <c r="AM659" s="89"/>
      <c r="AN659" s="199"/>
      <c r="AO659" s="89"/>
    </row>
    <row r="660" spans="3:41" ht="15.75" customHeight="1" x14ac:dyDescent="0.25"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208"/>
      <c r="P660" s="209"/>
      <c r="Q660" s="89"/>
      <c r="R660" s="89"/>
      <c r="S660" s="89"/>
      <c r="T660" s="89"/>
      <c r="U660" s="89"/>
      <c r="V660" s="89"/>
      <c r="W660" s="89"/>
      <c r="X660" s="89"/>
      <c r="Y660" s="89"/>
      <c r="Z660" s="89"/>
      <c r="AA660" s="89"/>
      <c r="AB660" s="89"/>
      <c r="AC660" s="89"/>
      <c r="AD660" s="89"/>
      <c r="AE660" s="89"/>
      <c r="AF660" s="89"/>
      <c r="AM660" s="89"/>
      <c r="AN660" s="199"/>
      <c r="AO660" s="89"/>
    </row>
    <row r="661" spans="3:41" ht="15.75" customHeight="1" x14ac:dyDescent="0.25"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208"/>
      <c r="P661" s="209"/>
      <c r="Q661" s="89"/>
      <c r="R661" s="89"/>
      <c r="S661" s="89"/>
      <c r="T661" s="89"/>
      <c r="U661" s="89"/>
      <c r="V661" s="89"/>
      <c r="W661" s="89"/>
      <c r="X661" s="89"/>
      <c r="Y661" s="89"/>
      <c r="Z661" s="89"/>
      <c r="AA661" s="89"/>
      <c r="AB661" s="89"/>
      <c r="AC661" s="89"/>
      <c r="AD661" s="89"/>
      <c r="AE661" s="89"/>
      <c r="AF661" s="89"/>
      <c r="AM661" s="89"/>
      <c r="AN661" s="199"/>
      <c r="AO661" s="89"/>
    </row>
    <row r="662" spans="3:41" ht="15.75" customHeight="1" x14ac:dyDescent="0.25"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208"/>
      <c r="P662" s="209"/>
      <c r="Q662" s="89"/>
      <c r="R662" s="89"/>
      <c r="S662" s="89"/>
      <c r="T662" s="89"/>
      <c r="U662" s="89"/>
      <c r="V662" s="89"/>
      <c r="W662" s="89"/>
      <c r="X662" s="89"/>
      <c r="Y662" s="89"/>
      <c r="Z662" s="89"/>
      <c r="AA662" s="89"/>
      <c r="AB662" s="89"/>
      <c r="AC662" s="89"/>
      <c r="AD662" s="89"/>
      <c r="AE662" s="89"/>
      <c r="AF662" s="89"/>
      <c r="AM662" s="89"/>
      <c r="AN662" s="199"/>
      <c r="AO662" s="89"/>
    </row>
    <row r="663" spans="3:41" ht="15.75" customHeight="1" x14ac:dyDescent="0.25"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208"/>
      <c r="P663" s="209"/>
      <c r="Q663" s="89"/>
      <c r="R663" s="89"/>
      <c r="S663" s="89"/>
      <c r="T663" s="89"/>
      <c r="U663" s="89"/>
      <c r="V663" s="89"/>
      <c r="W663" s="89"/>
      <c r="X663" s="89"/>
      <c r="Y663" s="89"/>
      <c r="Z663" s="89"/>
      <c r="AA663" s="89"/>
      <c r="AB663" s="89"/>
      <c r="AC663" s="89"/>
      <c r="AD663" s="89"/>
      <c r="AE663" s="89"/>
      <c r="AF663" s="89"/>
      <c r="AM663" s="89"/>
      <c r="AN663" s="199"/>
      <c r="AO663" s="89"/>
    </row>
    <row r="664" spans="3:41" ht="15.75" customHeight="1" x14ac:dyDescent="0.25"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208"/>
      <c r="P664" s="209"/>
      <c r="Q664" s="89"/>
      <c r="R664" s="89"/>
      <c r="S664" s="89"/>
      <c r="T664" s="89"/>
      <c r="U664" s="89"/>
      <c r="V664" s="89"/>
      <c r="W664" s="89"/>
      <c r="X664" s="89"/>
      <c r="Y664" s="89"/>
      <c r="Z664" s="89"/>
      <c r="AA664" s="89"/>
      <c r="AB664" s="89"/>
      <c r="AC664" s="89"/>
      <c r="AD664" s="89"/>
      <c r="AE664" s="89"/>
      <c r="AF664" s="89"/>
      <c r="AM664" s="89"/>
      <c r="AN664" s="199"/>
      <c r="AO664" s="89"/>
    </row>
    <row r="665" spans="3:41" ht="15.75" customHeight="1" x14ac:dyDescent="0.25"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208"/>
      <c r="P665" s="209"/>
      <c r="Q665" s="89"/>
      <c r="R665" s="89"/>
      <c r="S665" s="89"/>
      <c r="T665" s="89"/>
      <c r="U665" s="89"/>
      <c r="V665" s="89"/>
      <c r="W665" s="89"/>
      <c r="X665" s="89"/>
      <c r="Y665" s="89"/>
      <c r="Z665" s="89"/>
      <c r="AA665" s="89"/>
      <c r="AB665" s="89"/>
      <c r="AC665" s="89"/>
      <c r="AD665" s="89"/>
      <c r="AE665" s="89"/>
      <c r="AF665" s="89"/>
      <c r="AM665" s="89"/>
      <c r="AN665" s="199"/>
      <c r="AO665" s="89"/>
    </row>
    <row r="666" spans="3:41" ht="15.75" customHeight="1" x14ac:dyDescent="0.25"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208"/>
      <c r="P666" s="209"/>
      <c r="Q666" s="89"/>
      <c r="R666" s="89"/>
      <c r="S666" s="89"/>
      <c r="T666" s="89"/>
      <c r="U666" s="89"/>
      <c r="V666" s="89"/>
      <c r="W666" s="89"/>
      <c r="X666" s="89"/>
      <c r="Y666" s="89"/>
      <c r="Z666" s="89"/>
      <c r="AA666" s="89"/>
      <c r="AB666" s="89"/>
      <c r="AC666" s="89"/>
      <c r="AD666" s="89"/>
      <c r="AE666" s="89"/>
      <c r="AF666" s="89"/>
      <c r="AM666" s="89"/>
      <c r="AN666" s="199"/>
      <c r="AO666" s="89"/>
    </row>
    <row r="667" spans="3:41" ht="15.75" customHeight="1" x14ac:dyDescent="0.25"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208"/>
      <c r="P667" s="209"/>
      <c r="Q667" s="89"/>
      <c r="R667" s="89"/>
      <c r="S667" s="89"/>
      <c r="T667" s="89"/>
      <c r="U667" s="89"/>
      <c r="V667" s="89"/>
      <c r="W667" s="89"/>
      <c r="X667" s="89"/>
      <c r="Y667" s="89"/>
      <c r="Z667" s="89"/>
      <c r="AA667" s="89"/>
      <c r="AB667" s="89"/>
      <c r="AC667" s="89"/>
      <c r="AD667" s="89"/>
      <c r="AE667" s="89"/>
      <c r="AF667" s="89"/>
      <c r="AM667" s="89"/>
      <c r="AN667" s="199"/>
      <c r="AO667" s="89"/>
    </row>
    <row r="668" spans="3:41" ht="15.75" customHeight="1" x14ac:dyDescent="0.25"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208"/>
      <c r="P668" s="209"/>
      <c r="Q668" s="89"/>
      <c r="R668" s="89"/>
      <c r="S668" s="89"/>
      <c r="T668" s="89"/>
      <c r="U668" s="89"/>
      <c r="V668" s="89"/>
      <c r="W668" s="89"/>
      <c r="X668" s="89"/>
      <c r="Y668" s="89"/>
      <c r="Z668" s="89"/>
      <c r="AA668" s="89"/>
      <c r="AB668" s="89"/>
      <c r="AC668" s="89"/>
      <c r="AD668" s="89"/>
      <c r="AE668" s="89"/>
      <c r="AF668" s="89"/>
      <c r="AM668" s="89"/>
      <c r="AN668" s="199"/>
      <c r="AO668" s="89"/>
    </row>
    <row r="669" spans="3:41" ht="15.75" customHeight="1" x14ac:dyDescent="0.25"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208"/>
      <c r="P669" s="209"/>
      <c r="Q669" s="89"/>
      <c r="R669" s="89"/>
      <c r="S669" s="89"/>
      <c r="T669" s="89"/>
      <c r="U669" s="89"/>
      <c r="V669" s="89"/>
      <c r="W669" s="89"/>
      <c r="X669" s="89"/>
      <c r="Y669" s="89"/>
      <c r="Z669" s="89"/>
      <c r="AA669" s="89"/>
      <c r="AB669" s="89"/>
      <c r="AC669" s="89"/>
      <c r="AD669" s="89"/>
      <c r="AE669" s="89"/>
      <c r="AF669" s="89"/>
      <c r="AM669" s="89"/>
      <c r="AN669" s="199"/>
      <c r="AO669" s="89"/>
    </row>
    <row r="670" spans="3:41" ht="15.75" customHeight="1" x14ac:dyDescent="0.25"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208"/>
      <c r="P670" s="209"/>
      <c r="Q670" s="89"/>
      <c r="R670" s="89"/>
      <c r="S670" s="89"/>
      <c r="T670" s="89"/>
      <c r="U670" s="89"/>
      <c r="V670" s="89"/>
      <c r="W670" s="89"/>
      <c r="X670" s="89"/>
      <c r="Y670" s="89"/>
      <c r="Z670" s="89"/>
      <c r="AA670" s="89"/>
      <c r="AB670" s="89"/>
      <c r="AC670" s="89"/>
      <c r="AD670" s="89"/>
      <c r="AE670" s="89"/>
      <c r="AF670" s="89"/>
      <c r="AM670" s="89"/>
      <c r="AN670" s="199"/>
      <c r="AO670" s="89"/>
    </row>
    <row r="671" spans="3:41" ht="15.75" customHeight="1" x14ac:dyDescent="0.25"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208"/>
      <c r="P671" s="209"/>
      <c r="Q671" s="89"/>
      <c r="R671" s="89"/>
      <c r="S671" s="89"/>
      <c r="T671" s="89"/>
      <c r="U671" s="89"/>
      <c r="V671" s="89"/>
      <c r="W671" s="89"/>
      <c r="X671" s="89"/>
      <c r="Y671" s="89"/>
      <c r="Z671" s="89"/>
      <c r="AA671" s="89"/>
      <c r="AB671" s="89"/>
      <c r="AC671" s="89"/>
      <c r="AD671" s="89"/>
      <c r="AE671" s="89"/>
      <c r="AF671" s="89"/>
      <c r="AM671" s="89"/>
      <c r="AN671" s="199"/>
      <c r="AO671" s="89"/>
    </row>
    <row r="672" spans="3:41" ht="15.75" customHeight="1" x14ac:dyDescent="0.25"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208"/>
      <c r="P672" s="209"/>
      <c r="Q672" s="89"/>
      <c r="R672" s="89"/>
      <c r="S672" s="89"/>
      <c r="T672" s="89"/>
      <c r="U672" s="89"/>
      <c r="V672" s="89"/>
      <c r="W672" s="89"/>
      <c r="X672" s="89"/>
      <c r="Y672" s="89"/>
      <c r="Z672" s="89"/>
      <c r="AA672" s="89"/>
      <c r="AB672" s="89"/>
      <c r="AC672" s="89"/>
      <c r="AD672" s="89"/>
      <c r="AE672" s="89"/>
      <c r="AF672" s="89"/>
      <c r="AM672" s="89"/>
      <c r="AN672" s="199"/>
      <c r="AO672" s="89"/>
    </row>
    <row r="673" spans="3:41" ht="15.75" customHeight="1" x14ac:dyDescent="0.25"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208"/>
      <c r="P673" s="209"/>
      <c r="Q673" s="89"/>
      <c r="R673" s="89"/>
      <c r="S673" s="89"/>
      <c r="T673" s="89"/>
      <c r="U673" s="89"/>
      <c r="V673" s="89"/>
      <c r="W673" s="89"/>
      <c r="X673" s="89"/>
      <c r="Y673" s="89"/>
      <c r="Z673" s="89"/>
      <c r="AA673" s="89"/>
      <c r="AB673" s="89"/>
      <c r="AC673" s="89"/>
      <c r="AD673" s="89"/>
      <c r="AE673" s="89"/>
      <c r="AF673" s="89"/>
      <c r="AM673" s="89"/>
      <c r="AN673" s="199"/>
      <c r="AO673" s="89"/>
    </row>
    <row r="674" spans="3:41" ht="15.75" customHeight="1" x14ac:dyDescent="0.25"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208"/>
      <c r="P674" s="209"/>
      <c r="Q674" s="89"/>
      <c r="R674" s="89"/>
      <c r="S674" s="89"/>
      <c r="T674" s="89"/>
      <c r="U674" s="89"/>
      <c r="V674" s="89"/>
      <c r="W674" s="89"/>
      <c r="X674" s="89"/>
      <c r="Y674" s="89"/>
      <c r="Z674" s="89"/>
      <c r="AA674" s="89"/>
      <c r="AB674" s="89"/>
      <c r="AC674" s="89"/>
      <c r="AD674" s="89"/>
      <c r="AE674" s="89"/>
      <c r="AF674" s="89"/>
      <c r="AM674" s="89"/>
      <c r="AN674" s="199"/>
      <c r="AO674" s="89"/>
    </row>
    <row r="675" spans="3:41" ht="15.75" customHeight="1" x14ac:dyDescent="0.25"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208"/>
      <c r="P675" s="209"/>
      <c r="Q675" s="89"/>
      <c r="R675" s="89"/>
      <c r="S675" s="89"/>
      <c r="T675" s="89"/>
      <c r="U675" s="89"/>
      <c r="V675" s="89"/>
      <c r="W675" s="89"/>
      <c r="X675" s="89"/>
      <c r="Y675" s="89"/>
      <c r="Z675" s="89"/>
      <c r="AA675" s="89"/>
      <c r="AB675" s="89"/>
      <c r="AC675" s="89"/>
      <c r="AD675" s="89"/>
      <c r="AE675" s="89"/>
      <c r="AF675" s="89"/>
      <c r="AM675" s="89"/>
      <c r="AN675" s="199"/>
      <c r="AO675" s="89"/>
    </row>
    <row r="676" spans="3:41" ht="15.75" customHeight="1" x14ac:dyDescent="0.25"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208"/>
      <c r="P676" s="209"/>
      <c r="Q676" s="89"/>
      <c r="R676" s="89"/>
      <c r="S676" s="89"/>
      <c r="T676" s="89"/>
      <c r="U676" s="89"/>
      <c r="V676" s="89"/>
      <c r="W676" s="89"/>
      <c r="X676" s="89"/>
      <c r="Y676" s="89"/>
      <c r="Z676" s="89"/>
      <c r="AA676" s="89"/>
      <c r="AB676" s="89"/>
      <c r="AC676" s="89"/>
      <c r="AD676" s="89"/>
      <c r="AE676" s="89"/>
      <c r="AF676" s="89"/>
      <c r="AM676" s="89"/>
      <c r="AN676" s="199"/>
      <c r="AO676" s="89"/>
    </row>
    <row r="677" spans="3:41" ht="15.75" customHeight="1" x14ac:dyDescent="0.25"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208"/>
      <c r="P677" s="209"/>
      <c r="Q677" s="89"/>
      <c r="R677" s="89"/>
      <c r="S677" s="89"/>
      <c r="T677" s="89"/>
      <c r="U677" s="89"/>
      <c r="V677" s="89"/>
      <c r="W677" s="89"/>
      <c r="X677" s="89"/>
      <c r="Y677" s="89"/>
      <c r="Z677" s="89"/>
      <c r="AA677" s="89"/>
      <c r="AB677" s="89"/>
      <c r="AC677" s="89"/>
      <c r="AD677" s="89"/>
      <c r="AE677" s="89"/>
      <c r="AF677" s="89"/>
      <c r="AM677" s="89"/>
      <c r="AN677" s="199"/>
      <c r="AO677" s="89"/>
    </row>
    <row r="678" spans="3:41" ht="15.75" customHeight="1" x14ac:dyDescent="0.25"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208"/>
      <c r="P678" s="209"/>
      <c r="Q678" s="89"/>
      <c r="R678" s="89"/>
      <c r="S678" s="89"/>
      <c r="T678" s="89"/>
      <c r="U678" s="89"/>
      <c r="V678" s="89"/>
      <c r="W678" s="89"/>
      <c r="X678" s="89"/>
      <c r="Y678" s="89"/>
      <c r="Z678" s="89"/>
      <c r="AA678" s="89"/>
      <c r="AB678" s="89"/>
      <c r="AC678" s="89"/>
      <c r="AD678" s="89"/>
      <c r="AE678" s="89"/>
      <c r="AF678" s="89"/>
      <c r="AM678" s="89"/>
      <c r="AN678" s="199"/>
      <c r="AO678" s="89"/>
    </row>
    <row r="679" spans="3:41" ht="15.75" customHeight="1" x14ac:dyDescent="0.25"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208"/>
      <c r="P679" s="209"/>
      <c r="Q679" s="89"/>
      <c r="R679" s="89"/>
      <c r="S679" s="89"/>
      <c r="T679" s="89"/>
      <c r="U679" s="89"/>
      <c r="V679" s="89"/>
      <c r="W679" s="89"/>
      <c r="X679" s="89"/>
      <c r="Y679" s="89"/>
      <c r="Z679" s="89"/>
      <c r="AA679" s="89"/>
      <c r="AB679" s="89"/>
      <c r="AC679" s="89"/>
      <c r="AD679" s="89"/>
      <c r="AE679" s="89"/>
      <c r="AF679" s="89"/>
      <c r="AM679" s="89"/>
      <c r="AN679" s="199"/>
      <c r="AO679" s="89"/>
    </row>
    <row r="680" spans="3:41" ht="15.75" customHeight="1" x14ac:dyDescent="0.25"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208"/>
      <c r="P680" s="209"/>
      <c r="Q680" s="89"/>
      <c r="R680" s="89"/>
      <c r="S680" s="89"/>
      <c r="T680" s="89"/>
      <c r="U680" s="89"/>
      <c r="V680" s="89"/>
      <c r="W680" s="89"/>
      <c r="X680" s="89"/>
      <c r="Y680" s="89"/>
      <c r="Z680" s="89"/>
      <c r="AA680" s="89"/>
      <c r="AB680" s="89"/>
      <c r="AC680" s="89"/>
      <c r="AD680" s="89"/>
      <c r="AE680" s="89"/>
      <c r="AF680" s="89"/>
      <c r="AM680" s="89"/>
      <c r="AN680" s="199"/>
      <c r="AO680" s="89"/>
    </row>
    <row r="681" spans="3:41" ht="15.75" customHeight="1" x14ac:dyDescent="0.25"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208"/>
      <c r="P681" s="209"/>
      <c r="Q681" s="89"/>
      <c r="R681" s="89"/>
      <c r="S681" s="89"/>
      <c r="T681" s="89"/>
      <c r="U681" s="89"/>
      <c r="V681" s="89"/>
      <c r="W681" s="89"/>
      <c r="X681" s="89"/>
      <c r="Y681" s="89"/>
      <c r="Z681" s="89"/>
      <c r="AA681" s="89"/>
      <c r="AB681" s="89"/>
      <c r="AC681" s="89"/>
      <c r="AD681" s="89"/>
      <c r="AE681" s="89"/>
      <c r="AF681" s="89"/>
      <c r="AM681" s="89"/>
      <c r="AN681" s="199"/>
      <c r="AO681" s="89"/>
    </row>
    <row r="682" spans="3:41" ht="15.75" customHeight="1" x14ac:dyDescent="0.25"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208"/>
      <c r="P682" s="209"/>
      <c r="Q682" s="89"/>
      <c r="R682" s="89"/>
      <c r="S682" s="89"/>
      <c r="T682" s="89"/>
      <c r="U682" s="89"/>
      <c r="V682" s="89"/>
      <c r="W682" s="89"/>
      <c r="X682" s="89"/>
      <c r="Y682" s="89"/>
      <c r="Z682" s="89"/>
      <c r="AA682" s="89"/>
      <c r="AB682" s="89"/>
      <c r="AC682" s="89"/>
      <c r="AD682" s="89"/>
      <c r="AE682" s="89"/>
      <c r="AF682" s="89"/>
      <c r="AM682" s="89"/>
      <c r="AN682" s="199"/>
      <c r="AO682" s="89"/>
    </row>
    <row r="683" spans="3:41" ht="15.75" customHeight="1" x14ac:dyDescent="0.25"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208"/>
      <c r="P683" s="209"/>
      <c r="Q683" s="89"/>
      <c r="R683" s="89"/>
      <c r="S683" s="89"/>
      <c r="T683" s="89"/>
      <c r="U683" s="89"/>
      <c r="V683" s="89"/>
      <c r="W683" s="89"/>
      <c r="X683" s="89"/>
      <c r="Y683" s="89"/>
      <c r="Z683" s="89"/>
      <c r="AA683" s="89"/>
      <c r="AB683" s="89"/>
      <c r="AC683" s="89"/>
      <c r="AD683" s="89"/>
      <c r="AE683" s="89"/>
      <c r="AF683" s="89"/>
      <c r="AM683" s="89"/>
      <c r="AN683" s="199"/>
      <c r="AO683" s="89"/>
    </row>
    <row r="684" spans="3:41" ht="15.75" customHeight="1" x14ac:dyDescent="0.25"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208"/>
      <c r="P684" s="209"/>
      <c r="Q684" s="89"/>
      <c r="R684" s="89"/>
      <c r="S684" s="89"/>
      <c r="T684" s="89"/>
      <c r="U684" s="89"/>
      <c r="V684" s="89"/>
      <c r="W684" s="89"/>
      <c r="X684" s="89"/>
      <c r="Y684" s="89"/>
      <c r="Z684" s="89"/>
      <c r="AA684" s="89"/>
      <c r="AB684" s="89"/>
      <c r="AC684" s="89"/>
      <c r="AD684" s="89"/>
      <c r="AE684" s="89"/>
      <c r="AF684" s="89"/>
      <c r="AM684" s="89"/>
      <c r="AN684" s="199"/>
      <c r="AO684" s="89"/>
    </row>
    <row r="685" spans="3:41" ht="15.75" customHeight="1" x14ac:dyDescent="0.25"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208"/>
      <c r="P685" s="209"/>
      <c r="Q685" s="89"/>
      <c r="R685" s="89"/>
      <c r="S685" s="89"/>
      <c r="T685" s="89"/>
      <c r="U685" s="89"/>
      <c r="V685" s="89"/>
      <c r="W685" s="89"/>
      <c r="X685" s="89"/>
      <c r="Y685" s="89"/>
      <c r="Z685" s="89"/>
      <c r="AA685" s="89"/>
      <c r="AB685" s="89"/>
      <c r="AC685" s="89"/>
      <c r="AD685" s="89"/>
      <c r="AE685" s="89"/>
      <c r="AF685" s="89"/>
      <c r="AM685" s="89"/>
      <c r="AN685" s="199"/>
      <c r="AO685" s="89"/>
    </row>
    <row r="686" spans="3:41" ht="15.75" customHeight="1" x14ac:dyDescent="0.25"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208"/>
      <c r="P686" s="209"/>
      <c r="Q686" s="89"/>
      <c r="R686" s="89"/>
      <c r="S686" s="89"/>
      <c r="T686" s="89"/>
      <c r="U686" s="89"/>
      <c r="V686" s="89"/>
      <c r="W686" s="89"/>
      <c r="X686" s="89"/>
      <c r="Y686" s="89"/>
      <c r="Z686" s="89"/>
      <c r="AA686" s="89"/>
      <c r="AB686" s="89"/>
      <c r="AC686" s="89"/>
      <c r="AD686" s="89"/>
      <c r="AE686" s="89"/>
      <c r="AF686" s="89"/>
      <c r="AM686" s="89"/>
      <c r="AN686" s="199"/>
      <c r="AO686" s="89"/>
    </row>
    <row r="687" spans="3:41" ht="15.75" customHeight="1" x14ac:dyDescent="0.25"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208"/>
      <c r="P687" s="20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M687" s="89"/>
      <c r="AN687" s="199"/>
      <c r="AO687" s="89"/>
    </row>
    <row r="688" spans="3:41" ht="15.75" customHeight="1" x14ac:dyDescent="0.25"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208"/>
      <c r="P688" s="209"/>
      <c r="Q688" s="89"/>
      <c r="R688" s="89"/>
      <c r="S688" s="89"/>
      <c r="T688" s="89"/>
      <c r="U688" s="89"/>
      <c r="V688" s="89"/>
      <c r="W688" s="89"/>
      <c r="X688" s="89"/>
      <c r="Y688" s="89"/>
      <c r="Z688" s="89"/>
      <c r="AA688" s="89"/>
      <c r="AB688" s="89"/>
      <c r="AC688" s="89"/>
      <c r="AD688" s="89"/>
      <c r="AE688" s="89"/>
      <c r="AF688" s="89"/>
      <c r="AM688" s="89"/>
      <c r="AN688" s="199"/>
      <c r="AO688" s="89"/>
    </row>
    <row r="689" spans="3:41" ht="15.75" customHeight="1" x14ac:dyDescent="0.25"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208"/>
      <c r="P689" s="209"/>
      <c r="Q689" s="89"/>
      <c r="R689" s="89"/>
      <c r="S689" s="89"/>
      <c r="T689" s="89"/>
      <c r="U689" s="89"/>
      <c r="V689" s="89"/>
      <c r="W689" s="89"/>
      <c r="X689" s="89"/>
      <c r="Y689" s="89"/>
      <c r="Z689" s="89"/>
      <c r="AA689" s="89"/>
      <c r="AB689" s="89"/>
      <c r="AC689" s="89"/>
      <c r="AD689" s="89"/>
      <c r="AE689" s="89"/>
      <c r="AF689" s="89"/>
      <c r="AM689" s="89"/>
      <c r="AN689" s="199"/>
      <c r="AO689" s="89"/>
    </row>
    <row r="690" spans="3:41" ht="15.75" customHeight="1" x14ac:dyDescent="0.25"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208"/>
      <c r="P690" s="209"/>
      <c r="Q690" s="89"/>
      <c r="R690" s="89"/>
      <c r="S690" s="89"/>
      <c r="T690" s="89"/>
      <c r="U690" s="89"/>
      <c r="V690" s="89"/>
      <c r="W690" s="89"/>
      <c r="X690" s="89"/>
      <c r="Y690" s="89"/>
      <c r="Z690" s="89"/>
      <c r="AA690" s="89"/>
      <c r="AB690" s="89"/>
      <c r="AC690" s="89"/>
      <c r="AD690" s="89"/>
      <c r="AE690" s="89"/>
      <c r="AF690" s="89"/>
      <c r="AM690" s="89"/>
      <c r="AN690" s="199"/>
      <c r="AO690" s="89"/>
    </row>
    <row r="691" spans="3:41" ht="15.75" customHeight="1" x14ac:dyDescent="0.25"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208"/>
      <c r="P691" s="209"/>
      <c r="Q691" s="89"/>
      <c r="R691" s="89"/>
      <c r="S691" s="89"/>
      <c r="T691" s="89"/>
      <c r="U691" s="89"/>
      <c r="V691" s="89"/>
      <c r="W691" s="89"/>
      <c r="X691" s="89"/>
      <c r="Y691" s="89"/>
      <c r="Z691" s="89"/>
      <c r="AA691" s="89"/>
      <c r="AB691" s="89"/>
      <c r="AC691" s="89"/>
      <c r="AD691" s="89"/>
      <c r="AE691" s="89"/>
      <c r="AF691" s="89"/>
      <c r="AM691" s="89"/>
      <c r="AN691" s="199"/>
      <c r="AO691" s="89"/>
    </row>
    <row r="692" spans="3:41" ht="15.75" customHeight="1" x14ac:dyDescent="0.25"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208"/>
      <c r="P692" s="209"/>
      <c r="Q692" s="89"/>
      <c r="R692" s="89"/>
      <c r="S692" s="89"/>
      <c r="T692" s="89"/>
      <c r="U692" s="89"/>
      <c r="V692" s="89"/>
      <c r="W692" s="89"/>
      <c r="X692" s="89"/>
      <c r="Y692" s="89"/>
      <c r="Z692" s="89"/>
      <c r="AA692" s="89"/>
      <c r="AB692" s="89"/>
      <c r="AC692" s="89"/>
      <c r="AD692" s="89"/>
      <c r="AE692" s="89"/>
      <c r="AF692" s="89"/>
      <c r="AM692" s="89"/>
      <c r="AN692" s="199"/>
      <c r="AO692" s="89"/>
    </row>
    <row r="693" spans="3:41" ht="15.75" customHeight="1" x14ac:dyDescent="0.25"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208"/>
      <c r="P693" s="209"/>
      <c r="Q693" s="89"/>
      <c r="R693" s="89"/>
      <c r="S693" s="89"/>
      <c r="T693" s="89"/>
      <c r="U693" s="89"/>
      <c r="V693" s="89"/>
      <c r="W693" s="89"/>
      <c r="X693" s="89"/>
      <c r="Y693" s="89"/>
      <c r="Z693" s="89"/>
      <c r="AA693" s="89"/>
      <c r="AB693" s="89"/>
      <c r="AC693" s="89"/>
      <c r="AD693" s="89"/>
      <c r="AE693" s="89"/>
      <c r="AF693" s="89"/>
      <c r="AM693" s="89"/>
      <c r="AN693" s="199"/>
      <c r="AO693" s="89"/>
    </row>
    <row r="694" spans="3:41" ht="15.75" customHeight="1" x14ac:dyDescent="0.25"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208"/>
      <c r="P694" s="209"/>
      <c r="Q694" s="89"/>
      <c r="R694" s="89"/>
      <c r="S694" s="89"/>
      <c r="T694" s="89"/>
      <c r="U694" s="89"/>
      <c r="V694" s="89"/>
      <c r="W694" s="89"/>
      <c r="X694" s="89"/>
      <c r="Y694" s="89"/>
      <c r="Z694" s="89"/>
      <c r="AA694" s="89"/>
      <c r="AB694" s="89"/>
      <c r="AC694" s="89"/>
      <c r="AD694" s="89"/>
      <c r="AE694" s="89"/>
      <c r="AF694" s="89"/>
      <c r="AM694" s="89"/>
      <c r="AN694" s="199"/>
      <c r="AO694" s="89"/>
    </row>
    <row r="695" spans="3:41" ht="15.75" customHeight="1" x14ac:dyDescent="0.25"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208"/>
      <c r="P695" s="209"/>
      <c r="Q695" s="89"/>
      <c r="R695" s="89"/>
      <c r="S695" s="89"/>
      <c r="T695" s="89"/>
      <c r="U695" s="89"/>
      <c r="V695" s="89"/>
      <c r="W695" s="89"/>
      <c r="X695" s="89"/>
      <c r="Y695" s="89"/>
      <c r="Z695" s="89"/>
      <c r="AA695" s="89"/>
      <c r="AB695" s="89"/>
      <c r="AC695" s="89"/>
      <c r="AD695" s="89"/>
      <c r="AE695" s="89"/>
      <c r="AF695" s="89"/>
      <c r="AM695" s="89"/>
      <c r="AN695" s="199"/>
      <c r="AO695" s="89"/>
    </row>
    <row r="696" spans="3:41" ht="15.75" customHeight="1" x14ac:dyDescent="0.25"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208"/>
      <c r="P696" s="209"/>
      <c r="Q696" s="89"/>
      <c r="R696" s="89"/>
      <c r="S696" s="89"/>
      <c r="T696" s="89"/>
      <c r="U696" s="89"/>
      <c r="V696" s="89"/>
      <c r="W696" s="89"/>
      <c r="X696" s="89"/>
      <c r="Y696" s="89"/>
      <c r="Z696" s="89"/>
      <c r="AA696" s="89"/>
      <c r="AB696" s="89"/>
      <c r="AC696" s="89"/>
      <c r="AD696" s="89"/>
      <c r="AE696" s="89"/>
      <c r="AF696" s="89"/>
      <c r="AM696" s="89"/>
      <c r="AN696" s="199"/>
      <c r="AO696" s="89"/>
    </row>
    <row r="697" spans="3:41" ht="15.75" customHeight="1" x14ac:dyDescent="0.25"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208"/>
      <c r="P697" s="209"/>
      <c r="Q697" s="89"/>
      <c r="R697" s="89"/>
      <c r="S697" s="89"/>
      <c r="T697" s="89"/>
      <c r="U697" s="89"/>
      <c r="V697" s="89"/>
      <c r="W697" s="89"/>
      <c r="X697" s="89"/>
      <c r="Y697" s="89"/>
      <c r="Z697" s="89"/>
      <c r="AA697" s="89"/>
      <c r="AB697" s="89"/>
      <c r="AC697" s="89"/>
      <c r="AD697" s="89"/>
      <c r="AE697" s="89"/>
      <c r="AF697" s="89"/>
      <c r="AM697" s="89"/>
      <c r="AN697" s="199"/>
      <c r="AO697" s="89"/>
    </row>
    <row r="698" spans="3:41" ht="15.75" customHeight="1" x14ac:dyDescent="0.25"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208"/>
      <c r="P698" s="209"/>
      <c r="Q698" s="89"/>
      <c r="R698" s="89"/>
      <c r="S698" s="89"/>
      <c r="T698" s="89"/>
      <c r="U698" s="89"/>
      <c r="V698" s="89"/>
      <c r="W698" s="89"/>
      <c r="X698" s="89"/>
      <c r="Y698" s="89"/>
      <c r="Z698" s="89"/>
      <c r="AA698" s="89"/>
      <c r="AB698" s="89"/>
      <c r="AC698" s="89"/>
      <c r="AD698" s="89"/>
      <c r="AE698" s="89"/>
      <c r="AF698" s="89"/>
      <c r="AM698" s="89"/>
      <c r="AN698" s="199"/>
      <c r="AO698" s="89"/>
    </row>
    <row r="699" spans="3:41" ht="15.75" customHeight="1" x14ac:dyDescent="0.25"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208"/>
      <c r="P699" s="209"/>
      <c r="Q699" s="89"/>
      <c r="R699" s="89"/>
      <c r="S699" s="89"/>
      <c r="T699" s="89"/>
      <c r="U699" s="89"/>
      <c r="V699" s="89"/>
      <c r="W699" s="89"/>
      <c r="X699" s="89"/>
      <c r="Y699" s="89"/>
      <c r="Z699" s="89"/>
      <c r="AA699" s="89"/>
      <c r="AB699" s="89"/>
      <c r="AC699" s="89"/>
      <c r="AD699" s="89"/>
      <c r="AE699" s="89"/>
      <c r="AF699" s="89"/>
      <c r="AM699" s="89"/>
      <c r="AN699" s="199"/>
      <c r="AO699" s="89"/>
    </row>
    <row r="700" spans="3:41" ht="15.75" customHeight="1" x14ac:dyDescent="0.25"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208"/>
      <c r="P700" s="209"/>
      <c r="Q700" s="89"/>
      <c r="R700" s="89"/>
      <c r="S700" s="89"/>
      <c r="T700" s="89"/>
      <c r="U700" s="89"/>
      <c r="V700" s="89"/>
      <c r="W700" s="89"/>
      <c r="X700" s="89"/>
      <c r="Y700" s="89"/>
      <c r="Z700" s="89"/>
      <c r="AA700" s="89"/>
      <c r="AB700" s="89"/>
      <c r="AC700" s="89"/>
      <c r="AD700" s="89"/>
      <c r="AE700" s="89"/>
      <c r="AF700" s="89"/>
      <c r="AM700" s="89"/>
      <c r="AN700" s="199"/>
      <c r="AO700" s="89"/>
    </row>
    <row r="701" spans="3:41" ht="15.75" customHeight="1" x14ac:dyDescent="0.25"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208"/>
      <c r="P701" s="209"/>
      <c r="Q701" s="89"/>
      <c r="R701" s="89"/>
      <c r="S701" s="89"/>
      <c r="T701" s="89"/>
      <c r="U701" s="89"/>
      <c r="V701" s="89"/>
      <c r="W701" s="89"/>
      <c r="X701" s="89"/>
      <c r="Y701" s="89"/>
      <c r="Z701" s="89"/>
      <c r="AA701" s="89"/>
      <c r="AB701" s="89"/>
      <c r="AC701" s="89"/>
      <c r="AD701" s="89"/>
      <c r="AE701" s="89"/>
      <c r="AF701" s="89"/>
      <c r="AM701" s="89"/>
      <c r="AN701" s="199"/>
      <c r="AO701" s="89"/>
    </row>
    <row r="702" spans="3:41" ht="15.75" customHeight="1" x14ac:dyDescent="0.25"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208"/>
      <c r="P702" s="209"/>
      <c r="Q702" s="89"/>
      <c r="R702" s="89"/>
      <c r="S702" s="89"/>
      <c r="T702" s="89"/>
      <c r="U702" s="89"/>
      <c r="V702" s="89"/>
      <c r="W702" s="89"/>
      <c r="X702" s="89"/>
      <c r="Y702" s="89"/>
      <c r="Z702" s="89"/>
      <c r="AA702" s="89"/>
      <c r="AB702" s="89"/>
      <c r="AC702" s="89"/>
      <c r="AD702" s="89"/>
      <c r="AE702" s="89"/>
      <c r="AF702" s="89"/>
      <c r="AM702" s="89"/>
      <c r="AN702" s="199"/>
      <c r="AO702" s="89"/>
    </row>
    <row r="703" spans="3:41" ht="15.75" customHeight="1" x14ac:dyDescent="0.25"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208"/>
      <c r="P703" s="209"/>
      <c r="Q703" s="89"/>
      <c r="R703" s="89"/>
      <c r="S703" s="89"/>
      <c r="T703" s="89"/>
      <c r="U703" s="89"/>
      <c r="V703" s="89"/>
      <c r="W703" s="89"/>
      <c r="X703" s="89"/>
      <c r="Y703" s="89"/>
      <c r="Z703" s="89"/>
      <c r="AA703" s="89"/>
      <c r="AB703" s="89"/>
      <c r="AC703" s="89"/>
      <c r="AD703" s="89"/>
      <c r="AE703" s="89"/>
      <c r="AF703" s="89"/>
      <c r="AM703" s="89"/>
      <c r="AN703" s="199"/>
      <c r="AO703" s="89"/>
    </row>
    <row r="704" spans="3:41" ht="15.75" customHeight="1" x14ac:dyDescent="0.25"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208"/>
      <c r="P704" s="209"/>
      <c r="Q704" s="89"/>
      <c r="R704" s="89"/>
      <c r="S704" s="89"/>
      <c r="T704" s="89"/>
      <c r="U704" s="89"/>
      <c r="V704" s="89"/>
      <c r="W704" s="89"/>
      <c r="X704" s="89"/>
      <c r="Y704" s="89"/>
      <c r="Z704" s="89"/>
      <c r="AA704" s="89"/>
      <c r="AB704" s="89"/>
      <c r="AC704" s="89"/>
      <c r="AD704" s="89"/>
      <c r="AE704" s="89"/>
      <c r="AF704" s="89"/>
      <c r="AM704" s="89"/>
      <c r="AN704" s="199"/>
      <c r="AO704" s="89"/>
    </row>
    <row r="705" spans="3:41" ht="15.75" customHeight="1" x14ac:dyDescent="0.25"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208"/>
      <c r="P705" s="209"/>
      <c r="Q705" s="89"/>
      <c r="R705" s="89"/>
      <c r="S705" s="89"/>
      <c r="T705" s="89"/>
      <c r="U705" s="89"/>
      <c r="V705" s="89"/>
      <c r="W705" s="89"/>
      <c r="X705" s="89"/>
      <c r="Y705" s="89"/>
      <c r="Z705" s="89"/>
      <c r="AA705" s="89"/>
      <c r="AB705" s="89"/>
      <c r="AC705" s="89"/>
      <c r="AD705" s="89"/>
      <c r="AE705" s="89"/>
      <c r="AF705" s="89"/>
      <c r="AM705" s="89"/>
      <c r="AN705" s="199"/>
      <c r="AO705" s="89"/>
    </row>
    <row r="706" spans="3:41" ht="15.75" customHeight="1" x14ac:dyDescent="0.25"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208"/>
      <c r="P706" s="209"/>
      <c r="Q706" s="89"/>
      <c r="R706" s="89"/>
      <c r="S706" s="89"/>
      <c r="T706" s="89"/>
      <c r="U706" s="89"/>
      <c r="V706" s="89"/>
      <c r="W706" s="89"/>
      <c r="X706" s="89"/>
      <c r="Y706" s="89"/>
      <c r="Z706" s="89"/>
      <c r="AA706" s="89"/>
      <c r="AB706" s="89"/>
      <c r="AC706" s="89"/>
      <c r="AD706" s="89"/>
      <c r="AE706" s="89"/>
      <c r="AF706" s="89"/>
      <c r="AM706" s="89"/>
      <c r="AN706" s="199"/>
      <c r="AO706" s="89"/>
    </row>
    <row r="707" spans="3:41" ht="15.75" customHeight="1" x14ac:dyDescent="0.25"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208"/>
      <c r="P707" s="209"/>
      <c r="Q707" s="89"/>
      <c r="R707" s="89"/>
      <c r="S707" s="89"/>
      <c r="T707" s="89"/>
      <c r="U707" s="89"/>
      <c r="V707" s="89"/>
      <c r="W707" s="89"/>
      <c r="X707" s="89"/>
      <c r="Y707" s="89"/>
      <c r="Z707" s="89"/>
      <c r="AA707" s="89"/>
      <c r="AB707" s="89"/>
      <c r="AC707" s="89"/>
      <c r="AD707" s="89"/>
      <c r="AE707" s="89"/>
      <c r="AF707" s="89"/>
      <c r="AM707" s="89"/>
      <c r="AN707" s="199"/>
      <c r="AO707" s="89"/>
    </row>
    <row r="708" spans="3:41" ht="15.75" customHeight="1" x14ac:dyDescent="0.25"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208"/>
      <c r="P708" s="209"/>
      <c r="Q708" s="89"/>
      <c r="R708" s="89"/>
      <c r="S708" s="89"/>
      <c r="T708" s="89"/>
      <c r="U708" s="89"/>
      <c r="V708" s="89"/>
      <c r="W708" s="89"/>
      <c r="X708" s="89"/>
      <c r="Y708" s="89"/>
      <c r="Z708" s="89"/>
      <c r="AA708" s="89"/>
      <c r="AB708" s="89"/>
      <c r="AC708" s="89"/>
      <c r="AD708" s="89"/>
      <c r="AE708" s="89"/>
      <c r="AF708" s="89"/>
      <c r="AM708" s="89"/>
      <c r="AN708" s="199"/>
      <c r="AO708" s="89"/>
    </row>
    <row r="709" spans="3:41" ht="15.75" customHeight="1" x14ac:dyDescent="0.25"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208"/>
      <c r="P709" s="209"/>
      <c r="Q709" s="89"/>
      <c r="R709" s="89"/>
      <c r="S709" s="89"/>
      <c r="T709" s="89"/>
      <c r="U709" s="89"/>
      <c r="V709" s="89"/>
      <c r="W709" s="89"/>
      <c r="X709" s="89"/>
      <c r="Y709" s="89"/>
      <c r="Z709" s="89"/>
      <c r="AA709" s="89"/>
      <c r="AB709" s="89"/>
      <c r="AC709" s="89"/>
      <c r="AD709" s="89"/>
      <c r="AE709" s="89"/>
      <c r="AF709" s="89"/>
      <c r="AM709" s="89"/>
      <c r="AN709" s="199"/>
      <c r="AO709" s="89"/>
    </row>
    <row r="710" spans="3:41" ht="15.75" customHeight="1" x14ac:dyDescent="0.25"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208"/>
      <c r="P710" s="209"/>
      <c r="Q710" s="89"/>
      <c r="R710" s="89"/>
      <c r="S710" s="89"/>
      <c r="T710" s="89"/>
      <c r="U710" s="89"/>
      <c r="V710" s="89"/>
      <c r="W710" s="89"/>
      <c r="X710" s="89"/>
      <c r="Y710" s="89"/>
      <c r="Z710" s="89"/>
      <c r="AA710" s="89"/>
      <c r="AB710" s="89"/>
      <c r="AC710" s="89"/>
      <c r="AD710" s="89"/>
      <c r="AE710" s="89"/>
      <c r="AF710" s="89"/>
      <c r="AM710" s="89"/>
      <c r="AN710" s="199"/>
      <c r="AO710" s="89"/>
    </row>
    <row r="711" spans="3:41" ht="15.75" customHeight="1" x14ac:dyDescent="0.25"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208"/>
      <c r="P711" s="209"/>
      <c r="Q711" s="89"/>
      <c r="R711" s="89"/>
      <c r="S711" s="89"/>
      <c r="T711" s="89"/>
      <c r="U711" s="89"/>
      <c r="V711" s="89"/>
      <c r="W711" s="89"/>
      <c r="X711" s="89"/>
      <c r="Y711" s="89"/>
      <c r="Z711" s="89"/>
      <c r="AA711" s="89"/>
      <c r="AB711" s="89"/>
      <c r="AC711" s="89"/>
      <c r="AD711" s="89"/>
      <c r="AE711" s="89"/>
      <c r="AF711" s="89"/>
      <c r="AM711" s="89"/>
      <c r="AN711" s="199"/>
      <c r="AO711" s="89"/>
    </row>
    <row r="712" spans="3:41" ht="15.75" customHeight="1" x14ac:dyDescent="0.25"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208"/>
      <c r="P712" s="209"/>
      <c r="Q712" s="89"/>
      <c r="R712" s="89"/>
      <c r="S712" s="89"/>
      <c r="T712" s="89"/>
      <c r="U712" s="89"/>
      <c r="V712" s="89"/>
      <c r="W712" s="89"/>
      <c r="X712" s="89"/>
      <c r="Y712" s="89"/>
      <c r="Z712" s="89"/>
      <c r="AA712" s="89"/>
      <c r="AB712" s="89"/>
      <c r="AC712" s="89"/>
      <c r="AD712" s="89"/>
      <c r="AE712" s="89"/>
      <c r="AF712" s="89"/>
      <c r="AM712" s="89"/>
      <c r="AN712" s="199"/>
      <c r="AO712" s="89"/>
    </row>
    <row r="713" spans="3:41" ht="15.75" customHeight="1" x14ac:dyDescent="0.25"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208"/>
      <c r="P713" s="209"/>
      <c r="Q713" s="89"/>
      <c r="R713" s="89"/>
      <c r="S713" s="89"/>
      <c r="T713" s="89"/>
      <c r="U713" s="89"/>
      <c r="V713" s="89"/>
      <c r="W713" s="89"/>
      <c r="X713" s="89"/>
      <c r="Y713" s="89"/>
      <c r="Z713" s="89"/>
      <c r="AA713" s="89"/>
      <c r="AB713" s="89"/>
      <c r="AC713" s="89"/>
      <c r="AD713" s="89"/>
      <c r="AE713" s="89"/>
      <c r="AF713" s="89"/>
      <c r="AM713" s="89"/>
      <c r="AN713" s="199"/>
      <c r="AO713" s="89"/>
    </row>
    <row r="714" spans="3:41" ht="15.75" customHeight="1" x14ac:dyDescent="0.25"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208"/>
      <c r="P714" s="209"/>
      <c r="Q714" s="89"/>
      <c r="R714" s="89"/>
      <c r="S714" s="89"/>
      <c r="T714" s="89"/>
      <c r="U714" s="89"/>
      <c r="V714" s="89"/>
      <c r="W714" s="89"/>
      <c r="X714" s="89"/>
      <c r="Y714" s="89"/>
      <c r="Z714" s="89"/>
      <c r="AA714" s="89"/>
      <c r="AB714" s="89"/>
      <c r="AC714" s="89"/>
      <c r="AD714" s="89"/>
      <c r="AE714" s="89"/>
      <c r="AF714" s="89"/>
      <c r="AM714" s="89"/>
      <c r="AN714" s="199"/>
      <c r="AO714" s="89"/>
    </row>
    <row r="715" spans="3:41" ht="15.75" customHeight="1" x14ac:dyDescent="0.25"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208"/>
      <c r="P715" s="209"/>
      <c r="Q715" s="89"/>
      <c r="R715" s="89"/>
      <c r="S715" s="89"/>
      <c r="T715" s="89"/>
      <c r="U715" s="89"/>
      <c r="V715" s="89"/>
      <c r="W715" s="89"/>
      <c r="X715" s="89"/>
      <c r="Y715" s="89"/>
      <c r="Z715" s="89"/>
      <c r="AA715" s="89"/>
      <c r="AB715" s="89"/>
      <c r="AC715" s="89"/>
      <c r="AD715" s="89"/>
      <c r="AE715" s="89"/>
      <c r="AF715" s="89"/>
      <c r="AM715" s="89"/>
      <c r="AN715" s="199"/>
      <c r="AO715" s="89"/>
    </row>
    <row r="716" spans="3:41" ht="15.75" customHeight="1" x14ac:dyDescent="0.25"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208"/>
      <c r="P716" s="209"/>
      <c r="Q716" s="89"/>
      <c r="R716" s="89"/>
      <c r="S716" s="89"/>
      <c r="T716" s="89"/>
      <c r="U716" s="89"/>
      <c r="V716" s="89"/>
      <c r="W716" s="89"/>
      <c r="X716" s="89"/>
      <c r="Y716" s="89"/>
      <c r="Z716" s="89"/>
      <c r="AA716" s="89"/>
      <c r="AB716" s="89"/>
      <c r="AC716" s="89"/>
      <c r="AD716" s="89"/>
      <c r="AE716" s="89"/>
      <c r="AF716" s="89"/>
      <c r="AM716" s="89"/>
      <c r="AN716" s="199"/>
      <c r="AO716" s="89"/>
    </row>
    <row r="717" spans="3:41" ht="15.75" customHeight="1" x14ac:dyDescent="0.25"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208"/>
      <c r="P717" s="209"/>
      <c r="Q717" s="89"/>
      <c r="R717" s="89"/>
      <c r="S717" s="89"/>
      <c r="T717" s="89"/>
      <c r="U717" s="89"/>
      <c r="V717" s="89"/>
      <c r="W717" s="89"/>
      <c r="X717" s="89"/>
      <c r="Y717" s="89"/>
      <c r="Z717" s="89"/>
      <c r="AA717" s="89"/>
      <c r="AB717" s="89"/>
      <c r="AC717" s="89"/>
      <c r="AD717" s="89"/>
      <c r="AE717" s="89"/>
      <c r="AF717" s="89"/>
      <c r="AM717" s="89"/>
      <c r="AN717" s="199"/>
      <c r="AO717" s="89"/>
    </row>
    <row r="718" spans="3:41" ht="15.75" customHeight="1" x14ac:dyDescent="0.25"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208"/>
      <c r="P718" s="209"/>
      <c r="Q718" s="89"/>
      <c r="R718" s="89"/>
      <c r="S718" s="89"/>
      <c r="T718" s="89"/>
      <c r="U718" s="89"/>
      <c r="V718" s="89"/>
      <c r="W718" s="89"/>
      <c r="X718" s="89"/>
      <c r="Y718" s="89"/>
      <c r="Z718" s="89"/>
      <c r="AA718" s="89"/>
      <c r="AB718" s="89"/>
      <c r="AC718" s="89"/>
      <c r="AD718" s="89"/>
      <c r="AE718" s="89"/>
      <c r="AF718" s="89"/>
      <c r="AM718" s="89"/>
      <c r="AN718" s="199"/>
      <c r="AO718" s="89"/>
    </row>
    <row r="719" spans="3:41" ht="15.75" customHeight="1" x14ac:dyDescent="0.25"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208"/>
      <c r="P719" s="209"/>
      <c r="Q719" s="89"/>
      <c r="R719" s="89"/>
      <c r="S719" s="89"/>
      <c r="T719" s="89"/>
      <c r="U719" s="89"/>
      <c r="V719" s="89"/>
      <c r="W719" s="89"/>
      <c r="X719" s="89"/>
      <c r="Y719" s="89"/>
      <c r="Z719" s="89"/>
      <c r="AA719" s="89"/>
      <c r="AB719" s="89"/>
      <c r="AC719" s="89"/>
      <c r="AD719" s="89"/>
      <c r="AE719" s="89"/>
      <c r="AF719" s="89"/>
      <c r="AM719" s="89"/>
      <c r="AN719" s="199"/>
      <c r="AO719" s="89"/>
    </row>
    <row r="720" spans="3:41" ht="15.75" customHeight="1" x14ac:dyDescent="0.25"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208"/>
      <c r="P720" s="209"/>
      <c r="Q720" s="89"/>
      <c r="R720" s="89"/>
      <c r="S720" s="89"/>
      <c r="T720" s="89"/>
      <c r="U720" s="89"/>
      <c r="V720" s="89"/>
      <c r="W720" s="89"/>
      <c r="X720" s="89"/>
      <c r="Y720" s="89"/>
      <c r="Z720" s="89"/>
      <c r="AA720" s="89"/>
      <c r="AB720" s="89"/>
      <c r="AC720" s="89"/>
      <c r="AD720" s="89"/>
      <c r="AE720" s="89"/>
      <c r="AF720" s="89"/>
      <c r="AM720" s="89"/>
      <c r="AN720" s="199"/>
      <c r="AO720" s="89"/>
    </row>
    <row r="721" spans="3:41" ht="15.75" customHeight="1" x14ac:dyDescent="0.25"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208"/>
      <c r="P721" s="209"/>
      <c r="Q721" s="89"/>
      <c r="R721" s="89"/>
      <c r="S721" s="89"/>
      <c r="T721" s="89"/>
      <c r="U721" s="89"/>
      <c r="V721" s="89"/>
      <c r="W721" s="89"/>
      <c r="X721" s="89"/>
      <c r="Y721" s="89"/>
      <c r="Z721" s="89"/>
      <c r="AA721" s="89"/>
      <c r="AB721" s="89"/>
      <c r="AC721" s="89"/>
      <c r="AD721" s="89"/>
      <c r="AE721" s="89"/>
      <c r="AF721" s="89"/>
      <c r="AM721" s="89"/>
      <c r="AN721" s="199"/>
      <c r="AO721" s="89"/>
    </row>
    <row r="722" spans="3:41" ht="15.75" customHeight="1" x14ac:dyDescent="0.25"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208"/>
      <c r="P722" s="209"/>
      <c r="Q722" s="89"/>
      <c r="R722" s="89"/>
      <c r="S722" s="89"/>
      <c r="T722" s="89"/>
      <c r="U722" s="89"/>
      <c r="V722" s="89"/>
      <c r="W722" s="89"/>
      <c r="X722" s="89"/>
      <c r="Y722" s="89"/>
      <c r="Z722" s="89"/>
      <c r="AA722" s="89"/>
      <c r="AB722" s="89"/>
      <c r="AC722" s="89"/>
      <c r="AD722" s="89"/>
      <c r="AE722" s="89"/>
      <c r="AF722" s="89"/>
      <c r="AM722" s="89"/>
      <c r="AN722" s="199"/>
      <c r="AO722" s="89"/>
    </row>
    <row r="723" spans="3:41" ht="15.75" customHeight="1" x14ac:dyDescent="0.25"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208"/>
      <c r="P723" s="209"/>
      <c r="Q723" s="89"/>
      <c r="R723" s="89"/>
      <c r="S723" s="89"/>
      <c r="T723" s="89"/>
      <c r="U723" s="89"/>
      <c r="V723" s="89"/>
      <c r="W723" s="89"/>
      <c r="X723" s="89"/>
      <c r="Y723" s="89"/>
      <c r="Z723" s="89"/>
      <c r="AA723" s="89"/>
      <c r="AB723" s="89"/>
      <c r="AC723" s="89"/>
      <c r="AD723" s="89"/>
      <c r="AE723" s="89"/>
      <c r="AF723" s="89"/>
      <c r="AM723" s="89"/>
      <c r="AN723" s="199"/>
      <c r="AO723" s="89"/>
    </row>
    <row r="724" spans="3:41" ht="15.75" customHeight="1" x14ac:dyDescent="0.25"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208"/>
      <c r="P724" s="209"/>
      <c r="Q724" s="89"/>
      <c r="R724" s="89"/>
      <c r="S724" s="89"/>
      <c r="T724" s="89"/>
      <c r="U724" s="89"/>
      <c r="V724" s="89"/>
      <c r="W724" s="89"/>
      <c r="X724" s="89"/>
      <c r="Y724" s="89"/>
      <c r="Z724" s="89"/>
      <c r="AA724" s="89"/>
      <c r="AB724" s="89"/>
      <c r="AC724" s="89"/>
      <c r="AD724" s="89"/>
      <c r="AE724" s="89"/>
      <c r="AF724" s="89"/>
      <c r="AM724" s="89"/>
      <c r="AN724" s="199"/>
      <c r="AO724" s="89"/>
    </row>
    <row r="725" spans="3:41" ht="15.75" customHeight="1" x14ac:dyDescent="0.25"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208"/>
      <c r="P725" s="20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M725" s="89"/>
      <c r="AN725" s="199"/>
      <c r="AO725" s="89"/>
    </row>
    <row r="726" spans="3:41" ht="15.75" customHeight="1" x14ac:dyDescent="0.25"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208"/>
      <c r="P726" s="209"/>
      <c r="Q726" s="89"/>
      <c r="R726" s="89"/>
      <c r="S726" s="89"/>
      <c r="T726" s="89"/>
      <c r="U726" s="89"/>
      <c r="V726" s="89"/>
      <c r="W726" s="89"/>
      <c r="X726" s="89"/>
      <c r="Y726" s="89"/>
      <c r="Z726" s="89"/>
      <c r="AA726" s="89"/>
      <c r="AB726" s="89"/>
      <c r="AC726" s="89"/>
      <c r="AD726" s="89"/>
      <c r="AE726" s="89"/>
      <c r="AF726" s="89"/>
      <c r="AM726" s="89"/>
      <c r="AN726" s="199"/>
      <c r="AO726" s="89"/>
    </row>
    <row r="727" spans="3:41" ht="15.75" customHeight="1" x14ac:dyDescent="0.25"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208"/>
      <c r="P727" s="209"/>
      <c r="Q727" s="89"/>
      <c r="R727" s="89"/>
      <c r="S727" s="89"/>
      <c r="T727" s="89"/>
      <c r="U727" s="89"/>
      <c r="V727" s="89"/>
      <c r="W727" s="89"/>
      <c r="X727" s="89"/>
      <c r="Y727" s="89"/>
      <c r="Z727" s="89"/>
      <c r="AA727" s="89"/>
      <c r="AB727" s="89"/>
      <c r="AC727" s="89"/>
      <c r="AD727" s="89"/>
      <c r="AE727" s="89"/>
      <c r="AF727" s="89"/>
      <c r="AM727" s="89"/>
      <c r="AN727" s="199"/>
      <c r="AO727" s="89"/>
    </row>
    <row r="728" spans="3:41" ht="15.75" customHeight="1" x14ac:dyDescent="0.25"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208"/>
      <c r="P728" s="209"/>
      <c r="Q728" s="89"/>
      <c r="R728" s="89"/>
      <c r="S728" s="89"/>
      <c r="T728" s="89"/>
      <c r="U728" s="89"/>
      <c r="V728" s="89"/>
      <c r="W728" s="89"/>
      <c r="X728" s="89"/>
      <c r="Y728" s="89"/>
      <c r="Z728" s="89"/>
      <c r="AA728" s="89"/>
      <c r="AB728" s="89"/>
      <c r="AC728" s="89"/>
      <c r="AD728" s="89"/>
      <c r="AE728" s="89"/>
      <c r="AF728" s="89"/>
      <c r="AM728" s="89"/>
      <c r="AN728" s="199"/>
      <c r="AO728" s="89"/>
    </row>
    <row r="729" spans="3:41" ht="15.75" customHeight="1" x14ac:dyDescent="0.25"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208"/>
      <c r="P729" s="209"/>
      <c r="Q729" s="89"/>
      <c r="R729" s="89"/>
      <c r="S729" s="89"/>
      <c r="T729" s="89"/>
      <c r="U729" s="89"/>
      <c r="V729" s="89"/>
      <c r="W729" s="89"/>
      <c r="X729" s="89"/>
      <c r="Y729" s="89"/>
      <c r="Z729" s="89"/>
      <c r="AA729" s="89"/>
      <c r="AB729" s="89"/>
      <c r="AC729" s="89"/>
      <c r="AD729" s="89"/>
      <c r="AE729" s="89"/>
      <c r="AF729" s="89"/>
      <c r="AM729" s="89"/>
      <c r="AN729" s="199"/>
      <c r="AO729" s="89"/>
    </row>
    <row r="730" spans="3:41" ht="15.75" customHeight="1" x14ac:dyDescent="0.25"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208"/>
      <c r="P730" s="209"/>
      <c r="Q730" s="89"/>
      <c r="R730" s="89"/>
      <c r="S730" s="89"/>
      <c r="T730" s="89"/>
      <c r="U730" s="89"/>
      <c r="V730" s="89"/>
      <c r="W730" s="89"/>
      <c r="X730" s="89"/>
      <c r="Y730" s="89"/>
      <c r="Z730" s="89"/>
      <c r="AA730" s="89"/>
      <c r="AB730" s="89"/>
      <c r="AC730" s="89"/>
      <c r="AD730" s="89"/>
      <c r="AE730" s="89"/>
      <c r="AF730" s="89"/>
      <c r="AM730" s="89"/>
      <c r="AN730" s="199"/>
      <c r="AO730" s="89"/>
    </row>
    <row r="731" spans="3:41" ht="15.75" customHeight="1" x14ac:dyDescent="0.25"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208"/>
      <c r="P731" s="209"/>
      <c r="Q731" s="89"/>
      <c r="R731" s="89"/>
      <c r="S731" s="89"/>
      <c r="T731" s="89"/>
      <c r="U731" s="89"/>
      <c r="V731" s="89"/>
      <c r="W731" s="89"/>
      <c r="X731" s="89"/>
      <c r="Y731" s="89"/>
      <c r="Z731" s="89"/>
      <c r="AA731" s="89"/>
      <c r="AB731" s="89"/>
      <c r="AC731" s="89"/>
      <c r="AD731" s="89"/>
      <c r="AE731" s="89"/>
      <c r="AF731" s="89"/>
      <c r="AM731" s="89"/>
      <c r="AN731" s="199"/>
      <c r="AO731" s="89"/>
    </row>
    <row r="732" spans="3:41" ht="15.75" customHeight="1" x14ac:dyDescent="0.25"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208"/>
      <c r="P732" s="209"/>
      <c r="Q732" s="89"/>
      <c r="R732" s="89"/>
      <c r="S732" s="89"/>
      <c r="T732" s="89"/>
      <c r="U732" s="89"/>
      <c r="V732" s="89"/>
      <c r="W732" s="89"/>
      <c r="X732" s="89"/>
      <c r="Y732" s="89"/>
      <c r="Z732" s="89"/>
      <c r="AA732" s="89"/>
      <c r="AB732" s="89"/>
      <c r="AC732" s="89"/>
      <c r="AD732" s="89"/>
      <c r="AE732" s="89"/>
      <c r="AF732" s="89"/>
      <c r="AM732" s="89"/>
      <c r="AN732" s="199"/>
      <c r="AO732" s="89"/>
    </row>
    <row r="733" spans="3:41" ht="15.75" customHeight="1" x14ac:dyDescent="0.25"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208"/>
      <c r="P733" s="209"/>
      <c r="Q733" s="89"/>
      <c r="R733" s="89"/>
      <c r="S733" s="89"/>
      <c r="T733" s="89"/>
      <c r="U733" s="89"/>
      <c r="V733" s="89"/>
      <c r="W733" s="89"/>
      <c r="X733" s="89"/>
      <c r="Y733" s="89"/>
      <c r="Z733" s="89"/>
      <c r="AA733" s="89"/>
      <c r="AB733" s="89"/>
      <c r="AC733" s="89"/>
      <c r="AD733" s="89"/>
      <c r="AE733" s="89"/>
      <c r="AF733" s="89"/>
      <c r="AM733" s="89"/>
      <c r="AN733" s="199"/>
      <c r="AO733" s="89"/>
    </row>
    <row r="734" spans="3:41" ht="15.75" customHeight="1" x14ac:dyDescent="0.25"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208"/>
      <c r="P734" s="209"/>
      <c r="Q734" s="89"/>
      <c r="R734" s="89"/>
      <c r="S734" s="89"/>
      <c r="T734" s="89"/>
      <c r="U734" s="89"/>
      <c r="V734" s="89"/>
      <c r="W734" s="89"/>
      <c r="X734" s="89"/>
      <c r="Y734" s="89"/>
      <c r="Z734" s="89"/>
      <c r="AA734" s="89"/>
      <c r="AB734" s="89"/>
      <c r="AC734" s="89"/>
      <c r="AD734" s="89"/>
      <c r="AE734" s="89"/>
      <c r="AF734" s="89"/>
      <c r="AM734" s="89"/>
      <c r="AN734" s="199"/>
      <c r="AO734" s="89"/>
    </row>
    <row r="735" spans="3:41" ht="15.75" customHeight="1" x14ac:dyDescent="0.25"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208"/>
      <c r="P735" s="209"/>
      <c r="Q735" s="89"/>
      <c r="R735" s="89"/>
      <c r="S735" s="89"/>
      <c r="T735" s="89"/>
      <c r="U735" s="89"/>
      <c r="V735" s="89"/>
      <c r="W735" s="89"/>
      <c r="X735" s="89"/>
      <c r="Y735" s="89"/>
      <c r="Z735" s="89"/>
      <c r="AA735" s="89"/>
      <c r="AB735" s="89"/>
      <c r="AC735" s="89"/>
      <c r="AD735" s="89"/>
      <c r="AE735" s="89"/>
      <c r="AF735" s="89"/>
      <c r="AM735" s="89"/>
      <c r="AN735" s="199"/>
      <c r="AO735" s="89"/>
    </row>
    <row r="736" spans="3:41" ht="15.75" customHeight="1" x14ac:dyDescent="0.25"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208"/>
      <c r="P736" s="209"/>
      <c r="Q736" s="89"/>
      <c r="R736" s="89"/>
      <c r="S736" s="89"/>
      <c r="T736" s="89"/>
      <c r="U736" s="89"/>
      <c r="V736" s="89"/>
      <c r="W736" s="89"/>
      <c r="X736" s="89"/>
      <c r="Y736" s="89"/>
      <c r="Z736" s="89"/>
      <c r="AA736" s="89"/>
      <c r="AB736" s="89"/>
      <c r="AC736" s="89"/>
      <c r="AD736" s="89"/>
      <c r="AE736" s="89"/>
      <c r="AF736" s="89"/>
      <c r="AM736" s="89"/>
      <c r="AN736" s="199"/>
      <c r="AO736" s="89"/>
    </row>
    <row r="737" spans="3:41" ht="15.75" customHeight="1" x14ac:dyDescent="0.25"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208"/>
      <c r="P737" s="209"/>
      <c r="Q737" s="89"/>
      <c r="R737" s="89"/>
      <c r="S737" s="89"/>
      <c r="T737" s="89"/>
      <c r="U737" s="89"/>
      <c r="V737" s="89"/>
      <c r="W737" s="89"/>
      <c r="X737" s="89"/>
      <c r="Y737" s="89"/>
      <c r="Z737" s="89"/>
      <c r="AA737" s="89"/>
      <c r="AB737" s="89"/>
      <c r="AC737" s="89"/>
      <c r="AD737" s="89"/>
      <c r="AE737" s="89"/>
      <c r="AF737" s="89"/>
      <c r="AM737" s="89"/>
      <c r="AN737" s="199"/>
      <c r="AO737" s="89"/>
    </row>
    <row r="738" spans="3:41" ht="15.75" customHeight="1" x14ac:dyDescent="0.25"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208"/>
      <c r="P738" s="209"/>
      <c r="Q738" s="89"/>
      <c r="R738" s="89"/>
      <c r="S738" s="89"/>
      <c r="T738" s="89"/>
      <c r="U738" s="89"/>
      <c r="V738" s="89"/>
      <c r="W738" s="89"/>
      <c r="X738" s="89"/>
      <c r="Y738" s="89"/>
      <c r="Z738" s="89"/>
      <c r="AA738" s="89"/>
      <c r="AB738" s="89"/>
      <c r="AC738" s="89"/>
      <c r="AD738" s="89"/>
      <c r="AE738" s="89"/>
      <c r="AF738" s="89"/>
      <c r="AM738" s="89"/>
      <c r="AN738" s="199"/>
      <c r="AO738" s="89"/>
    </row>
    <row r="739" spans="3:41" ht="15.75" customHeight="1" x14ac:dyDescent="0.25"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208"/>
      <c r="P739" s="209"/>
      <c r="Q739" s="89"/>
      <c r="R739" s="89"/>
      <c r="S739" s="89"/>
      <c r="T739" s="89"/>
      <c r="U739" s="89"/>
      <c r="V739" s="89"/>
      <c r="W739" s="89"/>
      <c r="X739" s="89"/>
      <c r="Y739" s="89"/>
      <c r="Z739" s="89"/>
      <c r="AA739" s="89"/>
      <c r="AB739" s="89"/>
      <c r="AC739" s="89"/>
      <c r="AD739" s="89"/>
      <c r="AE739" s="89"/>
      <c r="AF739" s="89"/>
      <c r="AM739" s="89"/>
      <c r="AN739" s="199"/>
      <c r="AO739" s="89"/>
    </row>
    <row r="740" spans="3:41" ht="15.75" customHeight="1" x14ac:dyDescent="0.25"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208"/>
      <c r="P740" s="209"/>
      <c r="Q740" s="89"/>
      <c r="R740" s="89"/>
      <c r="S740" s="89"/>
      <c r="T740" s="89"/>
      <c r="U740" s="89"/>
      <c r="V740" s="89"/>
      <c r="W740" s="89"/>
      <c r="X740" s="89"/>
      <c r="Y740" s="89"/>
      <c r="Z740" s="89"/>
      <c r="AA740" s="89"/>
      <c r="AB740" s="89"/>
      <c r="AC740" s="89"/>
      <c r="AD740" s="89"/>
      <c r="AE740" s="89"/>
      <c r="AF740" s="89"/>
      <c r="AM740" s="89"/>
      <c r="AN740" s="199"/>
      <c r="AO740" s="89"/>
    </row>
    <row r="741" spans="3:41" ht="15.75" customHeight="1" x14ac:dyDescent="0.25"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208"/>
      <c r="P741" s="209"/>
      <c r="Q741" s="89"/>
      <c r="R741" s="89"/>
      <c r="S741" s="89"/>
      <c r="T741" s="89"/>
      <c r="U741" s="89"/>
      <c r="V741" s="89"/>
      <c r="W741" s="89"/>
      <c r="X741" s="89"/>
      <c r="Y741" s="89"/>
      <c r="Z741" s="89"/>
      <c r="AA741" s="89"/>
      <c r="AB741" s="89"/>
      <c r="AC741" s="89"/>
      <c r="AD741" s="89"/>
      <c r="AE741" s="89"/>
      <c r="AF741" s="89"/>
      <c r="AM741" s="89"/>
      <c r="AN741" s="199"/>
      <c r="AO741" s="89"/>
    </row>
    <row r="742" spans="3:41" ht="15.75" customHeight="1" x14ac:dyDescent="0.25"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208"/>
      <c r="P742" s="209"/>
      <c r="Q742" s="89"/>
      <c r="R742" s="89"/>
      <c r="S742" s="89"/>
      <c r="T742" s="89"/>
      <c r="U742" s="89"/>
      <c r="V742" s="89"/>
      <c r="W742" s="89"/>
      <c r="X742" s="89"/>
      <c r="Y742" s="89"/>
      <c r="Z742" s="89"/>
      <c r="AA742" s="89"/>
      <c r="AB742" s="89"/>
      <c r="AC742" s="89"/>
      <c r="AD742" s="89"/>
      <c r="AE742" s="89"/>
      <c r="AF742" s="89"/>
      <c r="AM742" s="89"/>
      <c r="AN742" s="199"/>
      <c r="AO742" s="89"/>
    </row>
    <row r="743" spans="3:41" ht="15.75" customHeight="1" x14ac:dyDescent="0.25"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208"/>
      <c r="P743" s="209"/>
      <c r="Q743" s="89"/>
      <c r="R743" s="89"/>
      <c r="S743" s="89"/>
      <c r="T743" s="89"/>
      <c r="U743" s="89"/>
      <c r="V743" s="89"/>
      <c r="W743" s="89"/>
      <c r="X743" s="89"/>
      <c r="Y743" s="89"/>
      <c r="Z743" s="89"/>
      <c r="AA743" s="89"/>
      <c r="AB743" s="89"/>
      <c r="AC743" s="89"/>
      <c r="AD743" s="89"/>
      <c r="AE743" s="89"/>
      <c r="AF743" s="89"/>
      <c r="AM743" s="89"/>
      <c r="AN743" s="199"/>
      <c r="AO743" s="89"/>
    </row>
    <row r="744" spans="3:41" ht="15.75" customHeight="1" x14ac:dyDescent="0.25"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208"/>
      <c r="P744" s="209"/>
      <c r="Q744" s="89"/>
      <c r="R744" s="89"/>
      <c r="S744" s="89"/>
      <c r="T744" s="89"/>
      <c r="U744" s="89"/>
      <c r="V744" s="89"/>
      <c r="W744" s="89"/>
      <c r="X744" s="89"/>
      <c r="Y744" s="89"/>
      <c r="Z744" s="89"/>
      <c r="AA744" s="89"/>
      <c r="AB744" s="89"/>
      <c r="AC744" s="89"/>
      <c r="AD744" s="89"/>
      <c r="AE744" s="89"/>
      <c r="AF744" s="89"/>
      <c r="AM744" s="89"/>
      <c r="AN744" s="199"/>
      <c r="AO744" s="89"/>
    </row>
    <row r="745" spans="3:41" ht="15.75" customHeight="1" x14ac:dyDescent="0.25"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208"/>
      <c r="P745" s="209"/>
      <c r="Q745" s="89"/>
      <c r="R745" s="89"/>
      <c r="S745" s="89"/>
      <c r="T745" s="89"/>
      <c r="U745" s="89"/>
      <c r="V745" s="89"/>
      <c r="W745" s="89"/>
      <c r="X745" s="89"/>
      <c r="Y745" s="89"/>
      <c r="Z745" s="89"/>
      <c r="AA745" s="89"/>
      <c r="AB745" s="89"/>
      <c r="AC745" s="89"/>
      <c r="AD745" s="89"/>
      <c r="AE745" s="89"/>
      <c r="AF745" s="89"/>
      <c r="AM745" s="89"/>
      <c r="AN745" s="199"/>
      <c r="AO745" s="89"/>
    </row>
    <row r="746" spans="3:41" ht="15.75" customHeight="1" x14ac:dyDescent="0.25"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208"/>
      <c r="P746" s="209"/>
      <c r="Q746" s="89"/>
      <c r="R746" s="89"/>
      <c r="S746" s="89"/>
      <c r="T746" s="89"/>
      <c r="U746" s="89"/>
      <c r="V746" s="89"/>
      <c r="W746" s="89"/>
      <c r="X746" s="89"/>
      <c r="Y746" s="89"/>
      <c r="Z746" s="89"/>
      <c r="AA746" s="89"/>
      <c r="AB746" s="89"/>
      <c r="AC746" s="89"/>
      <c r="AD746" s="89"/>
      <c r="AE746" s="89"/>
      <c r="AF746" s="89"/>
      <c r="AM746" s="89"/>
      <c r="AN746" s="199"/>
      <c r="AO746" s="89"/>
    </row>
    <row r="747" spans="3:41" ht="15.75" customHeight="1" x14ac:dyDescent="0.25"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208"/>
      <c r="P747" s="209"/>
      <c r="Q747" s="89"/>
      <c r="R747" s="89"/>
      <c r="S747" s="89"/>
      <c r="T747" s="89"/>
      <c r="U747" s="89"/>
      <c r="V747" s="89"/>
      <c r="W747" s="89"/>
      <c r="X747" s="89"/>
      <c r="Y747" s="89"/>
      <c r="Z747" s="89"/>
      <c r="AA747" s="89"/>
      <c r="AB747" s="89"/>
      <c r="AC747" s="89"/>
      <c r="AD747" s="89"/>
      <c r="AE747" s="89"/>
      <c r="AF747" s="89"/>
      <c r="AM747" s="89"/>
      <c r="AN747" s="199"/>
      <c r="AO747" s="89"/>
    </row>
    <row r="748" spans="3:41" ht="15.75" customHeight="1" x14ac:dyDescent="0.25"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208"/>
      <c r="P748" s="209"/>
      <c r="Q748" s="89"/>
      <c r="R748" s="89"/>
      <c r="S748" s="89"/>
      <c r="T748" s="89"/>
      <c r="U748" s="89"/>
      <c r="V748" s="89"/>
      <c r="W748" s="89"/>
      <c r="X748" s="89"/>
      <c r="Y748" s="89"/>
      <c r="Z748" s="89"/>
      <c r="AA748" s="89"/>
      <c r="AB748" s="89"/>
      <c r="AC748" s="89"/>
      <c r="AD748" s="89"/>
      <c r="AE748" s="89"/>
      <c r="AF748" s="89"/>
      <c r="AM748" s="89"/>
      <c r="AN748" s="199"/>
      <c r="AO748" s="89"/>
    </row>
    <row r="749" spans="3:41" ht="15.75" customHeight="1" x14ac:dyDescent="0.25"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208"/>
      <c r="P749" s="209"/>
      <c r="Q749" s="89"/>
      <c r="R749" s="89"/>
      <c r="S749" s="89"/>
      <c r="T749" s="89"/>
      <c r="U749" s="89"/>
      <c r="V749" s="89"/>
      <c r="W749" s="89"/>
      <c r="X749" s="89"/>
      <c r="Y749" s="89"/>
      <c r="Z749" s="89"/>
      <c r="AA749" s="89"/>
      <c r="AB749" s="89"/>
      <c r="AC749" s="89"/>
      <c r="AD749" s="89"/>
      <c r="AE749" s="89"/>
      <c r="AF749" s="89"/>
      <c r="AM749" s="89"/>
      <c r="AN749" s="199"/>
      <c r="AO749" s="89"/>
    </row>
    <row r="750" spans="3:41" ht="15.75" customHeight="1" x14ac:dyDescent="0.25"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208"/>
      <c r="P750" s="209"/>
      <c r="Q750" s="89"/>
      <c r="R750" s="89"/>
      <c r="S750" s="89"/>
      <c r="T750" s="89"/>
      <c r="U750" s="89"/>
      <c r="V750" s="89"/>
      <c r="W750" s="89"/>
      <c r="X750" s="89"/>
      <c r="Y750" s="89"/>
      <c r="Z750" s="89"/>
      <c r="AA750" s="89"/>
      <c r="AB750" s="89"/>
      <c r="AC750" s="89"/>
      <c r="AD750" s="89"/>
      <c r="AE750" s="89"/>
      <c r="AF750" s="89"/>
      <c r="AM750" s="89"/>
      <c r="AN750" s="199"/>
      <c r="AO750" s="89"/>
    </row>
    <row r="751" spans="3:41" ht="15.75" customHeight="1" x14ac:dyDescent="0.25"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208"/>
      <c r="P751" s="209"/>
      <c r="Q751" s="89"/>
      <c r="R751" s="89"/>
      <c r="S751" s="89"/>
      <c r="T751" s="89"/>
      <c r="U751" s="89"/>
      <c r="V751" s="89"/>
      <c r="W751" s="89"/>
      <c r="X751" s="89"/>
      <c r="Y751" s="89"/>
      <c r="Z751" s="89"/>
      <c r="AA751" s="89"/>
      <c r="AB751" s="89"/>
      <c r="AC751" s="89"/>
      <c r="AD751" s="89"/>
      <c r="AE751" s="89"/>
      <c r="AF751" s="89"/>
      <c r="AM751" s="89"/>
      <c r="AN751" s="199"/>
      <c r="AO751" s="89"/>
    </row>
    <row r="752" spans="3:41" ht="15.75" customHeight="1" x14ac:dyDescent="0.25"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208"/>
      <c r="P752" s="209"/>
      <c r="Q752" s="89"/>
      <c r="R752" s="89"/>
      <c r="S752" s="89"/>
      <c r="T752" s="89"/>
      <c r="U752" s="89"/>
      <c r="V752" s="89"/>
      <c r="W752" s="89"/>
      <c r="X752" s="89"/>
      <c r="Y752" s="89"/>
      <c r="Z752" s="89"/>
      <c r="AA752" s="89"/>
      <c r="AB752" s="89"/>
      <c r="AC752" s="89"/>
      <c r="AD752" s="89"/>
      <c r="AE752" s="89"/>
      <c r="AF752" s="89"/>
      <c r="AM752" s="89"/>
      <c r="AN752" s="199"/>
      <c r="AO752" s="89"/>
    </row>
    <row r="753" spans="3:41" ht="15.75" customHeight="1" x14ac:dyDescent="0.25"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208"/>
      <c r="P753" s="209"/>
      <c r="Q753" s="89"/>
      <c r="R753" s="89"/>
      <c r="S753" s="89"/>
      <c r="T753" s="89"/>
      <c r="U753" s="89"/>
      <c r="V753" s="89"/>
      <c r="W753" s="89"/>
      <c r="X753" s="89"/>
      <c r="Y753" s="89"/>
      <c r="Z753" s="89"/>
      <c r="AA753" s="89"/>
      <c r="AB753" s="89"/>
      <c r="AC753" s="89"/>
      <c r="AD753" s="89"/>
      <c r="AE753" s="89"/>
      <c r="AF753" s="89"/>
      <c r="AM753" s="89"/>
      <c r="AN753" s="199"/>
      <c r="AO753" s="89"/>
    </row>
    <row r="754" spans="3:41" ht="15.75" customHeight="1" x14ac:dyDescent="0.25"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208"/>
      <c r="P754" s="209"/>
      <c r="Q754" s="89"/>
      <c r="R754" s="89"/>
      <c r="S754" s="89"/>
      <c r="T754" s="89"/>
      <c r="U754" s="89"/>
      <c r="V754" s="89"/>
      <c r="W754" s="89"/>
      <c r="X754" s="89"/>
      <c r="Y754" s="89"/>
      <c r="Z754" s="89"/>
      <c r="AA754" s="89"/>
      <c r="AB754" s="89"/>
      <c r="AC754" s="89"/>
      <c r="AD754" s="89"/>
      <c r="AE754" s="89"/>
      <c r="AF754" s="89"/>
      <c r="AM754" s="89"/>
      <c r="AN754" s="199"/>
      <c r="AO754" s="89"/>
    </row>
    <row r="755" spans="3:41" ht="15.75" customHeight="1" x14ac:dyDescent="0.25"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208"/>
      <c r="P755" s="209"/>
      <c r="Q755" s="89"/>
      <c r="R755" s="89"/>
      <c r="S755" s="89"/>
      <c r="T755" s="89"/>
      <c r="U755" s="89"/>
      <c r="V755" s="89"/>
      <c r="W755" s="89"/>
      <c r="X755" s="89"/>
      <c r="Y755" s="89"/>
      <c r="Z755" s="89"/>
      <c r="AA755" s="89"/>
      <c r="AB755" s="89"/>
      <c r="AC755" s="89"/>
      <c r="AD755" s="89"/>
      <c r="AE755" s="89"/>
      <c r="AF755" s="89"/>
      <c r="AM755" s="89"/>
      <c r="AN755" s="199"/>
      <c r="AO755" s="89"/>
    </row>
    <row r="756" spans="3:41" ht="15.75" customHeight="1" x14ac:dyDescent="0.25"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208"/>
      <c r="P756" s="209"/>
      <c r="Q756" s="89"/>
      <c r="R756" s="89"/>
      <c r="S756" s="89"/>
      <c r="T756" s="89"/>
      <c r="U756" s="89"/>
      <c r="V756" s="89"/>
      <c r="W756" s="89"/>
      <c r="X756" s="89"/>
      <c r="Y756" s="89"/>
      <c r="Z756" s="89"/>
      <c r="AA756" s="89"/>
      <c r="AB756" s="89"/>
      <c r="AC756" s="89"/>
      <c r="AD756" s="89"/>
      <c r="AE756" s="89"/>
      <c r="AF756" s="89"/>
      <c r="AM756" s="89"/>
      <c r="AN756" s="199"/>
      <c r="AO756" s="89"/>
    </row>
    <row r="757" spans="3:41" ht="15.75" customHeight="1" x14ac:dyDescent="0.25"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208"/>
      <c r="P757" s="209"/>
      <c r="Q757" s="89"/>
      <c r="R757" s="89"/>
      <c r="S757" s="89"/>
      <c r="T757" s="89"/>
      <c r="U757" s="89"/>
      <c r="V757" s="89"/>
      <c r="W757" s="89"/>
      <c r="X757" s="89"/>
      <c r="Y757" s="89"/>
      <c r="Z757" s="89"/>
      <c r="AA757" s="89"/>
      <c r="AB757" s="89"/>
      <c r="AC757" s="89"/>
      <c r="AD757" s="89"/>
      <c r="AE757" s="89"/>
      <c r="AF757" s="89"/>
      <c r="AM757" s="89"/>
      <c r="AN757" s="199"/>
      <c r="AO757" s="89"/>
    </row>
    <row r="758" spans="3:41" ht="15.75" customHeight="1" x14ac:dyDescent="0.25"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208"/>
      <c r="P758" s="209"/>
      <c r="Q758" s="89"/>
      <c r="R758" s="89"/>
      <c r="S758" s="89"/>
      <c r="T758" s="89"/>
      <c r="U758" s="89"/>
      <c r="V758" s="89"/>
      <c r="W758" s="89"/>
      <c r="X758" s="89"/>
      <c r="Y758" s="89"/>
      <c r="Z758" s="89"/>
      <c r="AA758" s="89"/>
      <c r="AB758" s="89"/>
      <c r="AC758" s="89"/>
      <c r="AD758" s="89"/>
      <c r="AE758" s="89"/>
      <c r="AF758" s="89"/>
      <c r="AM758" s="89"/>
      <c r="AN758" s="199"/>
      <c r="AO758" s="89"/>
    </row>
    <row r="759" spans="3:41" ht="15.75" customHeight="1" x14ac:dyDescent="0.25"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208"/>
      <c r="P759" s="209"/>
      <c r="Q759" s="89"/>
      <c r="R759" s="89"/>
      <c r="S759" s="89"/>
      <c r="T759" s="89"/>
      <c r="U759" s="89"/>
      <c r="V759" s="89"/>
      <c r="W759" s="89"/>
      <c r="X759" s="89"/>
      <c r="Y759" s="89"/>
      <c r="Z759" s="89"/>
      <c r="AA759" s="89"/>
      <c r="AB759" s="89"/>
      <c r="AC759" s="89"/>
      <c r="AD759" s="89"/>
      <c r="AE759" s="89"/>
      <c r="AF759" s="89"/>
      <c r="AM759" s="89"/>
      <c r="AN759" s="199"/>
      <c r="AO759" s="89"/>
    </row>
    <row r="760" spans="3:41" ht="15.75" customHeight="1" x14ac:dyDescent="0.25"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208"/>
      <c r="P760" s="209"/>
      <c r="Q760" s="89"/>
      <c r="R760" s="89"/>
      <c r="S760" s="89"/>
      <c r="T760" s="89"/>
      <c r="U760" s="89"/>
      <c r="V760" s="89"/>
      <c r="W760" s="89"/>
      <c r="X760" s="89"/>
      <c r="Y760" s="89"/>
      <c r="Z760" s="89"/>
      <c r="AA760" s="89"/>
      <c r="AB760" s="89"/>
      <c r="AC760" s="89"/>
      <c r="AD760" s="89"/>
      <c r="AE760" s="89"/>
      <c r="AF760" s="89"/>
      <c r="AM760" s="89"/>
      <c r="AN760" s="199"/>
      <c r="AO760" s="89"/>
    </row>
    <row r="761" spans="3:41" ht="15.75" customHeight="1" x14ac:dyDescent="0.25"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208"/>
      <c r="P761" s="209"/>
      <c r="Q761" s="89"/>
      <c r="R761" s="89"/>
      <c r="S761" s="89"/>
      <c r="T761" s="89"/>
      <c r="U761" s="89"/>
      <c r="V761" s="89"/>
      <c r="W761" s="89"/>
      <c r="X761" s="89"/>
      <c r="Y761" s="89"/>
      <c r="Z761" s="89"/>
      <c r="AA761" s="89"/>
      <c r="AB761" s="89"/>
      <c r="AC761" s="89"/>
      <c r="AD761" s="89"/>
      <c r="AE761" s="89"/>
      <c r="AF761" s="89"/>
      <c r="AM761" s="89"/>
      <c r="AN761" s="199"/>
      <c r="AO761" s="89"/>
    </row>
    <row r="762" spans="3:41" ht="15.75" customHeight="1" x14ac:dyDescent="0.25"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208"/>
      <c r="P762" s="209"/>
      <c r="Q762" s="89"/>
      <c r="R762" s="89"/>
      <c r="S762" s="89"/>
      <c r="T762" s="89"/>
      <c r="U762" s="89"/>
      <c r="V762" s="89"/>
      <c r="W762" s="89"/>
      <c r="X762" s="89"/>
      <c r="Y762" s="89"/>
      <c r="Z762" s="89"/>
      <c r="AA762" s="89"/>
      <c r="AB762" s="89"/>
      <c r="AC762" s="89"/>
      <c r="AD762" s="89"/>
      <c r="AE762" s="89"/>
      <c r="AF762" s="89"/>
      <c r="AM762" s="89"/>
      <c r="AN762" s="199"/>
      <c r="AO762" s="89"/>
    </row>
    <row r="763" spans="3:41" ht="15.75" customHeight="1" x14ac:dyDescent="0.25"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208"/>
      <c r="P763" s="20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M763" s="89"/>
      <c r="AN763" s="199"/>
      <c r="AO763" s="89"/>
    </row>
    <row r="764" spans="3:41" ht="15.75" customHeight="1" x14ac:dyDescent="0.25"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208"/>
      <c r="P764" s="209"/>
      <c r="Q764" s="89"/>
      <c r="R764" s="89"/>
      <c r="S764" s="89"/>
      <c r="T764" s="89"/>
      <c r="U764" s="89"/>
      <c r="V764" s="89"/>
      <c r="W764" s="89"/>
      <c r="X764" s="89"/>
      <c r="Y764" s="89"/>
      <c r="Z764" s="89"/>
      <c r="AA764" s="89"/>
      <c r="AB764" s="89"/>
      <c r="AC764" s="89"/>
      <c r="AD764" s="89"/>
      <c r="AE764" s="89"/>
      <c r="AF764" s="89"/>
      <c r="AM764" s="89"/>
      <c r="AN764" s="199"/>
      <c r="AO764" s="89"/>
    </row>
    <row r="765" spans="3:41" ht="15.75" customHeight="1" x14ac:dyDescent="0.25"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208"/>
      <c r="P765" s="209"/>
      <c r="Q765" s="89"/>
      <c r="R765" s="89"/>
      <c r="S765" s="89"/>
      <c r="T765" s="89"/>
      <c r="U765" s="89"/>
      <c r="V765" s="89"/>
      <c r="W765" s="89"/>
      <c r="X765" s="89"/>
      <c r="Y765" s="89"/>
      <c r="Z765" s="89"/>
      <c r="AA765" s="89"/>
      <c r="AB765" s="89"/>
      <c r="AC765" s="89"/>
      <c r="AD765" s="89"/>
      <c r="AE765" s="89"/>
      <c r="AF765" s="89"/>
      <c r="AM765" s="89"/>
      <c r="AN765" s="199"/>
      <c r="AO765" s="89"/>
    </row>
    <row r="766" spans="3:41" ht="15.75" customHeight="1" x14ac:dyDescent="0.25"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208"/>
      <c r="P766" s="209"/>
      <c r="Q766" s="89"/>
      <c r="R766" s="89"/>
      <c r="S766" s="89"/>
      <c r="T766" s="89"/>
      <c r="U766" s="89"/>
      <c r="V766" s="89"/>
      <c r="W766" s="89"/>
      <c r="X766" s="89"/>
      <c r="Y766" s="89"/>
      <c r="Z766" s="89"/>
      <c r="AA766" s="89"/>
      <c r="AB766" s="89"/>
      <c r="AC766" s="89"/>
      <c r="AD766" s="89"/>
      <c r="AE766" s="89"/>
      <c r="AF766" s="89"/>
      <c r="AM766" s="89"/>
      <c r="AN766" s="199"/>
      <c r="AO766" s="89"/>
    </row>
    <row r="767" spans="3:41" ht="15.75" customHeight="1" x14ac:dyDescent="0.25"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208"/>
      <c r="P767" s="209"/>
      <c r="Q767" s="89"/>
      <c r="R767" s="89"/>
      <c r="S767" s="89"/>
      <c r="T767" s="89"/>
      <c r="U767" s="89"/>
      <c r="V767" s="89"/>
      <c r="W767" s="89"/>
      <c r="X767" s="89"/>
      <c r="Y767" s="89"/>
      <c r="Z767" s="89"/>
      <c r="AA767" s="89"/>
      <c r="AB767" s="89"/>
      <c r="AC767" s="89"/>
      <c r="AD767" s="89"/>
      <c r="AE767" s="89"/>
      <c r="AF767" s="89"/>
      <c r="AM767" s="89"/>
      <c r="AN767" s="199"/>
      <c r="AO767" s="89"/>
    </row>
    <row r="768" spans="3:41" ht="15.75" customHeight="1" x14ac:dyDescent="0.25"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208"/>
      <c r="P768" s="209"/>
      <c r="Q768" s="89"/>
      <c r="R768" s="89"/>
      <c r="S768" s="89"/>
      <c r="T768" s="89"/>
      <c r="U768" s="89"/>
      <c r="V768" s="89"/>
      <c r="W768" s="89"/>
      <c r="X768" s="89"/>
      <c r="Y768" s="89"/>
      <c r="Z768" s="89"/>
      <c r="AA768" s="89"/>
      <c r="AB768" s="89"/>
      <c r="AC768" s="89"/>
      <c r="AD768" s="89"/>
      <c r="AE768" s="89"/>
      <c r="AF768" s="89"/>
      <c r="AM768" s="89"/>
      <c r="AN768" s="199"/>
      <c r="AO768" s="89"/>
    </row>
    <row r="769" spans="3:41" ht="15.75" customHeight="1" x14ac:dyDescent="0.25"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208"/>
      <c r="P769" s="209"/>
      <c r="Q769" s="89"/>
      <c r="R769" s="89"/>
      <c r="S769" s="89"/>
      <c r="T769" s="89"/>
      <c r="U769" s="89"/>
      <c r="V769" s="89"/>
      <c r="W769" s="89"/>
      <c r="X769" s="89"/>
      <c r="Y769" s="89"/>
      <c r="Z769" s="89"/>
      <c r="AA769" s="89"/>
      <c r="AB769" s="89"/>
      <c r="AC769" s="89"/>
      <c r="AD769" s="89"/>
      <c r="AE769" s="89"/>
      <c r="AF769" s="89"/>
      <c r="AM769" s="89"/>
      <c r="AN769" s="199"/>
      <c r="AO769" s="89"/>
    </row>
    <row r="770" spans="3:41" ht="15.75" customHeight="1" x14ac:dyDescent="0.25"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208"/>
      <c r="P770" s="209"/>
      <c r="Q770" s="89"/>
      <c r="R770" s="89"/>
      <c r="S770" s="89"/>
      <c r="T770" s="89"/>
      <c r="U770" s="89"/>
      <c r="V770" s="89"/>
      <c r="W770" s="89"/>
      <c r="X770" s="89"/>
      <c r="Y770" s="89"/>
      <c r="Z770" s="89"/>
      <c r="AA770" s="89"/>
      <c r="AB770" s="89"/>
      <c r="AC770" s="89"/>
      <c r="AD770" s="89"/>
      <c r="AE770" s="89"/>
      <c r="AF770" s="89"/>
      <c r="AM770" s="89"/>
      <c r="AN770" s="199"/>
      <c r="AO770" s="89"/>
    </row>
    <row r="771" spans="3:41" ht="15.75" customHeight="1" x14ac:dyDescent="0.25"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208"/>
      <c r="P771" s="209"/>
      <c r="Q771" s="89"/>
      <c r="R771" s="89"/>
      <c r="S771" s="89"/>
      <c r="T771" s="89"/>
      <c r="U771" s="89"/>
      <c r="V771" s="89"/>
      <c r="W771" s="89"/>
      <c r="X771" s="89"/>
      <c r="Y771" s="89"/>
      <c r="Z771" s="89"/>
      <c r="AA771" s="89"/>
      <c r="AB771" s="89"/>
      <c r="AC771" s="89"/>
      <c r="AD771" s="89"/>
      <c r="AE771" s="89"/>
      <c r="AF771" s="89"/>
      <c r="AM771" s="89"/>
      <c r="AN771" s="199"/>
      <c r="AO771" s="89"/>
    </row>
    <row r="772" spans="3:41" ht="15.75" customHeight="1" x14ac:dyDescent="0.25"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208"/>
      <c r="P772" s="209"/>
      <c r="Q772" s="89"/>
      <c r="R772" s="89"/>
      <c r="S772" s="89"/>
      <c r="T772" s="89"/>
      <c r="U772" s="89"/>
      <c r="V772" s="89"/>
      <c r="W772" s="89"/>
      <c r="X772" s="89"/>
      <c r="Y772" s="89"/>
      <c r="Z772" s="89"/>
      <c r="AA772" s="89"/>
      <c r="AB772" s="89"/>
      <c r="AC772" s="89"/>
      <c r="AD772" s="89"/>
      <c r="AE772" s="89"/>
      <c r="AF772" s="89"/>
      <c r="AM772" s="89"/>
      <c r="AN772" s="199"/>
      <c r="AO772" s="89"/>
    </row>
    <row r="773" spans="3:41" ht="15.75" customHeight="1" x14ac:dyDescent="0.25"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208"/>
      <c r="P773" s="209"/>
      <c r="Q773" s="89"/>
      <c r="R773" s="89"/>
      <c r="S773" s="89"/>
      <c r="T773" s="89"/>
      <c r="U773" s="89"/>
      <c r="V773" s="89"/>
      <c r="W773" s="89"/>
      <c r="X773" s="89"/>
      <c r="Y773" s="89"/>
      <c r="Z773" s="89"/>
      <c r="AA773" s="89"/>
      <c r="AB773" s="89"/>
      <c r="AC773" s="89"/>
      <c r="AD773" s="89"/>
      <c r="AE773" s="89"/>
      <c r="AF773" s="89"/>
      <c r="AM773" s="89"/>
      <c r="AN773" s="199"/>
      <c r="AO773" s="89"/>
    </row>
    <row r="774" spans="3:41" ht="15.75" customHeight="1" x14ac:dyDescent="0.25"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208"/>
      <c r="P774" s="209"/>
      <c r="Q774" s="89"/>
      <c r="R774" s="89"/>
      <c r="S774" s="89"/>
      <c r="T774" s="89"/>
      <c r="U774" s="89"/>
      <c r="V774" s="89"/>
      <c r="W774" s="89"/>
      <c r="X774" s="89"/>
      <c r="Y774" s="89"/>
      <c r="Z774" s="89"/>
      <c r="AA774" s="89"/>
      <c r="AB774" s="89"/>
      <c r="AC774" s="89"/>
      <c r="AD774" s="89"/>
      <c r="AE774" s="89"/>
      <c r="AF774" s="89"/>
      <c r="AM774" s="89"/>
      <c r="AN774" s="199"/>
      <c r="AO774" s="89"/>
    </row>
    <row r="775" spans="3:41" ht="15.75" customHeight="1" x14ac:dyDescent="0.25"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208"/>
      <c r="P775" s="209"/>
      <c r="Q775" s="89"/>
      <c r="R775" s="89"/>
      <c r="S775" s="89"/>
      <c r="T775" s="89"/>
      <c r="U775" s="89"/>
      <c r="V775" s="89"/>
      <c r="W775" s="89"/>
      <c r="X775" s="89"/>
      <c r="Y775" s="89"/>
      <c r="Z775" s="89"/>
      <c r="AA775" s="89"/>
      <c r="AB775" s="89"/>
      <c r="AC775" s="89"/>
      <c r="AD775" s="89"/>
      <c r="AE775" s="89"/>
      <c r="AF775" s="89"/>
      <c r="AM775" s="89"/>
      <c r="AN775" s="199"/>
      <c r="AO775" s="89"/>
    </row>
    <row r="776" spans="3:41" ht="15.75" customHeight="1" x14ac:dyDescent="0.25"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208"/>
      <c r="P776" s="209"/>
      <c r="Q776" s="89"/>
      <c r="R776" s="89"/>
      <c r="S776" s="89"/>
      <c r="T776" s="89"/>
      <c r="U776" s="89"/>
      <c r="V776" s="89"/>
      <c r="W776" s="89"/>
      <c r="X776" s="89"/>
      <c r="Y776" s="89"/>
      <c r="Z776" s="89"/>
      <c r="AA776" s="89"/>
      <c r="AB776" s="89"/>
      <c r="AC776" s="89"/>
      <c r="AD776" s="89"/>
      <c r="AE776" s="89"/>
      <c r="AF776" s="89"/>
      <c r="AM776" s="89"/>
      <c r="AN776" s="199"/>
      <c r="AO776" s="89"/>
    </row>
    <row r="777" spans="3:41" ht="15.75" customHeight="1" x14ac:dyDescent="0.25"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208"/>
      <c r="P777" s="209"/>
      <c r="Q777" s="89"/>
      <c r="R777" s="89"/>
      <c r="S777" s="89"/>
      <c r="T777" s="89"/>
      <c r="U777" s="89"/>
      <c r="V777" s="89"/>
      <c r="W777" s="89"/>
      <c r="X777" s="89"/>
      <c r="Y777" s="89"/>
      <c r="Z777" s="89"/>
      <c r="AA777" s="89"/>
      <c r="AB777" s="89"/>
      <c r="AC777" s="89"/>
      <c r="AD777" s="89"/>
      <c r="AE777" s="89"/>
      <c r="AF777" s="89"/>
      <c r="AM777" s="89"/>
      <c r="AN777" s="199"/>
      <c r="AO777" s="89"/>
    </row>
    <row r="778" spans="3:41" ht="15.75" customHeight="1" x14ac:dyDescent="0.25"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208"/>
      <c r="P778" s="209"/>
      <c r="Q778" s="89"/>
      <c r="R778" s="89"/>
      <c r="S778" s="89"/>
      <c r="T778" s="89"/>
      <c r="U778" s="89"/>
      <c r="V778" s="89"/>
      <c r="W778" s="89"/>
      <c r="X778" s="89"/>
      <c r="Y778" s="89"/>
      <c r="Z778" s="89"/>
      <c r="AA778" s="89"/>
      <c r="AB778" s="89"/>
      <c r="AC778" s="89"/>
      <c r="AD778" s="89"/>
      <c r="AE778" s="89"/>
      <c r="AF778" s="89"/>
      <c r="AM778" s="89"/>
      <c r="AN778" s="199"/>
      <c r="AO778" s="89"/>
    </row>
    <row r="779" spans="3:41" ht="15.75" customHeight="1" x14ac:dyDescent="0.25"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208"/>
      <c r="P779" s="209"/>
      <c r="Q779" s="89"/>
      <c r="R779" s="89"/>
      <c r="S779" s="89"/>
      <c r="T779" s="89"/>
      <c r="U779" s="89"/>
      <c r="V779" s="89"/>
      <c r="W779" s="89"/>
      <c r="X779" s="89"/>
      <c r="Y779" s="89"/>
      <c r="Z779" s="89"/>
      <c r="AA779" s="89"/>
      <c r="AB779" s="89"/>
      <c r="AC779" s="89"/>
      <c r="AD779" s="89"/>
      <c r="AE779" s="89"/>
      <c r="AF779" s="89"/>
      <c r="AM779" s="89"/>
      <c r="AN779" s="199"/>
      <c r="AO779" s="89"/>
    </row>
    <row r="780" spans="3:41" ht="15.75" customHeight="1" x14ac:dyDescent="0.25"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208"/>
      <c r="P780" s="209"/>
      <c r="Q780" s="89"/>
      <c r="R780" s="89"/>
      <c r="S780" s="89"/>
      <c r="T780" s="89"/>
      <c r="U780" s="89"/>
      <c r="V780" s="89"/>
      <c r="W780" s="89"/>
      <c r="X780" s="89"/>
      <c r="Y780" s="89"/>
      <c r="Z780" s="89"/>
      <c r="AA780" s="89"/>
      <c r="AB780" s="89"/>
      <c r="AC780" s="89"/>
      <c r="AD780" s="89"/>
      <c r="AE780" s="89"/>
      <c r="AF780" s="89"/>
      <c r="AM780" s="89"/>
      <c r="AN780" s="199"/>
      <c r="AO780" s="89"/>
    </row>
    <row r="781" spans="3:41" ht="15.75" customHeight="1" x14ac:dyDescent="0.25"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208"/>
      <c r="P781" s="209"/>
      <c r="Q781" s="89"/>
      <c r="R781" s="89"/>
      <c r="S781" s="89"/>
      <c r="T781" s="89"/>
      <c r="U781" s="89"/>
      <c r="V781" s="89"/>
      <c r="W781" s="89"/>
      <c r="X781" s="89"/>
      <c r="Y781" s="89"/>
      <c r="Z781" s="89"/>
      <c r="AA781" s="89"/>
      <c r="AB781" s="89"/>
      <c r="AC781" s="89"/>
      <c r="AD781" s="89"/>
      <c r="AE781" s="89"/>
      <c r="AF781" s="89"/>
      <c r="AM781" s="89"/>
      <c r="AN781" s="199"/>
      <c r="AO781" s="89"/>
    </row>
    <row r="782" spans="3:41" ht="15.75" customHeight="1" x14ac:dyDescent="0.25"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208"/>
      <c r="P782" s="209"/>
      <c r="Q782" s="89"/>
      <c r="R782" s="89"/>
      <c r="S782" s="89"/>
      <c r="T782" s="89"/>
      <c r="U782" s="89"/>
      <c r="V782" s="89"/>
      <c r="W782" s="89"/>
      <c r="X782" s="89"/>
      <c r="Y782" s="89"/>
      <c r="Z782" s="89"/>
      <c r="AA782" s="89"/>
      <c r="AB782" s="89"/>
      <c r="AC782" s="89"/>
      <c r="AD782" s="89"/>
      <c r="AE782" s="89"/>
      <c r="AF782" s="89"/>
      <c r="AM782" s="89"/>
      <c r="AN782" s="199"/>
      <c r="AO782" s="89"/>
    </row>
    <row r="783" spans="3:41" ht="15.75" customHeight="1" x14ac:dyDescent="0.25"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208"/>
      <c r="P783" s="209"/>
      <c r="Q783" s="89"/>
      <c r="R783" s="89"/>
      <c r="S783" s="89"/>
      <c r="T783" s="89"/>
      <c r="U783" s="89"/>
      <c r="V783" s="89"/>
      <c r="W783" s="89"/>
      <c r="X783" s="89"/>
      <c r="Y783" s="89"/>
      <c r="Z783" s="89"/>
      <c r="AA783" s="89"/>
      <c r="AB783" s="89"/>
      <c r="AC783" s="89"/>
      <c r="AD783" s="89"/>
      <c r="AE783" s="89"/>
      <c r="AF783" s="89"/>
      <c r="AM783" s="89"/>
      <c r="AN783" s="199"/>
      <c r="AO783" s="89"/>
    </row>
    <row r="784" spans="3:41" ht="15.75" customHeight="1" x14ac:dyDescent="0.25"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208"/>
      <c r="P784" s="209"/>
      <c r="Q784" s="89"/>
      <c r="R784" s="89"/>
      <c r="S784" s="89"/>
      <c r="T784" s="89"/>
      <c r="U784" s="89"/>
      <c r="V784" s="89"/>
      <c r="W784" s="89"/>
      <c r="X784" s="89"/>
      <c r="Y784" s="89"/>
      <c r="Z784" s="89"/>
      <c r="AA784" s="89"/>
      <c r="AB784" s="89"/>
      <c r="AC784" s="89"/>
      <c r="AD784" s="89"/>
      <c r="AE784" s="89"/>
      <c r="AF784" s="89"/>
      <c r="AM784" s="89"/>
      <c r="AN784" s="199"/>
      <c r="AO784" s="89"/>
    </row>
    <row r="785" spans="3:41" ht="15.75" customHeight="1" x14ac:dyDescent="0.25"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208"/>
      <c r="P785" s="209"/>
      <c r="Q785" s="89"/>
      <c r="R785" s="89"/>
      <c r="S785" s="89"/>
      <c r="T785" s="89"/>
      <c r="U785" s="89"/>
      <c r="V785" s="89"/>
      <c r="W785" s="89"/>
      <c r="X785" s="89"/>
      <c r="Y785" s="89"/>
      <c r="Z785" s="89"/>
      <c r="AA785" s="89"/>
      <c r="AB785" s="89"/>
      <c r="AC785" s="89"/>
      <c r="AD785" s="89"/>
      <c r="AE785" s="89"/>
      <c r="AF785" s="89"/>
      <c r="AM785" s="89"/>
      <c r="AN785" s="199"/>
      <c r="AO785" s="89"/>
    </row>
    <row r="786" spans="3:41" ht="15.75" customHeight="1" x14ac:dyDescent="0.25"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208"/>
      <c r="P786" s="209"/>
      <c r="Q786" s="89"/>
      <c r="R786" s="89"/>
      <c r="S786" s="89"/>
      <c r="T786" s="89"/>
      <c r="U786" s="89"/>
      <c r="V786" s="89"/>
      <c r="W786" s="89"/>
      <c r="X786" s="89"/>
      <c r="Y786" s="89"/>
      <c r="Z786" s="89"/>
      <c r="AA786" s="89"/>
      <c r="AB786" s="89"/>
      <c r="AC786" s="89"/>
      <c r="AD786" s="89"/>
      <c r="AE786" s="89"/>
      <c r="AF786" s="89"/>
      <c r="AM786" s="89"/>
      <c r="AN786" s="199"/>
      <c r="AO786" s="89"/>
    </row>
    <row r="787" spans="3:41" ht="15.75" customHeight="1" x14ac:dyDescent="0.25"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208"/>
      <c r="P787" s="209"/>
      <c r="Q787" s="89"/>
      <c r="R787" s="89"/>
      <c r="S787" s="89"/>
      <c r="T787" s="89"/>
      <c r="U787" s="89"/>
      <c r="V787" s="89"/>
      <c r="W787" s="89"/>
      <c r="X787" s="89"/>
      <c r="Y787" s="89"/>
      <c r="Z787" s="89"/>
      <c r="AA787" s="89"/>
      <c r="AB787" s="89"/>
      <c r="AC787" s="89"/>
      <c r="AD787" s="89"/>
      <c r="AE787" s="89"/>
      <c r="AF787" s="89"/>
      <c r="AM787" s="89"/>
      <c r="AN787" s="199"/>
      <c r="AO787" s="89"/>
    </row>
    <row r="788" spans="3:41" ht="15.75" customHeight="1" x14ac:dyDescent="0.25"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208"/>
      <c r="P788" s="209"/>
      <c r="Q788" s="89"/>
      <c r="R788" s="89"/>
      <c r="S788" s="89"/>
      <c r="T788" s="89"/>
      <c r="U788" s="89"/>
      <c r="V788" s="89"/>
      <c r="W788" s="89"/>
      <c r="X788" s="89"/>
      <c r="Y788" s="89"/>
      <c r="Z788" s="89"/>
      <c r="AA788" s="89"/>
      <c r="AB788" s="89"/>
      <c r="AC788" s="89"/>
      <c r="AD788" s="89"/>
      <c r="AE788" s="89"/>
      <c r="AF788" s="89"/>
      <c r="AM788" s="89"/>
      <c r="AN788" s="199"/>
      <c r="AO788" s="89"/>
    </row>
    <row r="789" spans="3:41" ht="15.75" customHeight="1" x14ac:dyDescent="0.25"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208"/>
      <c r="P789" s="209"/>
      <c r="Q789" s="89"/>
      <c r="R789" s="89"/>
      <c r="S789" s="89"/>
      <c r="T789" s="89"/>
      <c r="U789" s="89"/>
      <c r="V789" s="89"/>
      <c r="W789" s="89"/>
      <c r="X789" s="89"/>
      <c r="Y789" s="89"/>
      <c r="Z789" s="89"/>
      <c r="AA789" s="89"/>
      <c r="AB789" s="89"/>
      <c r="AC789" s="89"/>
      <c r="AD789" s="89"/>
      <c r="AE789" s="89"/>
      <c r="AF789" s="89"/>
      <c r="AM789" s="89"/>
      <c r="AN789" s="199"/>
      <c r="AO789" s="89"/>
    </row>
    <row r="790" spans="3:41" ht="15.75" customHeight="1" x14ac:dyDescent="0.25"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208"/>
      <c r="P790" s="209"/>
      <c r="Q790" s="89"/>
      <c r="R790" s="89"/>
      <c r="S790" s="89"/>
      <c r="T790" s="89"/>
      <c r="U790" s="89"/>
      <c r="V790" s="89"/>
      <c r="W790" s="89"/>
      <c r="X790" s="89"/>
      <c r="Y790" s="89"/>
      <c r="Z790" s="89"/>
      <c r="AA790" s="89"/>
      <c r="AB790" s="89"/>
      <c r="AC790" s="89"/>
      <c r="AD790" s="89"/>
      <c r="AE790" s="89"/>
      <c r="AF790" s="89"/>
      <c r="AM790" s="89"/>
      <c r="AN790" s="199"/>
      <c r="AO790" s="89"/>
    </row>
    <row r="791" spans="3:41" ht="15.75" customHeight="1" x14ac:dyDescent="0.25"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208"/>
      <c r="P791" s="209"/>
      <c r="Q791" s="89"/>
      <c r="R791" s="89"/>
      <c r="S791" s="89"/>
      <c r="T791" s="89"/>
      <c r="U791" s="89"/>
      <c r="V791" s="89"/>
      <c r="W791" s="89"/>
      <c r="X791" s="89"/>
      <c r="Y791" s="89"/>
      <c r="Z791" s="89"/>
      <c r="AA791" s="89"/>
      <c r="AB791" s="89"/>
      <c r="AC791" s="89"/>
      <c r="AD791" s="89"/>
      <c r="AE791" s="89"/>
      <c r="AF791" s="89"/>
      <c r="AM791" s="89"/>
      <c r="AN791" s="199"/>
      <c r="AO791" s="89"/>
    </row>
    <row r="792" spans="3:41" ht="15.75" customHeight="1" x14ac:dyDescent="0.25"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208"/>
      <c r="P792" s="209"/>
      <c r="Q792" s="89"/>
      <c r="R792" s="89"/>
      <c r="S792" s="89"/>
      <c r="T792" s="89"/>
      <c r="U792" s="89"/>
      <c r="V792" s="89"/>
      <c r="W792" s="89"/>
      <c r="X792" s="89"/>
      <c r="Y792" s="89"/>
      <c r="Z792" s="89"/>
      <c r="AA792" s="89"/>
      <c r="AB792" s="89"/>
      <c r="AC792" s="89"/>
      <c r="AD792" s="89"/>
      <c r="AE792" s="89"/>
      <c r="AF792" s="89"/>
      <c r="AM792" s="89"/>
      <c r="AN792" s="199"/>
      <c r="AO792" s="89"/>
    </row>
    <row r="793" spans="3:41" ht="15.75" customHeight="1" x14ac:dyDescent="0.25"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208"/>
      <c r="P793" s="209"/>
      <c r="Q793" s="89"/>
      <c r="R793" s="89"/>
      <c r="S793" s="89"/>
      <c r="T793" s="89"/>
      <c r="U793" s="89"/>
      <c r="V793" s="89"/>
      <c r="W793" s="89"/>
      <c r="X793" s="89"/>
      <c r="Y793" s="89"/>
      <c r="Z793" s="89"/>
      <c r="AA793" s="89"/>
      <c r="AB793" s="89"/>
      <c r="AC793" s="89"/>
      <c r="AD793" s="89"/>
      <c r="AE793" s="89"/>
      <c r="AF793" s="89"/>
      <c r="AM793" s="89"/>
      <c r="AN793" s="199"/>
      <c r="AO793" s="89"/>
    </row>
    <row r="794" spans="3:41" ht="15.75" customHeight="1" x14ac:dyDescent="0.25"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208"/>
      <c r="P794" s="209"/>
      <c r="Q794" s="89"/>
      <c r="R794" s="89"/>
      <c r="S794" s="89"/>
      <c r="T794" s="89"/>
      <c r="U794" s="89"/>
      <c r="V794" s="89"/>
      <c r="W794" s="89"/>
      <c r="X794" s="89"/>
      <c r="Y794" s="89"/>
      <c r="Z794" s="89"/>
      <c r="AA794" s="89"/>
      <c r="AB794" s="89"/>
      <c r="AC794" s="89"/>
      <c r="AD794" s="89"/>
      <c r="AE794" s="89"/>
      <c r="AF794" s="89"/>
      <c r="AM794" s="89"/>
      <c r="AN794" s="199"/>
      <c r="AO794" s="89"/>
    </row>
    <row r="795" spans="3:41" ht="15.75" customHeight="1" x14ac:dyDescent="0.25"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208"/>
      <c r="P795" s="209"/>
      <c r="Q795" s="89"/>
      <c r="R795" s="89"/>
      <c r="S795" s="89"/>
      <c r="T795" s="89"/>
      <c r="U795" s="89"/>
      <c r="V795" s="89"/>
      <c r="W795" s="89"/>
      <c r="X795" s="89"/>
      <c r="Y795" s="89"/>
      <c r="Z795" s="89"/>
      <c r="AA795" s="89"/>
      <c r="AB795" s="89"/>
      <c r="AC795" s="89"/>
      <c r="AD795" s="89"/>
      <c r="AE795" s="89"/>
      <c r="AF795" s="89"/>
      <c r="AM795" s="89"/>
      <c r="AN795" s="199"/>
      <c r="AO795" s="89"/>
    </row>
    <row r="796" spans="3:41" ht="15.75" customHeight="1" x14ac:dyDescent="0.25"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208"/>
      <c r="P796" s="209"/>
      <c r="Q796" s="89"/>
      <c r="R796" s="89"/>
      <c r="S796" s="89"/>
      <c r="T796" s="89"/>
      <c r="U796" s="89"/>
      <c r="V796" s="89"/>
      <c r="W796" s="89"/>
      <c r="X796" s="89"/>
      <c r="Y796" s="89"/>
      <c r="Z796" s="89"/>
      <c r="AA796" s="89"/>
      <c r="AB796" s="89"/>
      <c r="AC796" s="89"/>
      <c r="AD796" s="89"/>
      <c r="AE796" s="89"/>
      <c r="AF796" s="89"/>
      <c r="AM796" s="89"/>
      <c r="AN796" s="199"/>
      <c r="AO796" s="89"/>
    </row>
    <row r="797" spans="3:41" ht="15.75" customHeight="1" x14ac:dyDescent="0.25"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208"/>
      <c r="P797" s="209"/>
      <c r="Q797" s="89"/>
      <c r="R797" s="89"/>
      <c r="S797" s="89"/>
      <c r="T797" s="89"/>
      <c r="U797" s="89"/>
      <c r="V797" s="89"/>
      <c r="W797" s="89"/>
      <c r="X797" s="89"/>
      <c r="Y797" s="89"/>
      <c r="Z797" s="89"/>
      <c r="AA797" s="89"/>
      <c r="AB797" s="89"/>
      <c r="AC797" s="89"/>
      <c r="AD797" s="89"/>
      <c r="AE797" s="89"/>
      <c r="AF797" s="89"/>
      <c r="AM797" s="89"/>
      <c r="AN797" s="199"/>
      <c r="AO797" s="89"/>
    </row>
    <row r="798" spans="3:41" ht="15.75" customHeight="1" x14ac:dyDescent="0.25"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208"/>
      <c r="P798" s="209"/>
      <c r="Q798" s="89"/>
      <c r="R798" s="89"/>
      <c r="S798" s="89"/>
      <c r="T798" s="89"/>
      <c r="U798" s="89"/>
      <c r="V798" s="89"/>
      <c r="W798" s="89"/>
      <c r="X798" s="89"/>
      <c r="Y798" s="89"/>
      <c r="Z798" s="89"/>
      <c r="AA798" s="89"/>
      <c r="AB798" s="89"/>
      <c r="AC798" s="89"/>
      <c r="AD798" s="89"/>
      <c r="AE798" s="89"/>
      <c r="AF798" s="89"/>
      <c r="AM798" s="89"/>
      <c r="AN798" s="199"/>
      <c r="AO798" s="89"/>
    </row>
    <row r="799" spans="3:41" ht="15.75" customHeight="1" x14ac:dyDescent="0.25"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208"/>
      <c r="P799" s="209"/>
      <c r="Q799" s="89"/>
      <c r="R799" s="89"/>
      <c r="S799" s="89"/>
      <c r="T799" s="89"/>
      <c r="U799" s="89"/>
      <c r="V799" s="89"/>
      <c r="W799" s="89"/>
      <c r="X799" s="89"/>
      <c r="Y799" s="89"/>
      <c r="Z799" s="89"/>
      <c r="AA799" s="89"/>
      <c r="AB799" s="89"/>
      <c r="AC799" s="89"/>
      <c r="AD799" s="89"/>
      <c r="AE799" s="89"/>
      <c r="AF799" s="89"/>
      <c r="AM799" s="89"/>
      <c r="AN799" s="199"/>
      <c r="AO799" s="89"/>
    </row>
    <row r="800" spans="3:41" ht="15.75" customHeight="1" x14ac:dyDescent="0.25"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208"/>
      <c r="P800" s="209"/>
      <c r="Q800" s="89"/>
      <c r="R800" s="89"/>
      <c r="S800" s="89"/>
      <c r="T800" s="89"/>
      <c r="U800" s="89"/>
      <c r="V800" s="89"/>
      <c r="W800" s="89"/>
      <c r="X800" s="89"/>
      <c r="Y800" s="89"/>
      <c r="Z800" s="89"/>
      <c r="AA800" s="89"/>
      <c r="AB800" s="89"/>
      <c r="AC800" s="89"/>
      <c r="AD800" s="89"/>
      <c r="AE800" s="89"/>
      <c r="AF800" s="89"/>
      <c r="AM800" s="89"/>
      <c r="AN800" s="199"/>
      <c r="AO800" s="89"/>
    </row>
    <row r="801" spans="3:41" ht="15.75" customHeight="1" x14ac:dyDescent="0.25"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208"/>
      <c r="P801" s="20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M801" s="89"/>
      <c r="AN801" s="199"/>
      <c r="AO801" s="89"/>
    </row>
    <row r="802" spans="3:41" ht="15.75" customHeight="1" x14ac:dyDescent="0.25"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208"/>
      <c r="P802" s="209"/>
      <c r="Q802" s="89"/>
      <c r="R802" s="89"/>
      <c r="S802" s="89"/>
      <c r="T802" s="89"/>
      <c r="U802" s="89"/>
      <c r="V802" s="89"/>
      <c r="W802" s="89"/>
      <c r="X802" s="89"/>
      <c r="Y802" s="89"/>
      <c r="Z802" s="89"/>
      <c r="AA802" s="89"/>
      <c r="AB802" s="89"/>
      <c r="AC802" s="89"/>
      <c r="AD802" s="89"/>
      <c r="AE802" s="89"/>
      <c r="AF802" s="89"/>
      <c r="AM802" s="89"/>
      <c r="AN802" s="199"/>
      <c r="AO802" s="89"/>
    </row>
    <row r="803" spans="3:41" ht="15.75" customHeight="1" x14ac:dyDescent="0.25"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208"/>
      <c r="P803" s="209"/>
      <c r="Q803" s="89"/>
      <c r="R803" s="89"/>
      <c r="S803" s="89"/>
      <c r="T803" s="89"/>
      <c r="U803" s="89"/>
      <c r="V803" s="89"/>
      <c r="W803" s="89"/>
      <c r="X803" s="89"/>
      <c r="Y803" s="89"/>
      <c r="Z803" s="89"/>
      <c r="AA803" s="89"/>
      <c r="AB803" s="89"/>
      <c r="AC803" s="89"/>
      <c r="AD803" s="89"/>
      <c r="AE803" s="89"/>
      <c r="AF803" s="89"/>
      <c r="AM803" s="89"/>
      <c r="AN803" s="199"/>
      <c r="AO803" s="89"/>
    </row>
    <row r="804" spans="3:41" ht="15.75" customHeight="1" x14ac:dyDescent="0.25"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208"/>
      <c r="P804" s="209"/>
      <c r="Q804" s="89"/>
      <c r="R804" s="89"/>
      <c r="S804" s="89"/>
      <c r="T804" s="89"/>
      <c r="U804" s="89"/>
      <c r="V804" s="89"/>
      <c r="W804" s="89"/>
      <c r="X804" s="89"/>
      <c r="Y804" s="89"/>
      <c r="Z804" s="89"/>
      <c r="AA804" s="89"/>
      <c r="AB804" s="89"/>
      <c r="AC804" s="89"/>
      <c r="AD804" s="89"/>
      <c r="AE804" s="89"/>
      <c r="AF804" s="89"/>
      <c r="AM804" s="89"/>
      <c r="AN804" s="199"/>
      <c r="AO804" s="89"/>
    </row>
    <row r="805" spans="3:41" ht="15.75" customHeight="1" x14ac:dyDescent="0.25"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208"/>
      <c r="P805" s="209"/>
      <c r="Q805" s="89"/>
      <c r="R805" s="89"/>
      <c r="S805" s="89"/>
      <c r="T805" s="89"/>
      <c r="U805" s="89"/>
      <c r="V805" s="89"/>
      <c r="W805" s="89"/>
      <c r="X805" s="89"/>
      <c r="Y805" s="89"/>
      <c r="Z805" s="89"/>
      <c r="AA805" s="89"/>
      <c r="AB805" s="89"/>
      <c r="AC805" s="89"/>
      <c r="AD805" s="89"/>
      <c r="AE805" s="89"/>
      <c r="AF805" s="89"/>
      <c r="AM805" s="89"/>
      <c r="AN805" s="199"/>
      <c r="AO805" s="89"/>
    </row>
    <row r="806" spans="3:41" ht="15.75" customHeight="1" x14ac:dyDescent="0.25"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208"/>
      <c r="P806" s="209"/>
      <c r="Q806" s="89"/>
      <c r="R806" s="89"/>
      <c r="S806" s="89"/>
      <c r="T806" s="89"/>
      <c r="U806" s="89"/>
      <c r="V806" s="89"/>
      <c r="W806" s="89"/>
      <c r="X806" s="89"/>
      <c r="Y806" s="89"/>
      <c r="Z806" s="89"/>
      <c r="AA806" s="89"/>
      <c r="AB806" s="89"/>
      <c r="AC806" s="89"/>
      <c r="AD806" s="89"/>
      <c r="AE806" s="89"/>
      <c r="AF806" s="89"/>
      <c r="AM806" s="89"/>
      <c r="AN806" s="199"/>
      <c r="AO806" s="89"/>
    </row>
    <row r="807" spans="3:41" ht="15.75" customHeight="1" x14ac:dyDescent="0.25"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208"/>
      <c r="P807" s="209"/>
      <c r="Q807" s="89"/>
      <c r="R807" s="89"/>
      <c r="S807" s="89"/>
      <c r="T807" s="89"/>
      <c r="U807" s="89"/>
      <c r="V807" s="89"/>
      <c r="W807" s="89"/>
      <c r="X807" s="89"/>
      <c r="Y807" s="89"/>
      <c r="Z807" s="89"/>
      <c r="AA807" s="89"/>
      <c r="AB807" s="89"/>
      <c r="AC807" s="89"/>
      <c r="AD807" s="89"/>
      <c r="AE807" s="89"/>
      <c r="AF807" s="89"/>
      <c r="AM807" s="89"/>
      <c r="AN807" s="199"/>
      <c r="AO807" s="89"/>
    </row>
    <row r="808" spans="3:41" ht="15.75" customHeight="1" x14ac:dyDescent="0.25"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208"/>
      <c r="P808" s="209"/>
      <c r="Q808" s="89"/>
      <c r="R808" s="89"/>
      <c r="S808" s="89"/>
      <c r="T808" s="89"/>
      <c r="U808" s="89"/>
      <c r="V808" s="89"/>
      <c r="W808" s="89"/>
      <c r="X808" s="89"/>
      <c r="Y808" s="89"/>
      <c r="Z808" s="89"/>
      <c r="AA808" s="89"/>
      <c r="AB808" s="89"/>
      <c r="AC808" s="89"/>
      <c r="AD808" s="89"/>
      <c r="AE808" s="89"/>
      <c r="AF808" s="89"/>
      <c r="AM808" s="89"/>
      <c r="AN808" s="199"/>
      <c r="AO808" s="89"/>
    </row>
    <row r="809" spans="3:41" ht="15.75" customHeight="1" x14ac:dyDescent="0.25"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208"/>
      <c r="P809" s="209"/>
      <c r="Q809" s="89"/>
      <c r="R809" s="89"/>
      <c r="S809" s="89"/>
      <c r="T809" s="89"/>
      <c r="U809" s="89"/>
      <c r="V809" s="89"/>
      <c r="W809" s="89"/>
      <c r="X809" s="89"/>
      <c r="Y809" s="89"/>
      <c r="Z809" s="89"/>
      <c r="AA809" s="89"/>
      <c r="AB809" s="89"/>
      <c r="AC809" s="89"/>
      <c r="AD809" s="89"/>
      <c r="AE809" s="89"/>
      <c r="AF809" s="89"/>
      <c r="AM809" s="89"/>
      <c r="AN809" s="199"/>
      <c r="AO809" s="89"/>
    </row>
    <row r="810" spans="3:41" ht="15.75" customHeight="1" x14ac:dyDescent="0.25"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208"/>
      <c r="P810" s="209"/>
      <c r="Q810" s="89"/>
      <c r="R810" s="89"/>
      <c r="S810" s="89"/>
      <c r="T810" s="89"/>
      <c r="U810" s="89"/>
      <c r="V810" s="89"/>
      <c r="W810" s="89"/>
      <c r="X810" s="89"/>
      <c r="Y810" s="89"/>
      <c r="Z810" s="89"/>
      <c r="AA810" s="89"/>
      <c r="AB810" s="89"/>
      <c r="AC810" s="89"/>
      <c r="AD810" s="89"/>
      <c r="AE810" s="89"/>
      <c r="AF810" s="89"/>
      <c r="AM810" s="89"/>
      <c r="AN810" s="199"/>
      <c r="AO810" s="89"/>
    </row>
    <row r="811" spans="3:41" ht="15.75" customHeight="1" x14ac:dyDescent="0.25"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208"/>
      <c r="P811" s="209"/>
      <c r="Q811" s="89"/>
      <c r="R811" s="89"/>
      <c r="S811" s="89"/>
      <c r="T811" s="89"/>
      <c r="U811" s="89"/>
      <c r="V811" s="89"/>
      <c r="W811" s="89"/>
      <c r="X811" s="89"/>
      <c r="Y811" s="89"/>
      <c r="Z811" s="89"/>
      <c r="AA811" s="89"/>
      <c r="AB811" s="89"/>
      <c r="AC811" s="89"/>
      <c r="AD811" s="89"/>
      <c r="AE811" s="89"/>
      <c r="AF811" s="89"/>
      <c r="AM811" s="89"/>
      <c r="AN811" s="199"/>
      <c r="AO811" s="89"/>
    </row>
    <row r="812" spans="3:41" ht="15.75" customHeight="1" x14ac:dyDescent="0.25"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208"/>
      <c r="P812" s="209"/>
      <c r="Q812" s="89"/>
      <c r="R812" s="89"/>
      <c r="S812" s="89"/>
      <c r="T812" s="89"/>
      <c r="U812" s="89"/>
      <c r="V812" s="89"/>
      <c r="W812" s="89"/>
      <c r="X812" s="89"/>
      <c r="Y812" s="89"/>
      <c r="Z812" s="89"/>
      <c r="AA812" s="89"/>
      <c r="AB812" s="89"/>
      <c r="AC812" s="89"/>
      <c r="AD812" s="89"/>
      <c r="AE812" s="89"/>
      <c r="AF812" s="89"/>
      <c r="AM812" s="89"/>
      <c r="AN812" s="199"/>
      <c r="AO812" s="89"/>
    </row>
    <row r="813" spans="3:41" ht="15.75" customHeight="1" x14ac:dyDescent="0.25"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208"/>
      <c r="P813" s="209"/>
      <c r="Q813" s="89"/>
      <c r="R813" s="89"/>
      <c r="S813" s="89"/>
      <c r="T813" s="89"/>
      <c r="U813" s="89"/>
      <c r="V813" s="89"/>
      <c r="W813" s="89"/>
      <c r="X813" s="89"/>
      <c r="Y813" s="89"/>
      <c r="Z813" s="89"/>
      <c r="AA813" s="89"/>
      <c r="AB813" s="89"/>
      <c r="AC813" s="89"/>
      <c r="AD813" s="89"/>
      <c r="AE813" s="89"/>
      <c r="AF813" s="89"/>
      <c r="AM813" s="89"/>
      <c r="AN813" s="199"/>
      <c r="AO813" s="89"/>
    </row>
    <row r="814" spans="3:41" ht="15.75" customHeight="1" x14ac:dyDescent="0.25"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208"/>
      <c r="P814" s="209"/>
      <c r="Q814" s="89"/>
      <c r="R814" s="89"/>
      <c r="S814" s="89"/>
      <c r="T814" s="89"/>
      <c r="U814" s="89"/>
      <c r="V814" s="89"/>
      <c r="W814" s="89"/>
      <c r="X814" s="89"/>
      <c r="Y814" s="89"/>
      <c r="Z814" s="89"/>
      <c r="AA814" s="89"/>
      <c r="AB814" s="89"/>
      <c r="AC814" s="89"/>
      <c r="AD814" s="89"/>
      <c r="AE814" s="89"/>
      <c r="AF814" s="89"/>
      <c r="AM814" s="89"/>
      <c r="AN814" s="199"/>
      <c r="AO814" s="89"/>
    </row>
    <row r="815" spans="3:41" ht="15.75" customHeight="1" x14ac:dyDescent="0.25"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208"/>
      <c r="P815" s="209"/>
      <c r="Q815" s="89"/>
      <c r="R815" s="89"/>
      <c r="S815" s="89"/>
      <c r="T815" s="89"/>
      <c r="U815" s="89"/>
      <c r="V815" s="89"/>
      <c r="W815" s="89"/>
      <c r="X815" s="89"/>
      <c r="Y815" s="89"/>
      <c r="Z815" s="89"/>
      <c r="AA815" s="89"/>
      <c r="AB815" s="89"/>
      <c r="AC815" s="89"/>
      <c r="AD815" s="89"/>
      <c r="AE815" s="89"/>
      <c r="AF815" s="89"/>
      <c r="AM815" s="89"/>
      <c r="AN815" s="199"/>
      <c r="AO815" s="89"/>
    </row>
    <row r="816" spans="3:41" ht="15.75" customHeight="1" x14ac:dyDescent="0.25"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208"/>
      <c r="P816" s="209"/>
      <c r="Q816" s="89"/>
      <c r="R816" s="89"/>
      <c r="S816" s="89"/>
      <c r="T816" s="89"/>
      <c r="U816" s="89"/>
      <c r="V816" s="89"/>
      <c r="W816" s="89"/>
      <c r="X816" s="89"/>
      <c r="Y816" s="89"/>
      <c r="Z816" s="89"/>
      <c r="AA816" s="89"/>
      <c r="AB816" s="89"/>
      <c r="AC816" s="89"/>
      <c r="AD816" s="89"/>
      <c r="AE816" s="89"/>
      <c r="AF816" s="89"/>
      <c r="AM816" s="89"/>
      <c r="AN816" s="199"/>
      <c r="AO816" s="89"/>
    </row>
    <row r="817" spans="3:41" ht="15.75" customHeight="1" x14ac:dyDescent="0.25"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208"/>
      <c r="P817" s="209"/>
      <c r="Q817" s="89"/>
      <c r="R817" s="89"/>
      <c r="S817" s="89"/>
      <c r="T817" s="89"/>
      <c r="U817" s="89"/>
      <c r="V817" s="89"/>
      <c r="W817" s="89"/>
      <c r="X817" s="89"/>
      <c r="Y817" s="89"/>
      <c r="Z817" s="89"/>
      <c r="AA817" s="89"/>
      <c r="AB817" s="89"/>
      <c r="AC817" s="89"/>
      <c r="AD817" s="89"/>
      <c r="AE817" s="89"/>
      <c r="AF817" s="89"/>
      <c r="AM817" s="89"/>
      <c r="AN817" s="199"/>
      <c r="AO817" s="89"/>
    </row>
    <row r="818" spans="3:41" ht="15.75" customHeight="1" x14ac:dyDescent="0.25"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208"/>
      <c r="P818" s="209"/>
      <c r="Q818" s="89"/>
      <c r="R818" s="89"/>
      <c r="S818" s="89"/>
      <c r="T818" s="89"/>
      <c r="U818" s="89"/>
      <c r="V818" s="89"/>
      <c r="W818" s="89"/>
      <c r="X818" s="89"/>
      <c r="Y818" s="89"/>
      <c r="Z818" s="89"/>
      <c r="AA818" s="89"/>
      <c r="AB818" s="89"/>
      <c r="AC818" s="89"/>
      <c r="AD818" s="89"/>
      <c r="AE818" s="89"/>
      <c r="AF818" s="89"/>
      <c r="AM818" s="89"/>
      <c r="AN818" s="199"/>
      <c r="AO818" s="89"/>
    </row>
    <row r="819" spans="3:41" ht="15.75" customHeight="1" x14ac:dyDescent="0.25"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208"/>
      <c r="P819" s="209"/>
      <c r="Q819" s="89"/>
      <c r="R819" s="89"/>
      <c r="S819" s="89"/>
      <c r="T819" s="89"/>
      <c r="U819" s="89"/>
      <c r="V819" s="89"/>
      <c r="W819" s="89"/>
      <c r="X819" s="89"/>
      <c r="Y819" s="89"/>
      <c r="Z819" s="89"/>
      <c r="AA819" s="89"/>
      <c r="AB819" s="89"/>
      <c r="AC819" s="89"/>
      <c r="AD819" s="89"/>
      <c r="AE819" s="89"/>
      <c r="AF819" s="89"/>
      <c r="AM819" s="89"/>
      <c r="AN819" s="199"/>
      <c r="AO819" s="89"/>
    </row>
    <row r="820" spans="3:41" ht="15.75" customHeight="1" x14ac:dyDescent="0.25"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208"/>
      <c r="P820" s="209"/>
      <c r="Q820" s="89"/>
      <c r="R820" s="89"/>
      <c r="S820" s="89"/>
      <c r="T820" s="89"/>
      <c r="U820" s="89"/>
      <c r="V820" s="89"/>
      <c r="W820" s="89"/>
      <c r="X820" s="89"/>
      <c r="Y820" s="89"/>
      <c r="Z820" s="89"/>
      <c r="AA820" s="89"/>
      <c r="AB820" s="89"/>
      <c r="AC820" s="89"/>
      <c r="AD820" s="89"/>
      <c r="AE820" s="89"/>
      <c r="AF820" s="89"/>
      <c r="AM820" s="89"/>
      <c r="AN820" s="199"/>
      <c r="AO820" s="89"/>
    </row>
    <row r="821" spans="3:41" ht="15.75" customHeight="1" x14ac:dyDescent="0.25"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208"/>
      <c r="P821" s="209"/>
      <c r="Q821" s="89"/>
      <c r="R821" s="89"/>
      <c r="S821" s="89"/>
      <c r="T821" s="89"/>
      <c r="U821" s="89"/>
      <c r="V821" s="89"/>
      <c r="W821" s="89"/>
      <c r="X821" s="89"/>
      <c r="Y821" s="89"/>
      <c r="Z821" s="89"/>
      <c r="AA821" s="89"/>
      <c r="AB821" s="89"/>
      <c r="AC821" s="89"/>
      <c r="AD821" s="89"/>
      <c r="AE821" s="89"/>
      <c r="AF821" s="89"/>
      <c r="AM821" s="89"/>
      <c r="AN821" s="199"/>
      <c r="AO821" s="89"/>
    </row>
    <row r="822" spans="3:41" ht="15.75" customHeight="1" x14ac:dyDescent="0.25"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208"/>
      <c r="P822" s="209"/>
      <c r="Q822" s="89"/>
      <c r="R822" s="89"/>
      <c r="S822" s="89"/>
      <c r="T822" s="89"/>
      <c r="U822" s="89"/>
      <c r="V822" s="89"/>
      <c r="W822" s="89"/>
      <c r="X822" s="89"/>
      <c r="Y822" s="89"/>
      <c r="Z822" s="89"/>
      <c r="AA822" s="89"/>
      <c r="AB822" s="89"/>
      <c r="AC822" s="89"/>
      <c r="AD822" s="89"/>
      <c r="AE822" s="89"/>
      <c r="AF822" s="89"/>
      <c r="AM822" s="89"/>
      <c r="AN822" s="199"/>
      <c r="AO822" s="89"/>
    </row>
    <row r="823" spans="3:41" ht="15.75" customHeight="1" x14ac:dyDescent="0.25"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208"/>
      <c r="P823" s="209"/>
      <c r="Q823" s="89"/>
      <c r="R823" s="89"/>
      <c r="S823" s="89"/>
      <c r="T823" s="89"/>
      <c r="U823" s="89"/>
      <c r="V823" s="89"/>
      <c r="W823" s="89"/>
      <c r="X823" s="89"/>
      <c r="Y823" s="89"/>
      <c r="Z823" s="89"/>
      <c r="AA823" s="89"/>
      <c r="AB823" s="89"/>
      <c r="AC823" s="89"/>
      <c r="AD823" s="89"/>
      <c r="AE823" s="89"/>
      <c r="AF823" s="89"/>
      <c r="AM823" s="89"/>
      <c r="AN823" s="199"/>
      <c r="AO823" s="89"/>
    </row>
    <row r="824" spans="3:41" ht="15.75" customHeight="1" x14ac:dyDescent="0.25"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208"/>
      <c r="P824" s="209"/>
      <c r="Q824" s="89"/>
      <c r="R824" s="89"/>
      <c r="S824" s="89"/>
      <c r="T824" s="89"/>
      <c r="U824" s="89"/>
      <c r="V824" s="89"/>
      <c r="W824" s="89"/>
      <c r="X824" s="89"/>
      <c r="Y824" s="89"/>
      <c r="Z824" s="89"/>
      <c r="AA824" s="89"/>
      <c r="AB824" s="89"/>
      <c r="AC824" s="89"/>
      <c r="AD824" s="89"/>
      <c r="AE824" s="89"/>
      <c r="AF824" s="89"/>
      <c r="AM824" s="89"/>
      <c r="AN824" s="199"/>
      <c r="AO824" s="89"/>
    </row>
    <row r="825" spans="3:41" ht="15.75" customHeight="1" x14ac:dyDescent="0.25"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208"/>
      <c r="P825" s="209"/>
      <c r="Q825" s="89"/>
      <c r="R825" s="89"/>
      <c r="S825" s="89"/>
      <c r="T825" s="89"/>
      <c r="U825" s="89"/>
      <c r="V825" s="89"/>
      <c r="W825" s="89"/>
      <c r="X825" s="89"/>
      <c r="Y825" s="89"/>
      <c r="Z825" s="89"/>
      <c r="AA825" s="89"/>
      <c r="AB825" s="89"/>
      <c r="AC825" s="89"/>
      <c r="AD825" s="89"/>
      <c r="AE825" s="89"/>
      <c r="AF825" s="89"/>
      <c r="AM825" s="89"/>
      <c r="AN825" s="199"/>
      <c r="AO825" s="89"/>
    </row>
    <row r="826" spans="3:41" ht="15.75" customHeight="1" x14ac:dyDescent="0.25"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208"/>
      <c r="P826" s="209"/>
      <c r="Q826" s="89"/>
      <c r="R826" s="89"/>
      <c r="S826" s="89"/>
      <c r="T826" s="89"/>
      <c r="U826" s="89"/>
      <c r="V826" s="89"/>
      <c r="W826" s="89"/>
      <c r="X826" s="89"/>
      <c r="Y826" s="89"/>
      <c r="Z826" s="89"/>
      <c r="AA826" s="89"/>
      <c r="AB826" s="89"/>
      <c r="AC826" s="89"/>
      <c r="AD826" s="89"/>
      <c r="AE826" s="89"/>
      <c r="AF826" s="89"/>
      <c r="AM826" s="89"/>
      <c r="AN826" s="199"/>
      <c r="AO826" s="89"/>
    </row>
    <row r="827" spans="3:41" ht="15.75" customHeight="1" x14ac:dyDescent="0.25"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208"/>
      <c r="P827" s="209"/>
      <c r="Q827" s="89"/>
      <c r="R827" s="89"/>
      <c r="S827" s="89"/>
      <c r="T827" s="89"/>
      <c r="U827" s="89"/>
      <c r="V827" s="89"/>
      <c r="W827" s="89"/>
      <c r="X827" s="89"/>
      <c r="Y827" s="89"/>
      <c r="Z827" s="89"/>
      <c r="AA827" s="89"/>
      <c r="AB827" s="89"/>
      <c r="AC827" s="89"/>
      <c r="AD827" s="89"/>
      <c r="AE827" s="89"/>
      <c r="AF827" s="89"/>
      <c r="AM827" s="89"/>
      <c r="AN827" s="199"/>
      <c r="AO827" s="89"/>
    </row>
    <row r="828" spans="3:41" ht="15.75" customHeight="1" x14ac:dyDescent="0.25"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208"/>
      <c r="P828" s="209"/>
      <c r="Q828" s="89"/>
      <c r="R828" s="89"/>
      <c r="S828" s="89"/>
      <c r="T828" s="89"/>
      <c r="U828" s="89"/>
      <c r="V828" s="89"/>
      <c r="W828" s="89"/>
      <c r="X828" s="89"/>
      <c r="Y828" s="89"/>
      <c r="Z828" s="89"/>
      <c r="AA828" s="89"/>
      <c r="AB828" s="89"/>
      <c r="AC828" s="89"/>
      <c r="AD828" s="89"/>
      <c r="AE828" s="89"/>
      <c r="AF828" s="89"/>
      <c r="AM828" s="89"/>
      <c r="AN828" s="199"/>
      <c r="AO828" s="89"/>
    </row>
    <row r="829" spans="3:41" ht="15.75" customHeight="1" x14ac:dyDescent="0.25"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208"/>
      <c r="P829" s="209"/>
      <c r="Q829" s="89"/>
      <c r="R829" s="89"/>
      <c r="S829" s="89"/>
      <c r="T829" s="89"/>
      <c r="U829" s="89"/>
      <c r="V829" s="89"/>
      <c r="W829" s="89"/>
      <c r="X829" s="89"/>
      <c r="Y829" s="89"/>
      <c r="Z829" s="89"/>
      <c r="AA829" s="89"/>
      <c r="AB829" s="89"/>
      <c r="AC829" s="89"/>
      <c r="AD829" s="89"/>
      <c r="AE829" s="89"/>
      <c r="AF829" s="89"/>
      <c r="AM829" s="89"/>
      <c r="AN829" s="199"/>
      <c r="AO829" s="89"/>
    </row>
    <row r="830" spans="3:41" ht="15.75" customHeight="1" x14ac:dyDescent="0.25"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208"/>
      <c r="P830" s="209"/>
      <c r="Q830" s="89"/>
      <c r="R830" s="89"/>
      <c r="S830" s="89"/>
      <c r="T830" s="89"/>
      <c r="U830" s="89"/>
      <c r="V830" s="89"/>
      <c r="W830" s="89"/>
      <c r="X830" s="89"/>
      <c r="Y830" s="89"/>
      <c r="Z830" s="89"/>
      <c r="AA830" s="89"/>
      <c r="AB830" s="89"/>
      <c r="AC830" s="89"/>
      <c r="AD830" s="89"/>
      <c r="AE830" s="89"/>
      <c r="AF830" s="89"/>
      <c r="AM830" s="89"/>
      <c r="AN830" s="199"/>
      <c r="AO830" s="89"/>
    </row>
    <row r="831" spans="3:41" ht="15.75" customHeight="1" x14ac:dyDescent="0.25"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208"/>
      <c r="P831" s="209"/>
      <c r="Q831" s="89"/>
      <c r="R831" s="89"/>
      <c r="S831" s="89"/>
      <c r="T831" s="89"/>
      <c r="U831" s="89"/>
      <c r="V831" s="89"/>
      <c r="W831" s="89"/>
      <c r="X831" s="89"/>
      <c r="Y831" s="89"/>
      <c r="Z831" s="89"/>
      <c r="AA831" s="89"/>
      <c r="AB831" s="89"/>
      <c r="AC831" s="89"/>
      <c r="AD831" s="89"/>
      <c r="AE831" s="89"/>
      <c r="AF831" s="89"/>
      <c r="AM831" s="89"/>
      <c r="AN831" s="199"/>
      <c r="AO831" s="89"/>
    </row>
    <row r="832" spans="3:41" ht="15.75" customHeight="1" x14ac:dyDescent="0.25"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208"/>
      <c r="P832" s="209"/>
      <c r="Q832" s="89"/>
      <c r="R832" s="89"/>
      <c r="S832" s="89"/>
      <c r="T832" s="89"/>
      <c r="U832" s="89"/>
      <c r="V832" s="89"/>
      <c r="W832" s="89"/>
      <c r="X832" s="89"/>
      <c r="Y832" s="89"/>
      <c r="Z832" s="89"/>
      <c r="AA832" s="89"/>
      <c r="AB832" s="89"/>
      <c r="AC832" s="89"/>
      <c r="AD832" s="89"/>
      <c r="AE832" s="89"/>
      <c r="AF832" s="89"/>
      <c r="AM832" s="89"/>
      <c r="AN832" s="199"/>
      <c r="AO832" s="89"/>
    </row>
    <row r="833" spans="3:41" ht="15.75" customHeight="1" x14ac:dyDescent="0.25"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208"/>
      <c r="P833" s="209"/>
      <c r="Q833" s="89"/>
      <c r="R833" s="89"/>
      <c r="S833" s="89"/>
      <c r="T833" s="89"/>
      <c r="U833" s="89"/>
      <c r="V833" s="89"/>
      <c r="W833" s="89"/>
      <c r="X833" s="89"/>
      <c r="Y833" s="89"/>
      <c r="Z833" s="89"/>
      <c r="AA833" s="89"/>
      <c r="AB833" s="89"/>
      <c r="AC833" s="89"/>
      <c r="AD833" s="89"/>
      <c r="AE833" s="89"/>
      <c r="AF833" s="89"/>
      <c r="AM833" s="89"/>
      <c r="AN833" s="199"/>
      <c r="AO833" s="89"/>
    </row>
    <row r="834" spans="3:41" ht="15.75" customHeight="1" x14ac:dyDescent="0.25"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208"/>
      <c r="P834" s="209"/>
      <c r="Q834" s="89"/>
      <c r="R834" s="89"/>
      <c r="S834" s="89"/>
      <c r="T834" s="89"/>
      <c r="U834" s="89"/>
      <c r="V834" s="89"/>
      <c r="W834" s="89"/>
      <c r="X834" s="89"/>
      <c r="Y834" s="89"/>
      <c r="Z834" s="89"/>
      <c r="AA834" s="89"/>
      <c r="AB834" s="89"/>
      <c r="AC834" s="89"/>
      <c r="AD834" s="89"/>
      <c r="AE834" s="89"/>
      <c r="AF834" s="89"/>
      <c r="AM834" s="89"/>
      <c r="AN834" s="199"/>
      <c r="AO834" s="89"/>
    </row>
    <row r="835" spans="3:41" ht="15.75" customHeight="1" x14ac:dyDescent="0.25"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208"/>
      <c r="P835" s="209"/>
      <c r="Q835" s="89"/>
      <c r="R835" s="89"/>
      <c r="S835" s="89"/>
      <c r="T835" s="89"/>
      <c r="U835" s="89"/>
      <c r="V835" s="89"/>
      <c r="W835" s="89"/>
      <c r="X835" s="89"/>
      <c r="Y835" s="89"/>
      <c r="Z835" s="89"/>
      <c r="AA835" s="89"/>
      <c r="AB835" s="89"/>
      <c r="AC835" s="89"/>
      <c r="AD835" s="89"/>
      <c r="AE835" s="89"/>
      <c r="AF835" s="89"/>
      <c r="AM835" s="89"/>
      <c r="AN835" s="199"/>
      <c r="AO835" s="89"/>
    </row>
    <row r="836" spans="3:41" ht="15.75" customHeight="1" x14ac:dyDescent="0.25"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208"/>
      <c r="P836" s="209"/>
      <c r="Q836" s="89"/>
      <c r="R836" s="89"/>
      <c r="S836" s="89"/>
      <c r="T836" s="89"/>
      <c r="U836" s="89"/>
      <c r="V836" s="89"/>
      <c r="W836" s="89"/>
      <c r="X836" s="89"/>
      <c r="Y836" s="89"/>
      <c r="Z836" s="89"/>
      <c r="AA836" s="89"/>
      <c r="AB836" s="89"/>
      <c r="AC836" s="89"/>
      <c r="AD836" s="89"/>
      <c r="AE836" s="89"/>
      <c r="AF836" s="89"/>
      <c r="AM836" s="89"/>
      <c r="AN836" s="199"/>
      <c r="AO836" s="89"/>
    </row>
    <row r="837" spans="3:41" ht="15.75" customHeight="1" x14ac:dyDescent="0.25"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208"/>
      <c r="P837" s="209"/>
      <c r="Q837" s="89"/>
      <c r="R837" s="89"/>
      <c r="S837" s="89"/>
      <c r="T837" s="89"/>
      <c r="U837" s="89"/>
      <c r="V837" s="89"/>
      <c r="W837" s="89"/>
      <c r="X837" s="89"/>
      <c r="Y837" s="89"/>
      <c r="Z837" s="89"/>
      <c r="AA837" s="89"/>
      <c r="AB837" s="89"/>
      <c r="AC837" s="89"/>
      <c r="AD837" s="89"/>
      <c r="AE837" s="89"/>
      <c r="AF837" s="89"/>
      <c r="AM837" s="89"/>
      <c r="AN837" s="199"/>
      <c r="AO837" s="89"/>
    </row>
    <row r="838" spans="3:41" ht="15.75" customHeight="1" x14ac:dyDescent="0.25"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208"/>
      <c r="P838" s="209"/>
      <c r="Q838" s="89"/>
      <c r="R838" s="89"/>
      <c r="S838" s="89"/>
      <c r="T838" s="89"/>
      <c r="U838" s="89"/>
      <c r="V838" s="89"/>
      <c r="W838" s="89"/>
      <c r="X838" s="89"/>
      <c r="Y838" s="89"/>
      <c r="Z838" s="89"/>
      <c r="AA838" s="89"/>
      <c r="AB838" s="89"/>
      <c r="AC838" s="89"/>
      <c r="AD838" s="89"/>
      <c r="AE838" s="89"/>
      <c r="AF838" s="89"/>
      <c r="AM838" s="89"/>
      <c r="AN838" s="199"/>
      <c r="AO838" s="89"/>
    </row>
    <row r="839" spans="3:41" ht="15.75" customHeight="1" x14ac:dyDescent="0.25"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208"/>
      <c r="P839" s="20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M839" s="89"/>
      <c r="AN839" s="199"/>
      <c r="AO839" s="89"/>
    </row>
    <row r="840" spans="3:41" ht="15.75" customHeight="1" x14ac:dyDescent="0.25"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208"/>
      <c r="P840" s="209"/>
      <c r="Q840" s="89"/>
      <c r="R840" s="89"/>
      <c r="S840" s="89"/>
      <c r="T840" s="89"/>
      <c r="U840" s="89"/>
      <c r="V840" s="89"/>
      <c r="W840" s="89"/>
      <c r="X840" s="89"/>
      <c r="Y840" s="89"/>
      <c r="Z840" s="89"/>
      <c r="AA840" s="89"/>
      <c r="AB840" s="89"/>
      <c r="AC840" s="89"/>
      <c r="AD840" s="89"/>
      <c r="AE840" s="89"/>
      <c r="AF840" s="89"/>
      <c r="AM840" s="89"/>
      <c r="AN840" s="199"/>
      <c r="AO840" s="89"/>
    </row>
    <row r="841" spans="3:41" ht="15.75" customHeight="1" x14ac:dyDescent="0.25"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208"/>
      <c r="P841" s="209"/>
      <c r="Q841" s="89"/>
      <c r="R841" s="89"/>
      <c r="S841" s="89"/>
      <c r="T841" s="89"/>
      <c r="U841" s="89"/>
      <c r="V841" s="89"/>
      <c r="W841" s="89"/>
      <c r="X841" s="89"/>
      <c r="Y841" s="89"/>
      <c r="Z841" s="89"/>
      <c r="AA841" s="89"/>
      <c r="AB841" s="89"/>
      <c r="AC841" s="89"/>
      <c r="AD841" s="89"/>
      <c r="AE841" s="89"/>
      <c r="AF841" s="89"/>
      <c r="AM841" s="89"/>
      <c r="AN841" s="199"/>
      <c r="AO841" s="89"/>
    </row>
    <row r="842" spans="3:41" ht="15.75" customHeight="1" x14ac:dyDescent="0.25"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208"/>
      <c r="P842" s="209"/>
      <c r="Q842" s="89"/>
      <c r="R842" s="89"/>
      <c r="S842" s="89"/>
      <c r="T842" s="89"/>
      <c r="U842" s="89"/>
      <c r="V842" s="89"/>
      <c r="W842" s="89"/>
      <c r="X842" s="89"/>
      <c r="Y842" s="89"/>
      <c r="Z842" s="89"/>
      <c r="AA842" s="89"/>
      <c r="AB842" s="89"/>
      <c r="AC842" s="89"/>
      <c r="AD842" s="89"/>
      <c r="AE842" s="89"/>
      <c r="AF842" s="89"/>
      <c r="AM842" s="89"/>
      <c r="AN842" s="199"/>
      <c r="AO842" s="89"/>
    </row>
    <row r="843" spans="3:41" ht="15.75" customHeight="1" x14ac:dyDescent="0.25"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208"/>
      <c r="P843" s="209"/>
      <c r="Q843" s="89"/>
      <c r="R843" s="89"/>
      <c r="S843" s="89"/>
      <c r="T843" s="89"/>
      <c r="U843" s="89"/>
      <c r="V843" s="89"/>
      <c r="W843" s="89"/>
      <c r="X843" s="89"/>
      <c r="Y843" s="89"/>
      <c r="Z843" s="89"/>
      <c r="AA843" s="89"/>
      <c r="AB843" s="89"/>
      <c r="AC843" s="89"/>
      <c r="AD843" s="89"/>
      <c r="AE843" s="89"/>
      <c r="AF843" s="89"/>
      <c r="AM843" s="89"/>
      <c r="AN843" s="199"/>
      <c r="AO843" s="89"/>
    </row>
    <row r="844" spans="3:41" ht="15.75" customHeight="1" x14ac:dyDescent="0.25"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208"/>
      <c r="P844" s="209"/>
      <c r="Q844" s="89"/>
      <c r="R844" s="89"/>
      <c r="S844" s="89"/>
      <c r="T844" s="89"/>
      <c r="U844" s="89"/>
      <c r="V844" s="89"/>
      <c r="W844" s="89"/>
      <c r="X844" s="89"/>
      <c r="Y844" s="89"/>
      <c r="Z844" s="89"/>
      <c r="AA844" s="89"/>
      <c r="AB844" s="89"/>
      <c r="AC844" s="89"/>
      <c r="AD844" s="89"/>
      <c r="AE844" s="89"/>
      <c r="AF844" s="89"/>
      <c r="AM844" s="89"/>
      <c r="AN844" s="199"/>
      <c r="AO844" s="89"/>
    </row>
    <row r="845" spans="3:41" ht="15.75" customHeight="1" x14ac:dyDescent="0.25"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208"/>
      <c r="P845" s="209"/>
      <c r="Q845" s="89"/>
      <c r="R845" s="89"/>
      <c r="S845" s="89"/>
      <c r="T845" s="89"/>
      <c r="U845" s="89"/>
      <c r="V845" s="89"/>
      <c r="W845" s="89"/>
      <c r="X845" s="89"/>
      <c r="Y845" s="89"/>
      <c r="Z845" s="89"/>
      <c r="AA845" s="89"/>
      <c r="AB845" s="89"/>
      <c r="AC845" s="89"/>
      <c r="AD845" s="89"/>
      <c r="AE845" s="89"/>
      <c r="AF845" s="89"/>
      <c r="AM845" s="89"/>
      <c r="AN845" s="199"/>
      <c r="AO845" s="89"/>
    </row>
    <row r="846" spans="3:41" ht="15.75" customHeight="1" x14ac:dyDescent="0.25"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208"/>
      <c r="P846" s="209"/>
      <c r="Q846" s="89"/>
      <c r="R846" s="89"/>
      <c r="S846" s="89"/>
      <c r="T846" s="89"/>
      <c r="U846" s="89"/>
      <c r="V846" s="89"/>
      <c r="W846" s="89"/>
      <c r="X846" s="89"/>
      <c r="Y846" s="89"/>
      <c r="Z846" s="89"/>
      <c r="AA846" s="89"/>
      <c r="AB846" s="89"/>
      <c r="AC846" s="89"/>
      <c r="AD846" s="89"/>
      <c r="AE846" s="89"/>
      <c r="AF846" s="89"/>
      <c r="AM846" s="89"/>
      <c r="AN846" s="199"/>
      <c r="AO846" s="89"/>
    </row>
    <row r="847" spans="3:41" ht="15.75" customHeight="1" x14ac:dyDescent="0.25"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208"/>
      <c r="P847" s="209"/>
      <c r="Q847" s="89"/>
      <c r="R847" s="89"/>
      <c r="S847" s="89"/>
      <c r="T847" s="89"/>
      <c r="U847" s="89"/>
      <c r="V847" s="89"/>
      <c r="W847" s="89"/>
      <c r="X847" s="89"/>
      <c r="Y847" s="89"/>
      <c r="Z847" s="89"/>
      <c r="AA847" s="89"/>
      <c r="AB847" s="89"/>
      <c r="AC847" s="89"/>
      <c r="AD847" s="89"/>
      <c r="AE847" s="89"/>
      <c r="AF847" s="89"/>
      <c r="AM847" s="89"/>
      <c r="AN847" s="199"/>
      <c r="AO847" s="89"/>
    </row>
    <row r="848" spans="3:41" ht="15.75" customHeight="1" x14ac:dyDescent="0.25"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208"/>
      <c r="P848" s="209"/>
      <c r="Q848" s="89"/>
      <c r="R848" s="89"/>
      <c r="S848" s="89"/>
      <c r="T848" s="89"/>
      <c r="U848" s="89"/>
      <c r="V848" s="89"/>
      <c r="W848" s="89"/>
      <c r="X848" s="89"/>
      <c r="Y848" s="89"/>
      <c r="Z848" s="89"/>
      <c r="AA848" s="89"/>
      <c r="AB848" s="89"/>
      <c r="AC848" s="89"/>
      <c r="AD848" s="89"/>
      <c r="AE848" s="89"/>
      <c r="AF848" s="89"/>
      <c r="AM848" s="89"/>
      <c r="AN848" s="199"/>
      <c r="AO848" s="89"/>
    </row>
    <row r="849" spans="3:41" ht="15.75" customHeight="1" x14ac:dyDescent="0.25"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208"/>
      <c r="P849" s="209"/>
      <c r="Q849" s="89"/>
      <c r="R849" s="89"/>
      <c r="S849" s="89"/>
      <c r="T849" s="89"/>
      <c r="U849" s="89"/>
      <c r="V849" s="89"/>
      <c r="W849" s="89"/>
      <c r="X849" s="89"/>
      <c r="Y849" s="89"/>
      <c r="Z849" s="89"/>
      <c r="AA849" s="89"/>
      <c r="AB849" s="89"/>
      <c r="AC849" s="89"/>
      <c r="AD849" s="89"/>
      <c r="AE849" s="89"/>
      <c r="AF849" s="89"/>
      <c r="AM849" s="89"/>
      <c r="AN849" s="199"/>
      <c r="AO849" s="89"/>
    </row>
    <row r="850" spans="3:41" ht="15.75" customHeight="1" x14ac:dyDescent="0.25"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208"/>
      <c r="P850" s="209"/>
      <c r="Q850" s="89"/>
      <c r="R850" s="89"/>
      <c r="S850" s="89"/>
      <c r="T850" s="89"/>
      <c r="U850" s="89"/>
      <c r="V850" s="89"/>
      <c r="W850" s="89"/>
      <c r="X850" s="89"/>
      <c r="Y850" s="89"/>
      <c r="Z850" s="89"/>
      <c r="AA850" s="89"/>
      <c r="AB850" s="89"/>
      <c r="AC850" s="89"/>
      <c r="AD850" s="89"/>
      <c r="AE850" s="89"/>
      <c r="AF850" s="89"/>
      <c r="AM850" s="89"/>
      <c r="AN850" s="199"/>
      <c r="AO850" s="89"/>
    </row>
    <row r="851" spans="3:41" ht="15.75" customHeight="1" x14ac:dyDescent="0.25"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208"/>
      <c r="P851" s="209"/>
      <c r="Q851" s="89"/>
      <c r="R851" s="89"/>
      <c r="S851" s="89"/>
      <c r="T851" s="89"/>
      <c r="U851" s="89"/>
      <c r="V851" s="89"/>
      <c r="W851" s="89"/>
      <c r="X851" s="89"/>
      <c r="Y851" s="89"/>
      <c r="Z851" s="89"/>
      <c r="AA851" s="89"/>
      <c r="AB851" s="89"/>
      <c r="AC851" s="89"/>
      <c r="AD851" s="89"/>
      <c r="AE851" s="89"/>
      <c r="AF851" s="89"/>
      <c r="AM851" s="89"/>
      <c r="AN851" s="199"/>
      <c r="AO851" s="89"/>
    </row>
    <row r="852" spans="3:41" ht="15.75" customHeight="1" x14ac:dyDescent="0.25"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208"/>
      <c r="P852" s="209"/>
      <c r="Q852" s="89"/>
      <c r="R852" s="89"/>
      <c r="S852" s="89"/>
      <c r="T852" s="89"/>
      <c r="U852" s="89"/>
      <c r="V852" s="89"/>
      <c r="W852" s="89"/>
      <c r="X852" s="89"/>
      <c r="Y852" s="89"/>
      <c r="Z852" s="89"/>
      <c r="AA852" s="89"/>
      <c r="AB852" s="89"/>
      <c r="AC852" s="89"/>
      <c r="AD852" s="89"/>
      <c r="AE852" s="89"/>
      <c r="AF852" s="89"/>
      <c r="AM852" s="89"/>
      <c r="AN852" s="199"/>
      <c r="AO852" s="89"/>
    </row>
    <row r="853" spans="3:41" ht="15.75" customHeight="1" x14ac:dyDescent="0.25"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208"/>
      <c r="P853" s="209"/>
      <c r="Q853" s="89"/>
      <c r="R853" s="89"/>
      <c r="S853" s="89"/>
      <c r="T853" s="89"/>
      <c r="U853" s="89"/>
      <c r="V853" s="89"/>
      <c r="W853" s="89"/>
      <c r="X853" s="89"/>
      <c r="Y853" s="89"/>
      <c r="Z853" s="89"/>
      <c r="AA853" s="89"/>
      <c r="AB853" s="89"/>
      <c r="AC853" s="89"/>
      <c r="AD853" s="89"/>
      <c r="AE853" s="89"/>
      <c r="AF853" s="89"/>
      <c r="AM853" s="89"/>
      <c r="AN853" s="199"/>
      <c r="AO853" s="89"/>
    </row>
    <row r="854" spans="3:41" ht="15.75" customHeight="1" x14ac:dyDescent="0.25"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208"/>
      <c r="P854" s="209"/>
      <c r="Q854" s="89"/>
      <c r="R854" s="89"/>
      <c r="S854" s="89"/>
      <c r="T854" s="89"/>
      <c r="U854" s="89"/>
      <c r="V854" s="89"/>
      <c r="W854" s="89"/>
      <c r="X854" s="89"/>
      <c r="Y854" s="89"/>
      <c r="Z854" s="89"/>
      <c r="AA854" s="89"/>
      <c r="AB854" s="89"/>
      <c r="AC854" s="89"/>
      <c r="AD854" s="89"/>
      <c r="AE854" s="89"/>
      <c r="AF854" s="89"/>
      <c r="AM854" s="89"/>
      <c r="AN854" s="199"/>
      <c r="AO854" s="89"/>
    </row>
    <row r="855" spans="3:41" ht="15.75" customHeight="1" x14ac:dyDescent="0.25"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208"/>
      <c r="P855" s="209"/>
      <c r="Q855" s="89"/>
      <c r="R855" s="89"/>
      <c r="S855" s="89"/>
      <c r="T855" s="89"/>
      <c r="U855" s="89"/>
      <c r="V855" s="89"/>
      <c r="W855" s="89"/>
      <c r="X855" s="89"/>
      <c r="Y855" s="89"/>
      <c r="Z855" s="89"/>
      <c r="AA855" s="89"/>
      <c r="AB855" s="89"/>
      <c r="AC855" s="89"/>
      <c r="AD855" s="89"/>
      <c r="AE855" s="89"/>
      <c r="AF855" s="89"/>
      <c r="AM855" s="89"/>
      <c r="AN855" s="199"/>
      <c r="AO855" s="89"/>
    </row>
    <row r="856" spans="3:41" ht="15.75" customHeight="1" x14ac:dyDescent="0.25"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208"/>
      <c r="P856" s="209"/>
      <c r="Q856" s="89"/>
      <c r="R856" s="89"/>
      <c r="S856" s="89"/>
      <c r="T856" s="89"/>
      <c r="U856" s="89"/>
      <c r="V856" s="89"/>
      <c r="W856" s="89"/>
      <c r="X856" s="89"/>
      <c r="Y856" s="89"/>
      <c r="Z856" s="89"/>
      <c r="AA856" s="89"/>
      <c r="AB856" s="89"/>
      <c r="AC856" s="89"/>
      <c r="AD856" s="89"/>
      <c r="AE856" s="89"/>
      <c r="AF856" s="89"/>
      <c r="AM856" s="89"/>
      <c r="AN856" s="199"/>
      <c r="AO856" s="89"/>
    </row>
    <row r="857" spans="3:41" ht="15.75" customHeight="1" x14ac:dyDescent="0.25"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208"/>
      <c r="P857" s="209"/>
      <c r="Q857" s="89"/>
      <c r="R857" s="89"/>
      <c r="S857" s="89"/>
      <c r="T857" s="89"/>
      <c r="U857" s="89"/>
      <c r="V857" s="89"/>
      <c r="W857" s="89"/>
      <c r="X857" s="89"/>
      <c r="Y857" s="89"/>
      <c r="Z857" s="89"/>
      <c r="AA857" s="89"/>
      <c r="AB857" s="89"/>
      <c r="AC857" s="89"/>
      <c r="AD857" s="89"/>
      <c r="AE857" s="89"/>
      <c r="AF857" s="89"/>
      <c r="AM857" s="89"/>
      <c r="AN857" s="199"/>
      <c r="AO857" s="89"/>
    </row>
    <row r="858" spans="3:41" ht="15.75" customHeight="1" x14ac:dyDescent="0.25"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208"/>
      <c r="P858" s="209"/>
      <c r="Q858" s="89"/>
      <c r="R858" s="89"/>
      <c r="S858" s="89"/>
      <c r="T858" s="89"/>
      <c r="U858" s="89"/>
      <c r="V858" s="89"/>
      <c r="W858" s="89"/>
      <c r="X858" s="89"/>
      <c r="Y858" s="89"/>
      <c r="Z858" s="89"/>
      <c r="AA858" s="89"/>
      <c r="AB858" s="89"/>
      <c r="AC858" s="89"/>
      <c r="AD858" s="89"/>
      <c r="AE858" s="89"/>
      <c r="AF858" s="89"/>
      <c r="AM858" s="89"/>
      <c r="AN858" s="199"/>
      <c r="AO858" s="89"/>
    </row>
    <row r="859" spans="3:41" ht="15.75" customHeight="1" x14ac:dyDescent="0.25"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208"/>
      <c r="P859" s="209"/>
      <c r="Q859" s="89"/>
      <c r="R859" s="89"/>
      <c r="S859" s="89"/>
      <c r="T859" s="89"/>
      <c r="U859" s="89"/>
      <c r="V859" s="89"/>
      <c r="W859" s="89"/>
      <c r="X859" s="89"/>
      <c r="Y859" s="89"/>
      <c r="Z859" s="89"/>
      <c r="AA859" s="89"/>
      <c r="AB859" s="89"/>
      <c r="AC859" s="89"/>
      <c r="AD859" s="89"/>
      <c r="AE859" s="89"/>
      <c r="AF859" s="89"/>
      <c r="AM859" s="89"/>
      <c r="AN859" s="199"/>
      <c r="AO859" s="89"/>
    </row>
    <row r="860" spans="3:41" ht="15.75" customHeight="1" x14ac:dyDescent="0.25"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208"/>
      <c r="P860" s="209"/>
      <c r="Q860" s="89"/>
      <c r="R860" s="89"/>
      <c r="S860" s="89"/>
      <c r="T860" s="89"/>
      <c r="U860" s="89"/>
      <c r="V860" s="89"/>
      <c r="W860" s="89"/>
      <c r="X860" s="89"/>
      <c r="Y860" s="89"/>
      <c r="Z860" s="89"/>
      <c r="AA860" s="89"/>
      <c r="AB860" s="89"/>
      <c r="AC860" s="89"/>
      <c r="AD860" s="89"/>
      <c r="AE860" s="89"/>
      <c r="AF860" s="89"/>
      <c r="AM860" s="89"/>
      <c r="AN860" s="199"/>
      <c r="AO860" s="89"/>
    </row>
    <row r="861" spans="3:41" ht="15.75" customHeight="1" x14ac:dyDescent="0.25"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208"/>
      <c r="P861" s="209"/>
      <c r="Q861" s="89"/>
      <c r="R861" s="89"/>
      <c r="S861" s="89"/>
      <c r="T861" s="89"/>
      <c r="U861" s="89"/>
      <c r="V861" s="89"/>
      <c r="W861" s="89"/>
      <c r="X861" s="89"/>
      <c r="Y861" s="89"/>
      <c r="Z861" s="89"/>
      <c r="AA861" s="89"/>
      <c r="AB861" s="89"/>
      <c r="AC861" s="89"/>
      <c r="AD861" s="89"/>
      <c r="AE861" s="89"/>
      <c r="AF861" s="89"/>
      <c r="AM861" s="89"/>
      <c r="AN861" s="199"/>
      <c r="AO861" s="89"/>
    </row>
    <row r="862" spans="3:41" ht="15.75" customHeight="1" x14ac:dyDescent="0.25"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208"/>
      <c r="P862" s="209"/>
      <c r="Q862" s="89"/>
      <c r="R862" s="89"/>
      <c r="S862" s="89"/>
      <c r="T862" s="89"/>
      <c r="U862" s="89"/>
      <c r="V862" s="89"/>
      <c r="W862" s="89"/>
      <c r="X862" s="89"/>
      <c r="Y862" s="89"/>
      <c r="Z862" s="89"/>
      <c r="AA862" s="89"/>
      <c r="AB862" s="89"/>
      <c r="AC862" s="89"/>
      <c r="AD862" s="89"/>
      <c r="AE862" s="89"/>
      <c r="AF862" s="89"/>
      <c r="AM862" s="89"/>
      <c r="AN862" s="199"/>
      <c r="AO862" s="89"/>
    </row>
    <row r="863" spans="3:41" ht="15.75" customHeight="1" x14ac:dyDescent="0.25"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208"/>
      <c r="P863" s="209"/>
      <c r="Q863" s="89"/>
      <c r="R863" s="89"/>
      <c r="S863" s="89"/>
      <c r="T863" s="89"/>
      <c r="U863" s="89"/>
      <c r="V863" s="89"/>
      <c r="W863" s="89"/>
      <c r="X863" s="89"/>
      <c r="Y863" s="89"/>
      <c r="Z863" s="89"/>
      <c r="AA863" s="89"/>
      <c r="AB863" s="89"/>
      <c r="AC863" s="89"/>
      <c r="AD863" s="89"/>
      <c r="AE863" s="89"/>
      <c r="AF863" s="89"/>
      <c r="AM863" s="89"/>
      <c r="AN863" s="199"/>
      <c r="AO863" s="89"/>
    </row>
    <row r="864" spans="3:41" ht="15.75" customHeight="1" x14ac:dyDescent="0.25"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208"/>
      <c r="P864" s="209"/>
      <c r="Q864" s="89"/>
      <c r="R864" s="89"/>
      <c r="S864" s="89"/>
      <c r="T864" s="89"/>
      <c r="U864" s="89"/>
      <c r="V864" s="89"/>
      <c r="W864" s="89"/>
      <c r="X864" s="89"/>
      <c r="Y864" s="89"/>
      <c r="Z864" s="89"/>
      <c r="AA864" s="89"/>
      <c r="AB864" s="89"/>
      <c r="AC864" s="89"/>
      <c r="AD864" s="89"/>
      <c r="AE864" s="89"/>
      <c r="AF864" s="89"/>
      <c r="AM864" s="89"/>
      <c r="AN864" s="199"/>
      <c r="AO864" s="89"/>
    </row>
    <row r="865" spans="3:41" ht="15.75" customHeight="1" x14ac:dyDescent="0.25"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208"/>
      <c r="P865" s="209"/>
      <c r="Q865" s="89"/>
      <c r="R865" s="89"/>
      <c r="S865" s="89"/>
      <c r="T865" s="89"/>
      <c r="U865" s="89"/>
      <c r="V865" s="89"/>
      <c r="W865" s="89"/>
      <c r="X865" s="89"/>
      <c r="Y865" s="89"/>
      <c r="Z865" s="89"/>
      <c r="AA865" s="89"/>
      <c r="AB865" s="89"/>
      <c r="AC865" s="89"/>
      <c r="AD865" s="89"/>
      <c r="AE865" s="89"/>
      <c r="AF865" s="89"/>
      <c r="AM865" s="89"/>
      <c r="AN865" s="199"/>
      <c r="AO865" s="89"/>
    </row>
    <row r="866" spans="3:41" ht="15.75" customHeight="1" x14ac:dyDescent="0.25"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208"/>
      <c r="P866" s="209"/>
      <c r="Q866" s="89"/>
      <c r="R866" s="89"/>
      <c r="S866" s="89"/>
      <c r="T866" s="89"/>
      <c r="U866" s="89"/>
      <c r="V866" s="89"/>
      <c r="W866" s="89"/>
      <c r="X866" s="89"/>
      <c r="Y866" s="89"/>
      <c r="Z866" s="89"/>
      <c r="AA866" s="89"/>
      <c r="AB866" s="89"/>
      <c r="AC866" s="89"/>
      <c r="AD866" s="89"/>
      <c r="AE866" s="89"/>
      <c r="AF866" s="89"/>
      <c r="AM866" s="89"/>
      <c r="AN866" s="199"/>
      <c r="AO866" s="89"/>
    </row>
    <row r="867" spans="3:41" ht="15.75" customHeight="1" x14ac:dyDescent="0.25"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208"/>
      <c r="P867" s="209"/>
      <c r="Q867" s="89"/>
      <c r="R867" s="89"/>
      <c r="S867" s="89"/>
      <c r="T867" s="89"/>
      <c r="U867" s="89"/>
      <c r="V867" s="89"/>
      <c r="W867" s="89"/>
      <c r="X867" s="89"/>
      <c r="Y867" s="89"/>
      <c r="Z867" s="89"/>
      <c r="AA867" s="89"/>
      <c r="AB867" s="89"/>
      <c r="AC867" s="89"/>
      <c r="AD867" s="89"/>
      <c r="AE867" s="89"/>
      <c r="AF867" s="89"/>
      <c r="AM867" s="89"/>
      <c r="AN867" s="199"/>
      <c r="AO867" s="89"/>
    </row>
    <row r="868" spans="3:41" ht="15.75" customHeight="1" x14ac:dyDescent="0.25"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208"/>
      <c r="P868" s="209"/>
      <c r="Q868" s="89"/>
      <c r="R868" s="89"/>
      <c r="S868" s="89"/>
      <c r="T868" s="89"/>
      <c r="U868" s="89"/>
      <c r="V868" s="89"/>
      <c r="W868" s="89"/>
      <c r="X868" s="89"/>
      <c r="Y868" s="89"/>
      <c r="Z868" s="89"/>
      <c r="AA868" s="89"/>
      <c r="AB868" s="89"/>
      <c r="AC868" s="89"/>
      <c r="AD868" s="89"/>
      <c r="AE868" s="89"/>
      <c r="AF868" s="89"/>
      <c r="AM868" s="89"/>
      <c r="AN868" s="199"/>
      <c r="AO868" s="89"/>
    </row>
    <row r="869" spans="3:41" ht="15.75" customHeight="1" x14ac:dyDescent="0.25"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208"/>
      <c r="P869" s="209"/>
      <c r="Q869" s="89"/>
      <c r="R869" s="89"/>
      <c r="S869" s="89"/>
      <c r="T869" s="89"/>
      <c r="U869" s="89"/>
      <c r="V869" s="89"/>
      <c r="W869" s="89"/>
      <c r="X869" s="89"/>
      <c r="Y869" s="89"/>
      <c r="Z869" s="89"/>
      <c r="AA869" s="89"/>
      <c r="AB869" s="89"/>
      <c r="AC869" s="89"/>
      <c r="AD869" s="89"/>
      <c r="AE869" s="89"/>
      <c r="AF869" s="89"/>
      <c r="AM869" s="89"/>
      <c r="AN869" s="199"/>
      <c r="AO869" s="89"/>
    </row>
    <row r="870" spans="3:41" ht="15.75" customHeight="1" x14ac:dyDescent="0.25"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208"/>
      <c r="P870" s="209"/>
      <c r="Q870" s="89"/>
      <c r="R870" s="89"/>
      <c r="S870" s="89"/>
      <c r="T870" s="89"/>
      <c r="U870" s="89"/>
      <c r="V870" s="89"/>
      <c r="W870" s="89"/>
      <c r="X870" s="89"/>
      <c r="Y870" s="89"/>
      <c r="Z870" s="89"/>
      <c r="AA870" s="89"/>
      <c r="AB870" s="89"/>
      <c r="AC870" s="89"/>
      <c r="AD870" s="89"/>
      <c r="AE870" s="89"/>
      <c r="AF870" s="89"/>
      <c r="AM870" s="89"/>
      <c r="AN870" s="199"/>
      <c r="AO870" s="89"/>
    </row>
    <row r="871" spans="3:41" ht="15.75" customHeight="1" x14ac:dyDescent="0.25"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208"/>
      <c r="P871" s="209"/>
      <c r="Q871" s="89"/>
      <c r="R871" s="89"/>
      <c r="S871" s="89"/>
      <c r="T871" s="89"/>
      <c r="U871" s="89"/>
      <c r="V871" s="89"/>
      <c r="W871" s="89"/>
      <c r="X871" s="89"/>
      <c r="Y871" s="89"/>
      <c r="Z871" s="89"/>
      <c r="AA871" s="89"/>
      <c r="AB871" s="89"/>
      <c r="AC871" s="89"/>
      <c r="AD871" s="89"/>
      <c r="AE871" s="89"/>
      <c r="AF871" s="89"/>
      <c r="AM871" s="89"/>
      <c r="AN871" s="199"/>
      <c r="AO871" s="89"/>
    </row>
    <row r="872" spans="3:41" ht="15.75" customHeight="1" x14ac:dyDescent="0.25"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208"/>
      <c r="P872" s="209"/>
      <c r="Q872" s="89"/>
      <c r="R872" s="89"/>
      <c r="S872" s="89"/>
      <c r="T872" s="89"/>
      <c r="U872" s="89"/>
      <c r="V872" s="89"/>
      <c r="W872" s="89"/>
      <c r="X872" s="89"/>
      <c r="Y872" s="89"/>
      <c r="Z872" s="89"/>
      <c r="AA872" s="89"/>
      <c r="AB872" s="89"/>
      <c r="AC872" s="89"/>
      <c r="AD872" s="89"/>
      <c r="AE872" s="89"/>
      <c r="AF872" s="89"/>
      <c r="AM872" s="89"/>
      <c r="AN872" s="199"/>
      <c r="AO872" s="89"/>
    </row>
    <row r="873" spans="3:41" ht="15.75" customHeight="1" x14ac:dyDescent="0.25"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208"/>
      <c r="P873" s="209"/>
      <c r="Q873" s="89"/>
      <c r="R873" s="89"/>
      <c r="S873" s="89"/>
      <c r="T873" s="89"/>
      <c r="U873" s="89"/>
      <c r="V873" s="89"/>
      <c r="W873" s="89"/>
      <c r="X873" s="89"/>
      <c r="Y873" s="89"/>
      <c r="Z873" s="89"/>
      <c r="AA873" s="89"/>
      <c r="AB873" s="89"/>
      <c r="AC873" s="89"/>
      <c r="AD873" s="89"/>
      <c r="AE873" s="89"/>
      <c r="AF873" s="89"/>
      <c r="AM873" s="89"/>
      <c r="AN873" s="199"/>
      <c r="AO873" s="89"/>
    </row>
    <row r="874" spans="3:41" ht="15.75" customHeight="1" x14ac:dyDescent="0.25"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208"/>
      <c r="P874" s="209"/>
      <c r="Q874" s="89"/>
      <c r="R874" s="89"/>
      <c r="S874" s="89"/>
      <c r="T874" s="89"/>
      <c r="U874" s="89"/>
      <c r="V874" s="89"/>
      <c r="W874" s="89"/>
      <c r="X874" s="89"/>
      <c r="Y874" s="89"/>
      <c r="Z874" s="89"/>
      <c r="AA874" s="89"/>
      <c r="AB874" s="89"/>
      <c r="AC874" s="89"/>
      <c r="AD874" s="89"/>
      <c r="AE874" s="89"/>
      <c r="AF874" s="89"/>
      <c r="AM874" s="89"/>
      <c r="AN874" s="199"/>
      <c r="AO874" s="89"/>
    </row>
    <row r="875" spans="3:41" ht="15.75" customHeight="1" x14ac:dyDescent="0.25"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208"/>
      <c r="P875" s="209"/>
      <c r="Q875" s="89"/>
      <c r="R875" s="89"/>
      <c r="S875" s="89"/>
      <c r="T875" s="89"/>
      <c r="U875" s="89"/>
      <c r="V875" s="89"/>
      <c r="W875" s="89"/>
      <c r="X875" s="89"/>
      <c r="Y875" s="89"/>
      <c r="Z875" s="89"/>
      <c r="AA875" s="89"/>
      <c r="AB875" s="89"/>
      <c r="AC875" s="89"/>
      <c r="AD875" s="89"/>
      <c r="AE875" s="89"/>
      <c r="AF875" s="89"/>
      <c r="AM875" s="89"/>
      <c r="AN875" s="199"/>
      <c r="AO875" s="89"/>
    </row>
    <row r="876" spans="3:41" ht="15.75" customHeight="1" x14ac:dyDescent="0.25"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208"/>
      <c r="P876" s="209"/>
      <c r="Q876" s="89"/>
      <c r="R876" s="89"/>
      <c r="S876" s="89"/>
      <c r="T876" s="89"/>
      <c r="U876" s="89"/>
      <c r="V876" s="89"/>
      <c r="W876" s="89"/>
      <c r="X876" s="89"/>
      <c r="Y876" s="89"/>
      <c r="Z876" s="89"/>
      <c r="AA876" s="89"/>
      <c r="AB876" s="89"/>
      <c r="AC876" s="89"/>
      <c r="AD876" s="89"/>
      <c r="AE876" s="89"/>
      <c r="AF876" s="89"/>
      <c r="AM876" s="89"/>
      <c r="AN876" s="199"/>
      <c r="AO876" s="89"/>
    </row>
    <row r="877" spans="3:41" ht="15.75" customHeight="1" x14ac:dyDescent="0.25"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208"/>
      <c r="P877" s="20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M877" s="89"/>
      <c r="AN877" s="199"/>
      <c r="AO877" s="89"/>
    </row>
    <row r="878" spans="3:41" ht="15.75" customHeight="1" x14ac:dyDescent="0.25"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208"/>
      <c r="P878" s="209"/>
      <c r="Q878" s="89"/>
      <c r="R878" s="89"/>
      <c r="S878" s="89"/>
      <c r="T878" s="89"/>
      <c r="U878" s="89"/>
      <c r="V878" s="89"/>
      <c r="W878" s="89"/>
      <c r="X878" s="89"/>
      <c r="Y878" s="89"/>
      <c r="Z878" s="89"/>
      <c r="AA878" s="89"/>
      <c r="AB878" s="89"/>
      <c r="AC878" s="89"/>
      <c r="AD878" s="89"/>
      <c r="AE878" s="89"/>
      <c r="AF878" s="89"/>
      <c r="AM878" s="89"/>
      <c r="AN878" s="199"/>
      <c r="AO878" s="89"/>
    </row>
    <row r="879" spans="3:41" ht="15.75" customHeight="1" x14ac:dyDescent="0.25"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208"/>
      <c r="P879" s="209"/>
      <c r="Q879" s="89"/>
      <c r="R879" s="89"/>
      <c r="S879" s="89"/>
      <c r="T879" s="89"/>
      <c r="U879" s="89"/>
      <c r="V879" s="89"/>
      <c r="W879" s="89"/>
      <c r="X879" s="89"/>
      <c r="Y879" s="89"/>
      <c r="Z879" s="89"/>
      <c r="AA879" s="89"/>
      <c r="AB879" s="89"/>
      <c r="AC879" s="89"/>
      <c r="AD879" s="89"/>
      <c r="AE879" s="89"/>
      <c r="AF879" s="89"/>
      <c r="AM879" s="89"/>
      <c r="AN879" s="199"/>
      <c r="AO879" s="89"/>
    </row>
    <row r="880" spans="3:41" ht="15.75" customHeight="1" x14ac:dyDescent="0.25"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208"/>
      <c r="P880" s="209"/>
      <c r="Q880" s="89"/>
      <c r="R880" s="89"/>
      <c r="S880" s="89"/>
      <c r="T880" s="89"/>
      <c r="U880" s="89"/>
      <c r="V880" s="89"/>
      <c r="W880" s="89"/>
      <c r="X880" s="89"/>
      <c r="Y880" s="89"/>
      <c r="Z880" s="89"/>
      <c r="AA880" s="89"/>
      <c r="AB880" s="89"/>
      <c r="AC880" s="89"/>
      <c r="AD880" s="89"/>
      <c r="AE880" s="89"/>
      <c r="AF880" s="89"/>
      <c r="AM880" s="89"/>
      <c r="AN880" s="199"/>
      <c r="AO880" s="89"/>
    </row>
    <row r="881" spans="3:41" ht="15.75" customHeight="1" x14ac:dyDescent="0.25"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208"/>
      <c r="P881" s="209"/>
      <c r="Q881" s="89"/>
      <c r="R881" s="89"/>
      <c r="S881" s="89"/>
      <c r="T881" s="89"/>
      <c r="U881" s="89"/>
      <c r="V881" s="89"/>
      <c r="W881" s="89"/>
      <c r="X881" s="89"/>
      <c r="Y881" s="89"/>
      <c r="Z881" s="89"/>
      <c r="AA881" s="89"/>
      <c r="AB881" s="89"/>
      <c r="AC881" s="89"/>
      <c r="AD881" s="89"/>
      <c r="AE881" s="89"/>
      <c r="AF881" s="89"/>
      <c r="AM881" s="89"/>
      <c r="AN881" s="199"/>
      <c r="AO881" s="89"/>
    </row>
    <row r="882" spans="3:41" ht="15.75" customHeight="1" x14ac:dyDescent="0.25"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208"/>
      <c r="P882" s="209"/>
      <c r="Q882" s="89"/>
      <c r="R882" s="89"/>
      <c r="S882" s="89"/>
      <c r="T882" s="89"/>
      <c r="U882" s="89"/>
      <c r="V882" s="89"/>
      <c r="W882" s="89"/>
      <c r="X882" s="89"/>
      <c r="Y882" s="89"/>
      <c r="Z882" s="89"/>
      <c r="AA882" s="89"/>
      <c r="AB882" s="89"/>
      <c r="AC882" s="89"/>
      <c r="AD882" s="89"/>
      <c r="AE882" s="89"/>
      <c r="AF882" s="89"/>
      <c r="AM882" s="89"/>
      <c r="AN882" s="199"/>
      <c r="AO882" s="89"/>
    </row>
    <row r="883" spans="3:41" ht="15.75" customHeight="1" x14ac:dyDescent="0.25"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208"/>
      <c r="P883" s="209"/>
      <c r="Q883" s="89"/>
      <c r="R883" s="89"/>
      <c r="S883" s="89"/>
      <c r="T883" s="89"/>
      <c r="U883" s="89"/>
      <c r="V883" s="89"/>
      <c r="W883" s="89"/>
      <c r="X883" s="89"/>
      <c r="Y883" s="89"/>
      <c r="Z883" s="89"/>
      <c r="AA883" s="89"/>
      <c r="AB883" s="89"/>
      <c r="AC883" s="89"/>
      <c r="AD883" s="89"/>
      <c r="AE883" s="89"/>
      <c r="AF883" s="89"/>
      <c r="AM883" s="89"/>
      <c r="AN883" s="199"/>
      <c r="AO883" s="89"/>
    </row>
    <row r="884" spans="3:41" ht="15.75" customHeight="1" x14ac:dyDescent="0.25"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208"/>
      <c r="P884" s="209"/>
      <c r="Q884" s="89"/>
      <c r="R884" s="89"/>
      <c r="S884" s="89"/>
      <c r="T884" s="89"/>
      <c r="U884" s="89"/>
      <c r="V884" s="89"/>
      <c r="W884" s="89"/>
      <c r="X884" s="89"/>
      <c r="Y884" s="89"/>
      <c r="Z884" s="89"/>
      <c r="AA884" s="89"/>
      <c r="AB884" s="89"/>
      <c r="AC884" s="89"/>
      <c r="AD884" s="89"/>
      <c r="AE884" s="89"/>
      <c r="AF884" s="89"/>
      <c r="AM884" s="89"/>
      <c r="AN884" s="199"/>
      <c r="AO884" s="89"/>
    </row>
    <row r="885" spans="3:41" ht="15.75" customHeight="1" x14ac:dyDescent="0.25"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208"/>
      <c r="P885" s="209"/>
      <c r="Q885" s="89"/>
      <c r="R885" s="89"/>
      <c r="S885" s="89"/>
      <c r="T885" s="89"/>
      <c r="U885" s="89"/>
      <c r="V885" s="89"/>
      <c r="W885" s="89"/>
      <c r="X885" s="89"/>
      <c r="Y885" s="89"/>
      <c r="Z885" s="89"/>
      <c r="AA885" s="89"/>
      <c r="AB885" s="89"/>
      <c r="AC885" s="89"/>
      <c r="AD885" s="89"/>
      <c r="AE885" s="89"/>
      <c r="AF885" s="89"/>
      <c r="AM885" s="89"/>
      <c r="AN885" s="199"/>
      <c r="AO885" s="89"/>
    </row>
    <row r="886" spans="3:41" ht="15.75" customHeight="1" x14ac:dyDescent="0.25"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208"/>
      <c r="P886" s="209"/>
      <c r="Q886" s="89"/>
      <c r="R886" s="89"/>
      <c r="S886" s="89"/>
      <c r="T886" s="89"/>
      <c r="U886" s="89"/>
      <c r="V886" s="89"/>
      <c r="W886" s="89"/>
      <c r="X886" s="89"/>
      <c r="Y886" s="89"/>
      <c r="Z886" s="89"/>
      <c r="AA886" s="89"/>
      <c r="AB886" s="89"/>
      <c r="AC886" s="89"/>
      <c r="AD886" s="89"/>
      <c r="AE886" s="89"/>
      <c r="AF886" s="89"/>
      <c r="AM886" s="89"/>
      <c r="AN886" s="199"/>
      <c r="AO886" s="89"/>
    </row>
    <row r="887" spans="3:41" ht="15.75" customHeight="1" x14ac:dyDescent="0.25"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208"/>
      <c r="P887" s="209"/>
      <c r="Q887" s="89"/>
      <c r="R887" s="89"/>
      <c r="S887" s="89"/>
      <c r="T887" s="89"/>
      <c r="U887" s="89"/>
      <c r="V887" s="89"/>
      <c r="W887" s="89"/>
      <c r="X887" s="89"/>
      <c r="Y887" s="89"/>
      <c r="Z887" s="89"/>
      <c r="AA887" s="89"/>
      <c r="AB887" s="89"/>
      <c r="AC887" s="89"/>
      <c r="AD887" s="89"/>
      <c r="AE887" s="89"/>
      <c r="AF887" s="89"/>
      <c r="AM887" s="89"/>
      <c r="AN887" s="199"/>
      <c r="AO887" s="89"/>
    </row>
    <row r="888" spans="3:41" ht="15.75" customHeight="1" x14ac:dyDescent="0.25"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208"/>
      <c r="P888" s="209"/>
      <c r="Q888" s="89"/>
      <c r="R888" s="89"/>
      <c r="S888" s="89"/>
      <c r="T888" s="89"/>
      <c r="U888" s="89"/>
      <c r="V888" s="89"/>
      <c r="W888" s="89"/>
      <c r="X888" s="89"/>
      <c r="Y888" s="89"/>
      <c r="Z888" s="89"/>
      <c r="AA888" s="89"/>
      <c r="AB888" s="89"/>
      <c r="AC888" s="89"/>
      <c r="AD888" s="89"/>
      <c r="AE888" s="89"/>
      <c r="AF888" s="89"/>
      <c r="AM888" s="89"/>
      <c r="AN888" s="199"/>
      <c r="AO888" s="89"/>
    </row>
    <row r="889" spans="3:41" ht="15.75" customHeight="1" x14ac:dyDescent="0.25"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208"/>
      <c r="P889" s="209"/>
      <c r="Q889" s="89"/>
      <c r="R889" s="89"/>
      <c r="S889" s="89"/>
      <c r="T889" s="89"/>
      <c r="U889" s="89"/>
      <c r="V889" s="89"/>
      <c r="W889" s="89"/>
      <c r="X889" s="89"/>
      <c r="Y889" s="89"/>
      <c r="Z889" s="89"/>
      <c r="AA889" s="89"/>
      <c r="AB889" s="89"/>
      <c r="AC889" s="89"/>
      <c r="AD889" s="89"/>
      <c r="AE889" s="89"/>
      <c r="AF889" s="89"/>
      <c r="AM889" s="89"/>
      <c r="AN889" s="199"/>
      <c r="AO889" s="89"/>
    </row>
    <row r="890" spans="3:41" ht="15.75" customHeight="1" x14ac:dyDescent="0.25"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208"/>
      <c r="P890" s="209"/>
      <c r="Q890" s="89"/>
      <c r="R890" s="89"/>
      <c r="S890" s="89"/>
      <c r="T890" s="89"/>
      <c r="U890" s="89"/>
      <c r="V890" s="89"/>
      <c r="W890" s="89"/>
      <c r="X890" s="89"/>
      <c r="Y890" s="89"/>
      <c r="Z890" s="89"/>
      <c r="AA890" s="89"/>
      <c r="AB890" s="89"/>
      <c r="AC890" s="89"/>
      <c r="AD890" s="89"/>
      <c r="AE890" s="89"/>
      <c r="AF890" s="89"/>
      <c r="AM890" s="89"/>
      <c r="AN890" s="199"/>
      <c r="AO890" s="89"/>
    </row>
    <row r="891" spans="3:41" ht="15.75" customHeight="1" x14ac:dyDescent="0.25"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208"/>
      <c r="P891" s="209"/>
      <c r="Q891" s="89"/>
      <c r="R891" s="89"/>
      <c r="S891" s="89"/>
      <c r="T891" s="89"/>
      <c r="U891" s="89"/>
      <c r="V891" s="89"/>
      <c r="W891" s="89"/>
      <c r="X891" s="89"/>
      <c r="Y891" s="89"/>
      <c r="Z891" s="89"/>
      <c r="AA891" s="89"/>
      <c r="AB891" s="89"/>
      <c r="AC891" s="89"/>
      <c r="AD891" s="89"/>
      <c r="AE891" s="89"/>
      <c r="AF891" s="89"/>
      <c r="AM891" s="89"/>
      <c r="AN891" s="199"/>
      <c r="AO891" s="89"/>
    </row>
    <row r="892" spans="3:41" ht="15.75" customHeight="1" x14ac:dyDescent="0.25"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208"/>
      <c r="P892" s="209"/>
      <c r="Q892" s="89"/>
      <c r="R892" s="89"/>
      <c r="S892" s="89"/>
      <c r="T892" s="89"/>
      <c r="U892" s="89"/>
      <c r="V892" s="89"/>
      <c r="W892" s="89"/>
      <c r="X892" s="89"/>
      <c r="Y892" s="89"/>
      <c r="Z892" s="89"/>
      <c r="AA892" s="89"/>
      <c r="AB892" s="89"/>
      <c r="AC892" s="89"/>
      <c r="AD892" s="89"/>
      <c r="AE892" s="89"/>
      <c r="AF892" s="89"/>
      <c r="AM892" s="89"/>
      <c r="AN892" s="199"/>
      <c r="AO892" s="89"/>
    </row>
    <row r="893" spans="3:41" ht="15.75" customHeight="1" x14ac:dyDescent="0.25"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208"/>
      <c r="P893" s="209"/>
      <c r="Q893" s="89"/>
      <c r="R893" s="89"/>
      <c r="S893" s="89"/>
      <c r="T893" s="89"/>
      <c r="U893" s="89"/>
      <c r="V893" s="89"/>
      <c r="W893" s="89"/>
      <c r="X893" s="89"/>
      <c r="Y893" s="89"/>
      <c r="Z893" s="89"/>
      <c r="AA893" s="89"/>
      <c r="AB893" s="89"/>
      <c r="AC893" s="89"/>
      <c r="AD893" s="89"/>
      <c r="AE893" s="89"/>
      <c r="AF893" s="89"/>
      <c r="AM893" s="89"/>
      <c r="AN893" s="199"/>
      <c r="AO893" s="89"/>
    </row>
    <row r="894" spans="3:41" ht="15.75" customHeight="1" x14ac:dyDescent="0.25"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208"/>
      <c r="P894" s="209"/>
      <c r="Q894" s="89"/>
      <c r="R894" s="89"/>
      <c r="S894" s="89"/>
      <c r="T894" s="89"/>
      <c r="U894" s="89"/>
      <c r="V894" s="89"/>
      <c r="W894" s="89"/>
      <c r="X894" s="89"/>
      <c r="Y894" s="89"/>
      <c r="Z894" s="89"/>
      <c r="AA894" s="89"/>
      <c r="AB894" s="89"/>
      <c r="AC894" s="89"/>
      <c r="AD894" s="89"/>
      <c r="AE894" s="89"/>
      <c r="AF894" s="89"/>
      <c r="AM894" s="89"/>
      <c r="AN894" s="199"/>
      <c r="AO894" s="89"/>
    </row>
    <row r="895" spans="3:41" ht="15.75" customHeight="1" x14ac:dyDescent="0.25"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208"/>
      <c r="P895" s="209"/>
      <c r="Q895" s="89"/>
      <c r="R895" s="89"/>
      <c r="S895" s="89"/>
      <c r="T895" s="89"/>
      <c r="U895" s="89"/>
      <c r="V895" s="89"/>
      <c r="W895" s="89"/>
      <c r="X895" s="89"/>
      <c r="Y895" s="89"/>
      <c r="Z895" s="89"/>
      <c r="AA895" s="89"/>
      <c r="AB895" s="89"/>
      <c r="AC895" s="89"/>
      <c r="AD895" s="89"/>
      <c r="AE895" s="89"/>
      <c r="AF895" s="89"/>
      <c r="AM895" s="89"/>
      <c r="AN895" s="199"/>
      <c r="AO895" s="89"/>
    </row>
    <row r="896" spans="3:41" ht="15.75" customHeight="1" x14ac:dyDescent="0.25"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208"/>
      <c r="P896" s="209"/>
      <c r="Q896" s="89"/>
      <c r="R896" s="89"/>
      <c r="S896" s="89"/>
      <c r="T896" s="89"/>
      <c r="U896" s="89"/>
      <c r="V896" s="89"/>
      <c r="W896" s="89"/>
      <c r="X896" s="89"/>
      <c r="Y896" s="89"/>
      <c r="Z896" s="89"/>
      <c r="AA896" s="89"/>
      <c r="AB896" s="89"/>
      <c r="AC896" s="89"/>
      <c r="AD896" s="89"/>
      <c r="AE896" s="89"/>
      <c r="AF896" s="89"/>
      <c r="AM896" s="89"/>
      <c r="AN896" s="199"/>
      <c r="AO896" s="89"/>
    </row>
    <row r="897" spans="3:41" ht="15.75" customHeight="1" x14ac:dyDescent="0.25"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208"/>
      <c r="P897" s="209"/>
      <c r="Q897" s="89"/>
      <c r="R897" s="89"/>
      <c r="S897" s="89"/>
      <c r="T897" s="89"/>
      <c r="U897" s="89"/>
      <c r="V897" s="89"/>
      <c r="W897" s="89"/>
      <c r="X897" s="89"/>
      <c r="Y897" s="89"/>
      <c r="Z897" s="89"/>
      <c r="AA897" s="89"/>
      <c r="AB897" s="89"/>
      <c r="AC897" s="89"/>
      <c r="AD897" s="89"/>
      <c r="AE897" s="89"/>
      <c r="AF897" s="89"/>
      <c r="AM897" s="89"/>
      <c r="AN897" s="199"/>
      <c r="AO897" s="89"/>
    </row>
    <row r="898" spans="3:41" ht="15.75" customHeight="1" x14ac:dyDescent="0.25"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208"/>
      <c r="P898" s="209"/>
      <c r="Q898" s="89"/>
      <c r="R898" s="89"/>
      <c r="S898" s="89"/>
      <c r="T898" s="89"/>
      <c r="U898" s="89"/>
      <c r="V898" s="89"/>
      <c r="W898" s="89"/>
      <c r="X898" s="89"/>
      <c r="Y898" s="89"/>
      <c r="Z898" s="89"/>
      <c r="AA898" s="89"/>
      <c r="AB898" s="89"/>
      <c r="AC898" s="89"/>
      <c r="AD898" s="89"/>
      <c r="AE898" s="89"/>
      <c r="AF898" s="89"/>
      <c r="AM898" s="89"/>
      <c r="AN898" s="199"/>
      <c r="AO898" s="89"/>
    </row>
    <row r="899" spans="3:41" ht="15.75" customHeight="1" x14ac:dyDescent="0.25"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208"/>
      <c r="P899" s="209"/>
      <c r="Q899" s="89"/>
      <c r="R899" s="89"/>
      <c r="S899" s="89"/>
      <c r="T899" s="89"/>
      <c r="U899" s="89"/>
      <c r="V899" s="89"/>
      <c r="W899" s="89"/>
      <c r="X899" s="89"/>
      <c r="Y899" s="89"/>
      <c r="Z899" s="89"/>
      <c r="AA899" s="89"/>
      <c r="AB899" s="89"/>
      <c r="AC899" s="89"/>
      <c r="AD899" s="89"/>
      <c r="AE899" s="89"/>
      <c r="AF899" s="89"/>
      <c r="AM899" s="89"/>
      <c r="AN899" s="199"/>
      <c r="AO899" s="89"/>
    </row>
    <row r="900" spans="3:41" ht="15.75" customHeight="1" x14ac:dyDescent="0.25"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208"/>
      <c r="P900" s="209"/>
      <c r="Q900" s="89"/>
      <c r="R900" s="89"/>
      <c r="S900" s="89"/>
      <c r="T900" s="89"/>
      <c r="U900" s="89"/>
      <c r="V900" s="89"/>
      <c r="W900" s="89"/>
      <c r="X900" s="89"/>
      <c r="Y900" s="89"/>
      <c r="Z900" s="89"/>
      <c r="AA900" s="89"/>
      <c r="AB900" s="89"/>
      <c r="AC900" s="89"/>
      <c r="AD900" s="89"/>
      <c r="AE900" s="89"/>
      <c r="AF900" s="89"/>
      <c r="AM900" s="89"/>
      <c r="AN900" s="199"/>
      <c r="AO900" s="89"/>
    </row>
    <row r="901" spans="3:41" ht="15.75" customHeight="1" x14ac:dyDescent="0.25"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208"/>
      <c r="P901" s="209"/>
      <c r="Q901" s="89"/>
      <c r="R901" s="89"/>
      <c r="S901" s="89"/>
      <c r="T901" s="89"/>
      <c r="U901" s="89"/>
      <c r="V901" s="89"/>
      <c r="W901" s="89"/>
      <c r="X901" s="89"/>
      <c r="Y901" s="89"/>
      <c r="Z901" s="89"/>
      <c r="AA901" s="89"/>
      <c r="AB901" s="89"/>
      <c r="AC901" s="89"/>
      <c r="AD901" s="89"/>
      <c r="AE901" s="89"/>
      <c r="AF901" s="89"/>
      <c r="AM901" s="89"/>
      <c r="AN901" s="199"/>
      <c r="AO901" s="89"/>
    </row>
    <row r="902" spans="3:41" ht="15.75" customHeight="1" x14ac:dyDescent="0.25"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208"/>
      <c r="P902" s="209"/>
      <c r="Q902" s="89"/>
      <c r="R902" s="89"/>
      <c r="S902" s="89"/>
      <c r="T902" s="89"/>
      <c r="U902" s="89"/>
      <c r="V902" s="89"/>
      <c r="W902" s="89"/>
      <c r="X902" s="89"/>
      <c r="Y902" s="89"/>
      <c r="Z902" s="89"/>
      <c r="AA902" s="89"/>
      <c r="AB902" s="89"/>
      <c r="AC902" s="89"/>
      <c r="AD902" s="89"/>
      <c r="AE902" s="89"/>
      <c r="AF902" s="89"/>
      <c r="AM902" s="89"/>
      <c r="AN902" s="199"/>
      <c r="AO902" s="89"/>
    </row>
    <row r="903" spans="3:41" ht="15.75" customHeight="1" x14ac:dyDescent="0.25"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208"/>
      <c r="P903" s="209"/>
      <c r="Q903" s="89"/>
      <c r="R903" s="89"/>
      <c r="S903" s="89"/>
      <c r="T903" s="89"/>
      <c r="U903" s="89"/>
      <c r="V903" s="89"/>
      <c r="W903" s="89"/>
      <c r="X903" s="89"/>
      <c r="Y903" s="89"/>
      <c r="Z903" s="89"/>
      <c r="AA903" s="89"/>
      <c r="AB903" s="89"/>
      <c r="AC903" s="89"/>
      <c r="AD903" s="89"/>
      <c r="AE903" s="89"/>
      <c r="AF903" s="89"/>
      <c r="AM903" s="89"/>
      <c r="AN903" s="199"/>
      <c r="AO903" s="89"/>
    </row>
    <row r="904" spans="3:41" ht="15.75" customHeight="1" x14ac:dyDescent="0.25"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208"/>
      <c r="P904" s="209"/>
      <c r="Q904" s="89"/>
      <c r="R904" s="89"/>
      <c r="S904" s="89"/>
      <c r="T904" s="89"/>
      <c r="U904" s="89"/>
      <c r="V904" s="89"/>
      <c r="W904" s="89"/>
      <c r="X904" s="89"/>
      <c r="Y904" s="89"/>
      <c r="Z904" s="89"/>
      <c r="AA904" s="89"/>
      <c r="AB904" s="89"/>
      <c r="AC904" s="89"/>
      <c r="AD904" s="89"/>
      <c r="AE904" s="89"/>
      <c r="AF904" s="89"/>
      <c r="AM904" s="89"/>
      <c r="AN904" s="199"/>
      <c r="AO904" s="89"/>
    </row>
    <row r="905" spans="3:41" ht="15.75" customHeight="1" x14ac:dyDescent="0.25"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208"/>
      <c r="P905" s="209"/>
      <c r="Q905" s="89"/>
      <c r="R905" s="89"/>
      <c r="S905" s="89"/>
      <c r="T905" s="89"/>
      <c r="U905" s="89"/>
      <c r="V905" s="89"/>
      <c r="W905" s="89"/>
      <c r="X905" s="89"/>
      <c r="Y905" s="89"/>
      <c r="Z905" s="89"/>
      <c r="AA905" s="89"/>
      <c r="AB905" s="89"/>
      <c r="AC905" s="89"/>
      <c r="AD905" s="89"/>
      <c r="AE905" s="89"/>
      <c r="AF905" s="89"/>
      <c r="AM905" s="89"/>
      <c r="AN905" s="199"/>
      <c r="AO905" s="89"/>
    </row>
    <row r="906" spans="3:41" ht="15.75" customHeight="1" x14ac:dyDescent="0.25"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208"/>
      <c r="P906" s="209"/>
      <c r="Q906" s="89"/>
      <c r="R906" s="89"/>
      <c r="S906" s="89"/>
      <c r="T906" s="89"/>
      <c r="U906" s="89"/>
      <c r="V906" s="89"/>
      <c r="W906" s="89"/>
      <c r="X906" s="89"/>
      <c r="Y906" s="89"/>
      <c r="Z906" s="89"/>
      <c r="AA906" s="89"/>
      <c r="AB906" s="89"/>
      <c r="AC906" s="89"/>
      <c r="AD906" s="89"/>
      <c r="AE906" s="89"/>
      <c r="AF906" s="89"/>
      <c r="AM906" s="89"/>
      <c r="AN906" s="199"/>
      <c r="AO906" s="89"/>
    </row>
    <row r="907" spans="3:41" ht="15.75" customHeight="1" x14ac:dyDescent="0.25"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208"/>
      <c r="P907" s="209"/>
      <c r="Q907" s="89"/>
      <c r="R907" s="89"/>
      <c r="S907" s="89"/>
      <c r="T907" s="89"/>
      <c r="U907" s="89"/>
      <c r="V907" s="89"/>
      <c r="W907" s="89"/>
      <c r="X907" s="89"/>
      <c r="Y907" s="89"/>
      <c r="Z907" s="89"/>
      <c r="AA907" s="89"/>
      <c r="AB907" s="89"/>
      <c r="AC907" s="89"/>
      <c r="AD907" s="89"/>
      <c r="AE907" s="89"/>
      <c r="AF907" s="89"/>
      <c r="AM907" s="89"/>
      <c r="AN907" s="199"/>
      <c r="AO907" s="89"/>
    </row>
    <row r="908" spans="3:41" ht="15.75" customHeight="1" x14ac:dyDescent="0.25"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208"/>
      <c r="P908" s="209"/>
      <c r="Q908" s="89"/>
      <c r="R908" s="89"/>
      <c r="S908" s="89"/>
      <c r="T908" s="89"/>
      <c r="U908" s="89"/>
      <c r="V908" s="89"/>
      <c r="W908" s="89"/>
      <c r="X908" s="89"/>
      <c r="Y908" s="89"/>
      <c r="Z908" s="89"/>
      <c r="AA908" s="89"/>
      <c r="AB908" s="89"/>
      <c r="AC908" s="89"/>
      <c r="AD908" s="89"/>
      <c r="AE908" s="89"/>
      <c r="AF908" s="89"/>
      <c r="AM908" s="89"/>
      <c r="AN908" s="199"/>
      <c r="AO908" s="89"/>
    </row>
    <row r="909" spans="3:41" ht="15.75" customHeight="1" x14ac:dyDescent="0.25"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208"/>
      <c r="P909" s="209"/>
      <c r="Q909" s="89"/>
      <c r="R909" s="89"/>
      <c r="S909" s="89"/>
      <c r="T909" s="89"/>
      <c r="U909" s="89"/>
      <c r="V909" s="89"/>
      <c r="W909" s="89"/>
      <c r="X909" s="89"/>
      <c r="Y909" s="89"/>
      <c r="Z909" s="89"/>
      <c r="AA909" s="89"/>
      <c r="AB909" s="89"/>
      <c r="AC909" s="89"/>
      <c r="AD909" s="89"/>
      <c r="AE909" s="89"/>
      <c r="AF909" s="89"/>
      <c r="AM909" s="89"/>
      <c r="AN909" s="199"/>
      <c r="AO909" s="89"/>
    </row>
    <row r="910" spans="3:41" ht="15.75" customHeight="1" x14ac:dyDescent="0.25"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208"/>
      <c r="P910" s="209"/>
      <c r="Q910" s="89"/>
      <c r="R910" s="89"/>
      <c r="S910" s="89"/>
      <c r="T910" s="89"/>
      <c r="U910" s="89"/>
      <c r="V910" s="89"/>
      <c r="W910" s="89"/>
      <c r="X910" s="89"/>
      <c r="Y910" s="89"/>
      <c r="Z910" s="89"/>
      <c r="AA910" s="89"/>
      <c r="AB910" s="89"/>
      <c r="AC910" s="89"/>
      <c r="AD910" s="89"/>
      <c r="AE910" s="89"/>
      <c r="AF910" s="89"/>
      <c r="AM910" s="89"/>
      <c r="AN910" s="199"/>
      <c r="AO910" s="89"/>
    </row>
    <row r="911" spans="3:41" ht="15.75" customHeight="1" x14ac:dyDescent="0.25"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208"/>
      <c r="P911" s="209"/>
      <c r="Q911" s="89"/>
      <c r="R911" s="89"/>
      <c r="S911" s="89"/>
      <c r="T911" s="89"/>
      <c r="U911" s="89"/>
      <c r="V911" s="89"/>
      <c r="W911" s="89"/>
      <c r="X911" s="89"/>
      <c r="Y911" s="89"/>
      <c r="Z911" s="89"/>
      <c r="AA911" s="89"/>
      <c r="AB911" s="89"/>
      <c r="AC911" s="89"/>
      <c r="AD911" s="89"/>
      <c r="AE911" s="89"/>
      <c r="AF911" s="89"/>
      <c r="AM911" s="89"/>
      <c r="AN911" s="199"/>
      <c r="AO911" s="89"/>
    </row>
    <row r="912" spans="3:41" ht="15.75" customHeight="1" x14ac:dyDescent="0.25"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208"/>
      <c r="P912" s="209"/>
      <c r="Q912" s="89"/>
      <c r="R912" s="89"/>
      <c r="S912" s="89"/>
      <c r="T912" s="89"/>
      <c r="U912" s="89"/>
      <c r="V912" s="89"/>
      <c r="W912" s="89"/>
      <c r="X912" s="89"/>
      <c r="Y912" s="89"/>
      <c r="Z912" s="89"/>
      <c r="AA912" s="89"/>
      <c r="AB912" s="89"/>
      <c r="AC912" s="89"/>
      <c r="AD912" s="89"/>
      <c r="AE912" s="89"/>
      <c r="AF912" s="89"/>
      <c r="AM912" s="89"/>
      <c r="AN912" s="199"/>
      <c r="AO912" s="89"/>
    </row>
    <row r="913" spans="3:41" ht="15.75" customHeight="1" x14ac:dyDescent="0.25"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208"/>
      <c r="P913" s="209"/>
      <c r="Q913" s="89"/>
      <c r="R913" s="89"/>
      <c r="S913" s="89"/>
      <c r="T913" s="89"/>
      <c r="U913" s="89"/>
      <c r="V913" s="89"/>
      <c r="W913" s="89"/>
      <c r="X913" s="89"/>
      <c r="Y913" s="89"/>
      <c r="Z913" s="89"/>
      <c r="AA913" s="89"/>
      <c r="AB913" s="89"/>
      <c r="AC913" s="89"/>
      <c r="AD913" s="89"/>
      <c r="AE913" s="89"/>
      <c r="AF913" s="89"/>
      <c r="AM913" s="89"/>
      <c r="AN913" s="199"/>
      <c r="AO913" s="89"/>
    </row>
    <row r="914" spans="3:41" ht="15.75" customHeight="1" x14ac:dyDescent="0.25"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208"/>
      <c r="P914" s="209"/>
      <c r="Q914" s="89"/>
      <c r="R914" s="89"/>
      <c r="S914" s="89"/>
      <c r="T914" s="89"/>
      <c r="U914" s="89"/>
      <c r="V914" s="89"/>
      <c r="W914" s="89"/>
      <c r="X914" s="89"/>
      <c r="Y914" s="89"/>
      <c r="Z914" s="89"/>
      <c r="AA914" s="89"/>
      <c r="AB914" s="89"/>
      <c r="AC914" s="89"/>
      <c r="AD914" s="89"/>
      <c r="AE914" s="89"/>
      <c r="AF914" s="89"/>
      <c r="AM914" s="89"/>
      <c r="AN914" s="199"/>
      <c r="AO914" s="89"/>
    </row>
    <row r="915" spans="3:41" ht="15.75" customHeight="1" x14ac:dyDescent="0.25"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208"/>
      <c r="P915" s="20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M915" s="89"/>
      <c r="AN915" s="199"/>
      <c r="AO915" s="89"/>
    </row>
    <row r="916" spans="3:41" ht="15.75" customHeight="1" x14ac:dyDescent="0.25"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208"/>
      <c r="P916" s="209"/>
      <c r="Q916" s="89"/>
      <c r="R916" s="89"/>
      <c r="S916" s="89"/>
      <c r="T916" s="89"/>
      <c r="U916" s="89"/>
      <c r="V916" s="89"/>
      <c r="W916" s="89"/>
      <c r="X916" s="89"/>
      <c r="Y916" s="89"/>
      <c r="Z916" s="89"/>
      <c r="AA916" s="89"/>
      <c r="AB916" s="89"/>
      <c r="AC916" s="89"/>
      <c r="AD916" s="89"/>
      <c r="AE916" s="89"/>
      <c r="AF916" s="89"/>
      <c r="AM916" s="89"/>
      <c r="AN916" s="199"/>
      <c r="AO916" s="89"/>
    </row>
    <row r="917" spans="3:41" ht="15.75" customHeight="1" x14ac:dyDescent="0.25"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208"/>
      <c r="P917" s="209"/>
      <c r="Q917" s="89"/>
      <c r="R917" s="89"/>
      <c r="S917" s="89"/>
      <c r="T917" s="89"/>
      <c r="U917" s="89"/>
      <c r="V917" s="89"/>
      <c r="W917" s="89"/>
      <c r="X917" s="89"/>
      <c r="Y917" s="89"/>
      <c r="Z917" s="89"/>
      <c r="AA917" s="89"/>
      <c r="AB917" s="89"/>
      <c r="AC917" s="89"/>
      <c r="AD917" s="89"/>
      <c r="AE917" s="89"/>
      <c r="AF917" s="89"/>
      <c r="AM917" s="89"/>
      <c r="AN917" s="199"/>
      <c r="AO917" s="89"/>
    </row>
    <row r="918" spans="3:41" ht="15.75" customHeight="1" x14ac:dyDescent="0.25"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208"/>
      <c r="P918" s="209"/>
      <c r="Q918" s="89"/>
      <c r="R918" s="89"/>
      <c r="S918" s="89"/>
      <c r="T918" s="89"/>
      <c r="U918" s="89"/>
      <c r="V918" s="89"/>
      <c r="W918" s="89"/>
      <c r="X918" s="89"/>
      <c r="Y918" s="89"/>
      <c r="Z918" s="89"/>
      <c r="AA918" s="89"/>
      <c r="AB918" s="89"/>
      <c r="AC918" s="89"/>
      <c r="AD918" s="89"/>
      <c r="AE918" s="89"/>
      <c r="AF918" s="89"/>
      <c r="AM918" s="89"/>
      <c r="AN918" s="199"/>
      <c r="AO918" s="89"/>
    </row>
    <row r="919" spans="3:41" ht="15.75" customHeight="1" x14ac:dyDescent="0.25"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208"/>
      <c r="P919" s="209"/>
      <c r="Q919" s="89"/>
      <c r="R919" s="89"/>
      <c r="S919" s="89"/>
      <c r="T919" s="89"/>
      <c r="U919" s="89"/>
      <c r="V919" s="89"/>
      <c r="W919" s="89"/>
      <c r="X919" s="89"/>
      <c r="Y919" s="89"/>
      <c r="Z919" s="89"/>
      <c r="AA919" s="89"/>
      <c r="AB919" s="89"/>
      <c r="AC919" s="89"/>
      <c r="AD919" s="89"/>
      <c r="AE919" s="89"/>
      <c r="AF919" s="89"/>
      <c r="AM919" s="89"/>
      <c r="AN919" s="199"/>
      <c r="AO919" s="89"/>
    </row>
    <row r="920" spans="3:41" ht="15.75" customHeight="1" x14ac:dyDescent="0.25"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208"/>
      <c r="P920" s="209"/>
      <c r="Q920" s="89"/>
      <c r="R920" s="89"/>
      <c r="S920" s="89"/>
      <c r="T920" s="89"/>
      <c r="U920" s="89"/>
      <c r="V920" s="89"/>
      <c r="W920" s="89"/>
      <c r="X920" s="89"/>
      <c r="Y920" s="89"/>
      <c r="Z920" s="89"/>
      <c r="AA920" s="89"/>
      <c r="AB920" s="89"/>
      <c r="AC920" s="89"/>
      <c r="AD920" s="89"/>
      <c r="AE920" s="89"/>
      <c r="AF920" s="89"/>
      <c r="AM920" s="89"/>
      <c r="AN920" s="199"/>
      <c r="AO920" s="89"/>
    </row>
    <row r="921" spans="3:41" ht="15.75" customHeight="1" x14ac:dyDescent="0.25"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208"/>
      <c r="P921" s="209"/>
      <c r="Q921" s="89"/>
      <c r="R921" s="89"/>
      <c r="S921" s="89"/>
      <c r="T921" s="89"/>
      <c r="U921" s="89"/>
      <c r="V921" s="89"/>
      <c r="W921" s="89"/>
      <c r="X921" s="89"/>
      <c r="Y921" s="89"/>
      <c r="Z921" s="89"/>
      <c r="AA921" s="89"/>
      <c r="AB921" s="89"/>
      <c r="AC921" s="89"/>
      <c r="AD921" s="89"/>
      <c r="AE921" s="89"/>
      <c r="AF921" s="89"/>
      <c r="AM921" s="89"/>
      <c r="AN921" s="199"/>
      <c r="AO921" s="89"/>
    </row>
    <row r="922" spans="3:41" ht="15.75" customHeight="1" x14ac:dyDescent="0.25"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208"/>
      <c r="P922" s="209"/>
      <c r="Q922" s="89"/>
      <c r="R922" s="89"/>
      <c r="S922" s="89"/>
      <c r="T922" s="89"/>
      <c r="U922" s="89"/>
      <c r="V922" s="89"/>
      <c r="W922" s="89"/>
      <c r="X922" s="89"/>
      <c r="Y922" s="89"/>
      <c r="Z922" s="89"/>
      <c r="AA922" s="89"/>
      <c r="AB922" s="89"/>
      <c r="AC922" s="89"/>
      <c r="AD922" s="89"/>
      <c r="AE922" s="89"/>
      <c r="AF922" s="89"/>
      <c r="AM922" s="89"/>
      <c r="AN922" s="199"/>
      <c r="AO922" s="89"/>
    </row>
    <row r="923" spans="3:41" ht="15.75" customHeight="1" x14ac:dyDescent="0.25"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208"/>
      <c r="P923" s="209"/>
      <c r="Q923" s="89"/>
      <c r="R923" s="89"/>
      <c r="S923" s="89"/>
      <c r="T923" s="89"/>
      <c r="U923" s="89"/>
      <c r="V923" s="89"/>
      <c r="W923" s="89"/>
      <c r="X923" s="89"/>
      <c r="Y923" s="89"/>
      <c r="Z923" s="89"/>
      <c r="AA923" s="89"/>
      <c r="AB923" s="89"/>
      <c r="AC923" s="89"/>
      <c r="AD923" s="89"/>
      <c r="AE923" s="89"/>
      <c r="AF923" s="89"/>
      <c r="AM923" s="89"/>
      <c r="AN923" s="199"/>
      <c r="AO923" s="89"/>
    </row>
    <row r="924" spans="3:41" ht="15.75" customHeight="1" x14ac:dyDescent="0.25"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208"/>
      <c r="P924" s="209"/>
      <c r="Q924" s="89"/>
      <c r="R924" s="89"/>
      <c r="S924" s="89"/>
      <c r="T924" s="89"/>
      <c r="U924" s="89"/>
      <c r="V924" s="89"/>
      <c r="W924" s="89"/>
      <c r="X924" s="89"/>
      <c r="Y924" s="89"/>
      <c r="Z924" s="89"/>
      <c r="AA924" s="89"/>
      <c r="AB924" s="89"/>
      <c r="AC924" s="89"/>
      <c r="AD924" s="89"/>
      <c r="AE924" s="89"/>
      <c r="AF924" s="89"/>
      <c r="AM924" s="89"/>
      <c r="AN924" s="199"/>
      <c r="AO924" s="89"/>
    </row>
    <row r="925" spans="3:41" ht="15.75" customHeight="1" x14ac:dyDescent="0.25"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208"/>
      <c r="P925" s="209"/>
      <c r="Q925" s="89"/>
      <c r="R925" s="89"/>
      <c r="S925" s="89"/>
      <c r="T925" s="89"/>
      <c r="U925" s="89"/>
      <c r="V925" s="89"/>
      <c r="W925" s="89"/>
      <c r="X925" s="89"/>
      <c r="Y925" s="89"/>
      <c r="Z925" s="89"/>
      <c r="AA925" s="89"/>
      <c r="AB925" s="89"/>
      <c r="AC925" s="89"/>
      <c r="AD925" s="89"/>
      <c r="AE925" s="89"/>
      <c r="AF925" s="89"/>
      <c r="AM925" s="89"/>
      <c r="AN925" s="199"/>
      <c r="AO925" s="89"/>
    </row>
    <row r="926" spans="3:41" ht="15.75" customHeight="1" x14ac:dyDescent="0.25"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208"/>
      <c r="P926" s="209"/>
      <c r="Q926" s="89"/>
      <c r="R926" s="89"/>
      <c r="S926" s="89"/>
      <c r="T926" s="89"/>
      <c r="U926" s="89"/>
      <c r="V926" s="89"/>
      <c r="W926" s="89"/>
      <c r="X926" s="89"/>
      <c r="Y926" s="89"/>
      <c r="Z926" s="89"/>
      <c r="AA926" s="89"/>
      <c r="AB926" s="89"/>
      <c r="AC926" s="89"/>
      <c r="AD926" s="89"/>
      <c r="AE926" s="89"/>
      <c r="AF926" s="89"/>
      <c r="AM926" s="89"/>
      <c r="AN926" s="199"/>
      <c r="AO926" s="89"/>
    </row>
    <row r="927" spans="3:41" ht="15.75" customHeight="1" x14ac:dyDescent="0.25"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208"/>
      <c r="P927" s="209"/>
      <c r="Q927" s="89"/>
      <c r="R927" s="89"/>
      <c r="S927" s="89"/>
      <c r="T927" s="89"/>
      <c r="U927" s="89"/>
      <c r="V927" s="89"/>
      <c r="W927" s="89"/>
      <c r="X927" s="89"/>
      <c r="Y927" s="89"/>
      <c r="Z927" s="89"/>
      <c r="AA927" s="89"/>
      <c r="AB927" s="89"/>
      <c r="AC927" s="89"/>
      <c r="AD927" s="89"/>
      <c r="AE927" s="89"/>
      <c r="AF927" s="89"/>
      <c r="AM927" s="89"/>
      <c r="AN927" s="199"/>
      <c r="AO927" s="89"/>
    </row>
    <row r="928" spans="3:41" ht="15.75" customHeight="1" x14ac:dyDescent="0.25"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208"/>
      <c r="P928" s="209"/>
      <c r="Q928" s="89"/>
      <c r="R928" s="89"/>
      <c r="S928" s="89"/>
      <c r="T928" s="89"/>
      <c r="U928" s="89"/>
      <c r="V928" s="89"/>
      <c r="W928" s="89"/>
      <c r="X928" s="89"/>
      <c r="Y928" s="89"/>
      <c r="Z928" s="89"/>
      <c r="AA928" s="89"/>
      <c r="AB928" s="89"/>
      <c r="AC928" s="89"/>
      <c r="AD928" s="89"/>
      <c r="AE928" s="89"/>
      <c r="AF928" s="89"/>
      <c r="AM928" s="89"/>
      <c r="AN928" s="199"/>
      <c r="AO928" s="89"/>
    </row>
    <row r="929" spans="3:41" ht="15.75" customHeight="1" x14ac:dyDescent="0.25"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208"/>
      <c r="P929" s="209"/>
      <c r="Q929" s="89"/>
      <c r="R929" s="89"/>
      <c r="S929" s="89"/>
      <c r="T929" s="89"/>
      <c r="U929" s="89"/>
      <c r="V929" s="89"/>
      <c r="W929" s="89"/>
      <c r="X929" s="89"/>
      <c r="Y929" s="89"/>
      <c r="Z929" s="89"/>
      <c r="AA929" s="89"/>
      <c r="AB929" s="89"/>
      <c r="AC929" s="89"/>
      <c r="AD929" s="89"/>
      <c r="AE929" s="89"/>
      <c r="AF929" s="89"/>
      <c r="AM929" s="89"/>
      <c r="AN929" s="199"/>
      <c r="AO929" s="89"/>
    </row>
    <row r="930" spans="3:41" ht="15.75" customHeight="1" x14ac:dyDescent="0.25"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208"/>
      <c r="P930" s="209"/>
      <c r="Q930" s="89"/>
      <c r="R930" s="89"/>
      <c r="S930" s="89"/>
      <c r="T930" s="89"/>
      <c r="U930" s="89"/>
      <c r="V930" s="89"/>
      <c r="W930" s="89"/>
      <c r="X930" s="89"/>
      <c r="Y930" s="89"/>
      <c r="Z930" s="89"/>
      <c r="AA930" s="89"/>
      <c r="AB930" s="89"/>
      <c r="AC930" s="89"/>
      <c r="AD930" s="89"/>
      <c r="AE930" s="89"/>
      <c r="AF930" s="89"/>
      <c r="AM930" s="89"/>
      <c r="AN930" s="199"/>
      <c r="AO930" s="89"/>
    </row>
    <row r="931" spans="3:41" ht="15.75" customHeight="1" x14ac:dyDescent="0.25"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208"/>
      <c r="P931" s="209"/>
      <c r="Q931" s="89"/>
      <c r="R931" s="89"/>
      <c r="S931" s="89"/>
      <c r="T931" s="89"/>
      <c r="U931" s="89"/>
      <c r="V931" s="89"/>
      <c r="W931" s="89"/>
      <c r="X931" s="89"/>
      <c r="Y931" s="89"/>
      <c r="Z931" s="89"/>
      <c r="AA931" s="89"/>
      <c r="AB931" s="89"/>
      <c r="AC931" s="89"/>
      <c r="AD931" s="89"/>
      <c r="AE931" s="89"/>
      <c r="AF931" s="89"/>
      <c r="AM931" s="89"/>
      <c r="AN931" s="199"/>
      <c r="AO931" s="89"/>
    </row>
    <row r="932" spans="3:41" ht="15.75" customHeight="1" x14ac:dyDescent="0.25"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208"/>
      <c r="P932" s="209"/>
      <c r="Q932" s="89"/>
      <c r="R932" s="89"/>
      <c r="S932" s="89"/>
      <c r="T932" s="89"/>
      <c r="U932" s="89"/>
      <c r="V932" s="89"/>
      <c r="W932" s="89"/>
      <c r="X932" s="89"/>
      <c r="Y932" s="89"/>
      <c r="Z932" s="89"/>
      <c r="AA932" s="89"/>
      <c r="AB932" s="89"/>
      <c r="AC932" s="89"/>
      <c r="AD932" s="89"/>
      <c r="AE932" s="89"/>
      <c r="AF932" s="89"/>
      <c r="AM932" s="89"/>
      <c r="AN932" s="199"/>
      <c r="AO932" s="89"/>
    </row>
    <row r="933" spans="3:41" ht="15.75" customHeight="1" x14ac:dyDescent="0.25"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208"/>
      <c r="P933" s="209"/>
      <c r="Q933" s="89"/>
      <c r="R933" s="89"/>
      <c r="S933" s="89"/>
      <c r="T933" s="89"/>
      <c r="U933" s="89"/>
      <c r="V933" s="89"/>
      <c r="W933" s="89"/>
      <c r="X933" s="89"/>
      <c r="Y933" s="89"/>
      <c r="Z933" s="89"/>
      <c r="AA933" s="89"/>
      <c r="AB933" s="89"/>
      <c r="AC933" s="89"/>
      <c r="AD933" s="89"/>
      <c r="AE933" s="89"/>
      <c r="AF933" s="89"/>
      <c r="AM933" s="89"/>
      <c r="AN933" s="199"/>
      <c r="AO933" s="89"/>
    </row>
    <row r="934" spans="3:41" ht="15.75" customHeight="1" x14ac:dyDescent="0.25"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208"/>
      <c r="P934" s="209"/>
      <c r="Q934" s="89"/>
      <c r="R934" s="89"/>
      <c r="S934" s="89"/>
      <c r="T934" s="89"/>
      <c r="U934" s="89"/>
      <c r="V934" s="89"/>
      <c r="W934" s="89"/>
      <c r="X934" s="89"/>
      <c r="Y934" s="89"/>
      <c r="Z934" s="89"/>
      <c r="AA934" s="89"/>
      <c r="AB934" s="89"/>
      <c r="AC934" s="89"/>
      <c r="AD934" s="89"/>
      <c r="AE934" s="89"/>
      <c r="AF934" s="89"/>
      <c r="AM934" s="89"/>
      <c r="AN934" s="199"/>
      <c r="AO934" s="89"/>
    </row>
    <row r="935" spans="3:41" ht="15.75" customHeight="1" x14ac:dyDescent="0.25"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208"/>
      <c r="P935" s="209"/>
      <c r="Q935" s="89"/>
      <c r="R935" s="89"/>
      <c r="S935" s="89"/>
      <c r="T935" s="89"/>
      <c r="U935" s="89"/>
      <c r="V935" s="89"/>
      <c r="W935" s="89"/>
      <c r="X935" s="89"/>
      <c r="Y935" s="89"/>
      <c r="Z935" s="89"/>
      <c r="AA935" s="89"/>
      <c r="AB935" s="89"/>
      <c r="AC935" s="89"/>
      <c r="AD935" s="89"/>
      <c r="AE935" s="89"/>
      <c r="AF935" s="89"/>
      <c r="AM935" s="89"/>
      <c r="AN935" s="199"/>
      <c r="AO935" s="89"/>
    </row>
    <row r="936" spans="3:41" ht="15.75" customHeight="1" x14ac:dyDescent="0.25"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208"/>
      <c r="P936" s="209"/>
      <c r="Q936" s="89"/>
      <c r="R936" s="89"/>
      <c r="S936" s="89"/>
      <c r="T936" s="89"/>
      <c r="U936" s="89"/>
      <c r="V936" s="89"/>
      <c r="W936" s="89"/>
      <c r="X936" s="89"/>
      <c r="Y936" s="89"/>
      <c r="Z936" s="89"/>
      <c r="AA936" s="89"/>
      <c r="AB936" s="89"/>
      <c r="AC936" s="89"/>
      <c r="AD936" s="89"/>
      <c r="AE936" s="89"/>
      <c r="AF936" s="89"/>
      <c r="AM936" s="89"/>
      <c r="AN936" s="199"/>
      <c r="AO936" s="89"/>
    </row>
    <row r="937" spans="3:41" ht="15.75" customHeight="1" x14ac:dyDescent="0.25"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208"/>
      <c r="P937" s="209"/>
      <c r="Q937" s="89"/>
      <c r="R937" s="89"/>
      <c r="S937" s="89"/>
      <c r="T937" s="89"/>
      <c r="U937" s="89"/>
      <c r="V937" s="89"/>
      <c r="W937" s="89"/>
      <c r="X937" s="89"/>
      <c r="Y937" s="89"/>
      <c r="Z937" s="89"/>
      <c r="AA937" s="89"/>
      <c r="AB937" s="89"/>
      <c r="AC937" s="89"/>
      <c r="AD937" s="89"/>
      <c r="AE937" s="89"/>
      <c r="AF937" s="89"/>
      <c r="AM937" s="89"/>
      <c r="AN937" s="199"/>
      <c r="AO937" s="89"/>
    </row>
    <row r="938" spans="3:41" ht="15.75" customHeight="1" x14ac:dyDescent="0.25"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208"/>
      <c r="P938" s="209"/>
      <c r="Q938" s="89"/>
      <c r="R938" s="89"/>
      <c r="S938" s="89"/>
      <c r="T938" s="89"/>
      <c r="U938" s="89"/>
      <c r="V938" s="89"/>
      <c r="W938" s="89"/>
      <c r="X938" s="89"/>
      <c r="Y938" s="89"/>
      <c r="Z938" s="89"/>
      <c r="AA938" s="89"/>
      <c r="AB938" s="89"/>
      <c r="AC938" s="89"/>
      <c r="AD938" s="89"/>
      <c r="AE938" s="89"/>
      <c r="AF938" s="89"/>
      <c r="AM938" s="89"/>
      <c r="AN938" s="199"/>
      <c r="AO938" s="89"/>
    </row>
    <row r="939" spans="3:41" ht="15.75" customHeight="1" x14ac:dyDescent="0.25"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208"/>
      <c r="P939" s="209"/>
      <c r="Q939" s="89"/>
      <c r="R939" s="89"/>
      <c r="S939" s="89"/>
      <c r="T939" s="89"/>
      <c r="U939" s="89"/>
      <c r="V939" s="89"/>
      <c r="W939" s="89"/>
      <c r="X939" s="89"/>
      <c r="Y939" s="89"/>
      <c r="Z939" s="89"/>
      <c r="AA939" s="89"/>
      <c r="AB939" s="89"/>
      <c r="AC939" s="89"/>
      <c r="AD939" s="89"/>
      <c r="AE939" s="89"/>
      <c r="AF939" s="89"/>
      <c r="AM939" s="89"/>
      <c r="AN939" s="199"/>
      <c r="AO939" s="89"/>
    </row>
    <row r="940" spans="3:41" ht="15.75" customHeight="1" x14ac:dyDescent="0.25"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208"/>
      <c r="P940" s="209"/>
      <c r="Q940" s="89"/>
      <c r="R940" s="89"/>
      <c r="S940" s="89"/>
      <c r="T940" s="89"/>
      <c r="U940" s="89"/>
      <c r="V940" s="89"/>
      <c r="W940" s="89"/>
      <c r="X940" s="89"/>
      <c r="Y940" s="89"/>
      <c r="Z940" s="89"/>
      <c r="AA940" s="89"/>
      <c r="AB940" s="89"/>
      <c r="AC940" s="89"/>
      <c r="AD940" s="89"/>
      <c r="AE940" s="89"/>
      <c r="AF940" s="89"/>
      <c r="AM940" s="89"/>
      <c r="AN940" s="199"/>
      <c r="AO940" s="89"/>
    </row>
    <row r="941" spans="3:41" ht="15.75" customHeight="1" x14ac:dyDescent="0.25"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208"/>
      <c r="P941" s="209"/>
      <c r="Q941" s="89"/>
      <c r="R941" s="89"/>
      <c r="S941" s="89"/>
      <c r="T941" s="89"/>
      <c r="U941" s="89"/>
      <c r="V941" s="89"/>
      <c r="W941" s="89"/>
      <c r="X941" s="89"/>
      <c r="Y941" s="89"/>
      <c r="Z941" s="89"/>
      <c r="AA941" s="89"/>
      <c r="AB941" s="89"/>
      <c r="AC941" s="89"/>
      <c r="AD941" s="89"/>
      <c r="AE941" s="89"/>
      <c r="AF941" s="89"/>
      <c r="AM941" s="89"/>
      <c r="AN941" s="199"/>
      <c r="AO941" s="89"/>
    </row>
    <row r="942" spans="3:41" ht="15.75" customHeight="1" x14ac:dyDescent="0.25"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208"/>
      <c r="P942" s="209"/>
      <c r="Q942" s="89"/>
      <c r="R942" s="89"/>
      <c r="S942" s="89"/>
      <c r="T942" s="89"/>
      <c r="U942" s="89"/>
      <c r="V942" s="89"/>
      <c r="W942" s="89"/>
      <c r="X942" s="89"/>
      <c r="Y942" s="89"/>
      <c r="Z942" s="89"/>
      <c r="AA942" s="89"/>
      <c r="AB942" s="89"/>
      <c r="AC942" s="89"/>
      <c r="AD942" s="89"/>
      <c r="AE942" s="89"/>
      <c r="AF942" s="89"/>
      <c r="AM942" s="89"/>
      <c r="AN942" s="199"/>
      <c r="AO942" s="89"/>
    </row>
    <row r="943" spans="3:41" ht="15.75" customHeight="1" x14ac:dyDescent="0.25"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208"/>
      <c r="P943" s="209"/>
      <c r="Q943" s="89"/>
      <c r="R943" s="89"/>
      <c r="S943" s="89"/>
      <c r="T943" s="89"/>
      <c r="U943" s="89"/>
      <c r="V943" s="89"/>
      <c r="W943" s="89"/>
      <c r="X943" s="89"/>
      <c r="Y943" s="89"/>
      <c r="Z943" s="89"/>
      <c r="AA943" s="89"/>
      <c r="AB943" s="89"/>
      <c r="AC943" s="89"/>
      <c r="AD943" s="89"/>
      <c r="AE943" s="89"/>
      <c r="AF943" s="89"/>
      <c r="AM943" s="89"/>
      <c r="AN943" s="199"/>
      <c r="AO943" s="89"/>
    </row>
    <row r="944" spans="3:41" ht="15.75" customHeight="1" x14ac:dyDescent="0.25"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208"/>
      <c r="P944" s="209"/>
      <c r="Q944" s="89"/>
      <c r="R944" s="89"/>
      <c r="S944" s="89"/>
      <c r="T944" s="89"/>
      <c r="U944" s="89"/>
      <c r="V944" s="89"/>
      <c r="W944" s="89"/>
      <c r="X944" s="89"/>
      <c r="Y944" s="89"/>
      <c r="Z944" s="89"/>
      <c r="AA944" s="89"/>
      <c r="AB944" s="89"/>
      <c r="AC944" s="89"/>
      <c r="AD944" s="89"/>
      <c r="AE944" s="89"/>
      <c r="AF944" s="89"/>
      <c r="AM944" s="89"/>
      <c r="AN944" s="199"/>
      <c r="AO944" s="89"/>
    </row>
    <row r="945" spans="3:41" ht="15.75" customHeight="1" x14ac:dyDescent="0.25"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208"/>
      <c r="P945" s="209"/>
      <c r="Q945" s="89"/>
      <c r="R945" s="89"/>
      <c r="S945" s="89"/>
      <c r="T945" s="89"/>
      <c r="U945" s="89"/>
      <c r="V945" s="89"/>
      <c r="W945" s="89"/>
      <c r="X945" s="89"/>
      <c r="Y945" s="89"/>
      <c r="Z945" s="89"/>
      <c r="AA945" s="89"/>
      <c r="AB945" s="89"/>
      <c r="AC945" s="89"/>
      <c r="AD945" s="89"/>
      <c r="AE945" s="89"/>
      <c r="AF945" s="89"/>
      <c r="AM945" s="89"/>
      <c r="AN945" s="199"/>
      <c r="AO945" s="89"/>
    </row>
    <row r="946" spans="3:41" ht="15.75" customHeight="1" x14ac:dyDescent="0.25"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208"/>
      <c r="P946" s="209"/>
      <c r="Q946" s="89"/>
      <c r="R946" s="89"/>
      <c r="S946" s="89"/>
      <c r="T946" s="89"/>
      <c r="U946" s="89"/>
      <c r="V946" s="89"/>
      <c r="W946" s="89"/>
      <c r="X946" s="89"/>
      <c r="Y946" s="89"/>
      <c r="Z946" s="89"/>
      <c r="AA946" s="89"/>
      <c r="AB946" s="89"/>
      <c r="AC946" s="89"/>
      <c r="AD946" s="89"/>
      <c r="AE946" s="89"/>
      <c r="AF946" s="89"/>
      <c r="AM946" s="89"/>
      <c r="AN946" s="199"/>
      <c r="AO946" s="89"/>
    </row>
    <row r="947" spans="3:41" ht="15.75" customHeight="1" x14ac:dyDescent="0.25"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208"/>
      <c r="P947" s="209"/>
      <c r="Q947" s="89"/>
      <c r="R947" s="89"/>
      <c r="S947" s="89"/>
      <c r="T947" s="89"/>
      <c r="U947" s="89"/>
      <c r="V947" s="89"/>
      <c r="W947" s="89"/>
      <c r="X947" s="89"/>
      <c r="Y947" s="89"/>
      <c r="Z947" s="89"/>
      <c r="AA947" s="89"/>
      <c r="AB947" s="89"/>
      <c r="AC947" s="89"/>
      <c r="AD947" s="89"/>
      <c r="AE947" s="89"/>
      <c r="AF947" s="89"/>
      <c r="AM947" s="89"/>
      <c r="AN947" s="199"/>
      <c r="AO947" s="89"/>
    </row>
    <row r="948" spans="3:41" ht="15.75" customHeight="1" x14ac:dyDescent="0.25"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208"/>
      <c r="P948" s="209"/>
      <c r="Q948" s="89"/>
      <c r="R948" s="89"/>
      <c r="S948" s="89"/>
      <c r="T948" s="89"/>
      <c r="U948" s="89"/>
      <c r="V948" s="89"/>
      <c r="W948" s="89"/>
      <c r="X948" s="89"/>
      <c r="Y948" s="89"/>
      <c r="Z948" s="89"/>
      <c r="AA948" s="89"/>
      <c r="AB948" s="89"/>
      <c r="AC948" s="89"/>
      <c r="AD948" s="89"/>
      <c r="AE948" s="89"/>
      <c r="AF948" s="89"/>
      <c r="AM948" s="89"/>
      <c r="AN948" s="199"/>
      <c r="AO948" s="89"/>
    </row>
    <row r="949" spans="3:41" ht="15.75" customHeight="1" x14ac:dyDescent="0.25"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208"/>
      <c r="P949" s="209"/>
      <c r="Q949" s="89"/>
      <c r="R949" s="89"/>
      <c r="S949" s="89"/>
      <c r="T949" s="89"/>
      <c r="U949" s="89"/>
      <c r="V949" s="89"/>
      <c r="W949" s="89"/>
      <c r="X949" s="89"/>
      <c r="Y949" s="89"/>
      <c r="Z949" s="89"/>
      <c r="AA949" s="89"/>
      <c r="AB949" s="89"/>
      <c r="AC949" s="89"/>
      <c r="AD949" s="89"/>
      <c r="AE949" s="89"/>
      <c r="AF949" s="89"/>
      <c r="AM949" s="89"/>
      <c r="AN949" s="199"/>
      <c r="AO949" s="89"/>
    </row>
    <row r="950" spans="3:41" ht="15.75" customHeight="1" x14ac:dyDescent="0.25"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208"/>
      <c r="P950" s="209"/>
      <c r="Q950" s="89"/>
      <c r="R950" s="89"/>
      <c r="S950" s="89"/>
      <c r="T950" s="89"/>
      <c r="U950" s="89"/>
      <c r="V950" s="89"/>
      <c r="W950" s="89"/>
      <c r="X950" s="89"/>
      <c r="Y950" s="89"/>
      <c r="Z950" s="89"/>
      <c r="AA950" s="89"/>
      <c r="AB950" s="89"/>
      <c r="AC950" s="89"/>
      <c r="AD950" s="89"/>
      <c r="AE950" s="89"/>
      <c r="AF950" s="89"/>
      <c r="AM950" s="89"/>
      <c r="AN950" s="199"/>
      <c r="AO950" s="89"/>
    </row>
    <row r="951" spans="3:41" ht="15.75" customHeight="1" x14ac:dyDescent="0.25"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208"/>
      <c r="P951" s="209"/>
      <c r="Q951" s="89"/>
      <c r="R951" s="89"/>
      <c r="S951" s="89"/>
      <c r="T951" s="89"/>
      <c r="U951" s="89"/>
      <c r="V951" s="89"/>
      <c r="W951" s="89"/>
      <c r="X951" s="89"/>
      <c r="Y951" s="89"/>
      <c r="Z951" s="89"/>
      <c r="AA951" s="89"/>
      <c r="AB951" s="89"/>
      <c r="AC951" s="89"/>
      <c r="AD951" s="89"/>
      <c r="AE951" s="89"/>
      <c r="AF951" s="89"/>
      <c r="AM951" s="89"/>
      <c r="AN951" s="199"/>
      <c r="AO951" s="89"/>
    </row>
    <row r="952" spans="3:41" ht="15.75" customHeight="1" x14ac:dyDescent="0.25"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208"/>
      <c r="P952" s="209"/>
      <c r="Q952" s="89"/>
      <c r="R952" s="89"/>
      <c r="S952" s="89"/>
      <c r="T952" s="89"/>
      <c r="U952" s="89"/>
      <c r="V952" s="89"/>
      <c r="W952" s="89"/>
      <c r="X952" s="89"/>
      <c r="Y952" s="89"/>
      <c r="Z952" s="89"/>
      <c r="AA952" s="89"/>
      <c r="AB952" s="89"/>
      <c r="AC952" s="89"/>
      <c r="AD952" s="89"/>
      <c r="AE952" s="89"/>
      <c r="AF952" s="89"/>
      <c r="AM952" s="89"/>
      <c r="AN952" s="199"/>
      <c r="AO952" s="89"/>
    </row>
    <row r="953" spans="3:41" ht="15.75" customHeight="1" x14ac:dyDescent="0.25"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208"/>
      <c r="P953" s="20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M953" s="89"/>
      <c r="AN953" s="199"/>
      <c r="AO953" s="89"/>
    </row>
    <row r="954" spans="3:41" ht="15.75" customHeight="1" x14ac:dyDescent="0.25"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208"/>
      <c r="P954" s="209"/>
      <c r="Q954" s="89"/>
      <c r="R954" s="89"/>
      <c r="S954" s="89"/>
      <c r="T954" s="89"/>
      <c r="U954" s="89"/>
      <c r="V954" s="89"/>
      <c r="W954" s="89"/>
      <c r="X954" s="89"/>
      <c r="Y954" s="89"/>
      <c r="Z954" s="89"/>
      <c r="AA954" s="89"/>
      <c r="AB954" s="89"/>
      <c r="AC954" s="89"/>
      <c r="AD954" s="89"/>
      <c r="AE954" s="89"/>
      <c r="AF954" s="89"/>
      <c r="AM954" s="89"/>
      <c r="AN954" s="199"/>
      <c r="AO954" s="89"/>
    </row>
    <row r="955" spans="3:41" ht="15.75" customHeight="1" x14ac:dyDescent="0.25"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208"/>
      <c r="P955" s="209"/>
      <c r="Q955" s="89"/>
      <c r="R955" s="89"/>
      <c r="S955" s="89"/>
      <c r="T955" s="89"/>
      <c r="U955" s="89"/>
      <c r="V955" s="89"/>
      <c r="W955" s="89"/>
      <c r="X955" s="89"/>
      <c r="Y955" s="89"/>
      <c r="Z955" s="89"/>
      <c r="AA955" s="89"/>
      <c r="AB955" s="89"/>
      <c r="AC955" s="89"/>
      <c r="AD955" s="89"/>
      <c r="AE955" s="89"/>
      <c r="AF955" s="89"/>
      <c r="AM955" s="89"/>
      <c r="AN955" s="199"/>
      <c r="AO955" s="89"/>
    </row>
    <row r="956" spans="3:41" ht="15.75" customHeight="1" x14ac:dyDescent="0.25"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208"/>
      <c r="P956" s="209"/>
      <c r="Q956" s="89"/>
      <c r="R956" s="89"/>
      <c r="S956" s="89"/>
      <c r="T956" s="89"/>
      <c r="U956" s="89"/>
      <c r="V956" s="89"/>
      <c r="W956" s="89"/>
      <c r="X956" s="89"/>
      <c r="Y956" s="89"/>
      <c r="Z956" s="89"/>
      <c r="AA956" s="89"/>
      <c r="AB956" s="89"/>
      <c r="AC956" s="89"/>
      <c r="AD956" s="89"/>
      <c r="AE956" s="89"/>
      <c r="AF956" s="89"/>
      <c r="AM956" s="89"/>
      <c r="AN956" s="199"/>
      <c r="AO956" s="89"/>
    </row>
    <row r="957" spans="3:41" ht="15.75" customHeight="1" x14ac:dyDescent="0.25"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208"/>
      <c r="P957" s="209"/>
      <c r="Q957" s="89"/>
      <c r="R957" s="89"/>
      <c r="S957" s="89"/>
      <c r="T957" s="89"/>
      <c r="U957" s="89"/>
      <c r="V957" s="89"/>
      <c r="W957" s="89"/>
      <c r="X957" s="89"/>
      <c r="Y957" s="89"/>
      <c r="Z957" s="89"/>
      <c r="AA957" s="89"/>
      <c r="AB957" s="89"/>
      <c r="AC957" s="89"/>
      <c r="AD957" s="89"/>
      <c r="AE957" s="89"/>
      <c r="AF957" s="89"/>
      <c r="AM957" s="89"/>
      <c r="AN957" s="199"/>
      <c r="AO957" s="89"/>
    </row>
    <row r="958" spans="3:41" ht="15.75" customHeight="1" x14ac:dyDescent="0.25"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208"/>
      <c r="P958" s="209"/>
      <c r="Q958" s="89"/>
      <c r="R958" s="89"/>
      <c r="S958" s="89"/>
      <c r="T958" s="89"/>
      <c r="U958" s="89"/>
      <c r="V958" s="89"/>
      <c r="W958" s="89"/>
      <c r="X958" s="89"/>
      <c r="Y958" s="89"/>
      <c r="Z958" s="89"/>
      <c r="AA958" s="89"/>
      <c r="AB958" s="89"/>
      <c r="AC958" s="89"/>
      <c r="AD958" s="89"/>
      <c r="AE958" s="89"/>
      <c r="AF958" s="89"/>
      <c r="AM958" s="89"/>
      <c r="AN958" s="199"/>
      <c r="AO958" s="89"/>
    </row>
    <row r="959" spans="3:41" ht="15.75" customHeight="1" x14ac:dyDescent="0.25"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208"/>
      <c r="P959" s="209"/>
      <c r="Q959" s="89"/>
      <c r="R959" s="89"/>
      <c r="S959" s="89"/>
      <c r="T959" s="89"/>
      <c r="U959" s="89"/>
      <c r="V959" s="89"/>
      <c r="W959" s="89"/>
      <c r="X959" s="89"/>
      <c r="Y959" s="89"/>
      <c r="Z959" s="89"/>
      <c r="AA959" s="89"/>
      <c r="AB959" s="89"/>
      <c r="AC959" s="89"/>
      <c r="AD959" s="89"/>
      <c r="AE959" s="89"/>
      <c r="AF959" s="89"/>
      <c r="AM959" s="89"/>
      <c r="AN959" s="199"/>
      <c r="AO959" s="89"/>
    </row>
    <row r="960" spans="3:41" ht="15.75" customHeight="1" x14ac:dyDescent="0.25"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208"/>
      <c r="P960" s="209"/>
      <c r="Q960" s="89"/>
      <c r="R960" s="89"/>
      <c r="S960" s="89"/>
      <c r="T960" s="89"/>
      <c r="U960" s="89"/>
      <c r="V960" s="89"/>
      <c r="W960" s="89"/>
      <c r="X960" s="89"/>
      <c r="Y960" s="89"/>
      <c r="Z960" s="89"/>
      <c r="AA960" s="89"/>
      <c r="AB960" s="89"/>
      <c r="AC960" s="89"/>
      <c r="AD960" s="89"/>
      <c r="AE960" s="89"/>
      <c r="AF960" s="89"/>
      <c r="AM960" s="89"/>
      <c r="AN960" s="199"/>
      <c r="AO960" s="89"/>
    </row>
    <row r="961" spans="3:41" ht="15.75" customHeight="1" x14ac:dyDescent="0.25"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208"/>
      <c r="P961" s="209"/>
      <c r="Q961" s="89"/>
      <c r="R961" s="89"/>
      <c r="S961" s="89"/>
      <c r="T961" s="89"/>
      <c r="U961" s="89"/>
      <c r="V961" s="89"/>
      <c r="W961" s="89"/>
      <c r="X961" s="89"/>
      <c r="Y961" s="89"/>
      <c r="Z961" s="89"/>
      <c r="AA961" s="89"/>
      <c r="AB961" s="89"/>
      <c r="AC961" s="89"/>
      <c r="AD961" s="89"/>
      <c r="AE961" s="89"/>
      <c r="AF961" s="89"/>
      <c r="AM961" s="89"/>
      <c r="AN961" s="199"/>
      <c r="AO961" s="89"/>
    </row>
    <row r="962" spans="3:41" ht="15.75" customHeight="1" x14ac:dyDescent="0.25"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208"/>
      <c r="P962" s="209"/>
      <c r="Q962" s="89"/>
      <c r="R962" s="89"/>
      <c r="S962" s="89"/>
      <c r="T962" s="89"/>
      <c r="U962" s="89"/>
      <c r="V962" s="89"/>
      <c r="W962" s="89"/>
      <c r="X962" s="89"/>
      <c r="Y962" s="89"/>
      <c r="Z962" s="89"/>
      <c r="AA962" s="89"/>
      <c r="AB962" s="89"/>
      <c r="AC962" s="89"/>
      <c r="AD962" s="89"/>
      <c r="AE962" s="89"/>
      <c r="AF962" s="89"/>
      <c r="AM962" s="89"/>
      <c r="AN962" s="199"/>
      <c r="AO962" s="89"/>
    </row>
    <row r="963" spans="3:41" ht="15.75" customHeight="1" x14ac:dyDescent="0.25"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208"/>
      <c r="P963" s="209"/>
      <c r="Q963" s="89"/>
      <c r="R963" s="89"/>
      <c r="S963" s="89"/>
      <c r="T963" s="89"/>
      <c r="U963" s="89"/>
      <c r="V963" s="89"/>
      <c r="W963" s="89"/>
      <c r="X963" s="89"/>
      <c r="Y963" s="89"/>
      <c r="Z963" s="89"/>
      <c r="AA963" s="89"/>
      <c r="AB963" s="89"/>
      <c r="AC963" s="89"/>
      <c r="AD963" s="89"/>
      <c r="AE963" s="89"/>
      <c r="AF963" s="89"/>
      <c r="AM963" s="89"/>
      <c r="AN963" s="199"/>
      <c r="AO963" s="89"/>
    </row>
    <row r="964" spans="3:41" ht="15.75" customHeight="1" x14ac:dyDescent="0.25"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208"/>
      <c r="P964" s="209"/>
      <c r="Q964" s="89"/>
      <c r="R964" s="89"/>
      <c r="S964" s="89"/>
      <c r="T964" s="89"/>
      <c r="U964" s="89"/>
      <c r="V964" s="89"/>
      <c r="W964" s="89"/>
      <c r="X964" s="89"/>
      <c r="Y964" s="89"/>
      <c r="Z964" s="89"/>
      <c r="AA964" s="89"/>
      <c r="AB964" s="89"/>
      <c r="AC964" s="89"/>
      <c r="AD964" s="89"/>
      <c r="AE964" s="89"/>
      <c r="AF964" s="89"/>
      <c r="AM964" s="89"/>
      <c r="AN964" s="199"/>
      <c r="AO964" s="89"/>
    </row>
    <row r="965" spans="3:41" ht="15.75" customHeight="1" x14ac:dyDescent="0.25"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208"/>
      <c r="P965" s="209"/>
      <c r="Q965" s="89"/>
      <c r="R965" s="89"/>
      <c r="S965" s="89"/>
      <c r="T965" s="89"/>
      <c r="U965" s="89"/>
      <c r="V965" s="89"/>
      <c r="W965" s="89"/>
      <c r="X965" s="89"/>
      <c r="Y965" s="89"/>
      <c r="Z965" s="89"/>
      <c r="AA965" s="89"/>
      <c r="AB965" s="89"/>
      <c r="AC965" s="89"/>
      <c r="AD965" s="89"/>
      <c r="AE965" s="89"/>
      <c r="AF965" s="89"/>
      <c r="AM965" s="89"/>
      <c r="AN965" s="199"/>
      <c r="AO965" s="89"/>
    </row>
    <row r="966" spans="3:41" ht="15.75" customHeight="1" x14ac:dyDescent="0.25"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208"/>
      <c r="P966" s="209"/>
      <c r="Q966" s="89"/>
      <c r="R966" s="89"/>
      <c r="S966" s="89"/>
      <c r="T966" s="89"/>
      <c r="U966" s="89"/>
      <c r="V966" s="89"/>
      <c r="W966" s="89"/>
      <c r="X966" s="89"/>
      <c r="Y966" s="89"/>
      <c r="Z966" s="89"/>
      <c r="AA966" s="89"/>
      <c r="AB966" s="89"/>
      <c r="AC966" s="89"/>
      <c r="AD966" s="89"/>
      <c r="AE966" s="89"/>
      <c r="AF966" s="89"/>
      <c r="AM966" s="89"/>
      <c r="AN966" s="199"/>
      <c r="AO966" s="89"/>
    </row>
    <row r="967" spans="3:41" ht="15.75" customHeight="1" x14ac:dyDescent="0.25"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208"/>
      <c r="P967" s="209"/>
      <c r="Q967" s="89"/>
      <c r="R967" s="89"/>
      <c r="S967" s="89"/>
      <c r="T967" s="89"/>
      <c r="U967" s="89"/>
      <c r="V967" s="89"/>
      <c r="W967" s="89"/>
      <c r="X967" s="89"/>
      <c r="Y967" s="89"/>
      <c r="Z967" s="89"/>
      <c r="AA967" s="89"/>
      <c r="AB967" s="89"/>
      <c r="AC967" s="89"/>
      <c r="AD967" s="89"/>
      <c r="AE967" s="89"/>
      <c r="AF967" s="89"/>
      <c r="AM967" s="89"/>
      <c r="AN967" s="199"/>
      <c r="AO967" s="89"/>
    </row>
    <row r="968" spans="3:41" ht="15.75" customHeight="1" x14ac:dyDescent="0.25"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208"/>
      <c r="P968" s="209"/>
      <c r="Q968" s="89"/>
      <c r="R968" s="89"/>
      <c r="S968" s="89"/>
      <c r="T968" s="89"/>
      <c r="U968" s="89"/>
      <c r="V968" s="89"/>
      <c r="W968" s="89"/>
      <c r="X968" s="89"/>
      <c r="Y968" s="89"/>
      <c r="Z968" s="89"/>
      <c r="AA968" s="89"/>
      <c r="AB968" s="89"/>
      <c r="AC968" s="89"/>
      <c r="AD968" s="89"/>
      <c r="AE968" s="89"/>
      <c r="AF968" s="89"/>
      <c r="AM968" s="89"/>
      <c r="AN968" s="199"/>
      <c r="AO968" s="89"/>
    </row>
    <row r="969" spans="3:41" ht="15.75" customHeight="1" x14ac:dyDescent="0.25"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208"/>
      <c r="P969" s="209"/>
      <c r="Q969" s="89"/>
      <c r="R969" s="89"/>
      <c r="S969" s="89"/>
      <c r="T969" s="89"/>
      <c r="U969" s="89"/>
      <c r="V969" s="89"/>
      <c r="W969" s="89"/>
      <c r="X969" s="89"/>
      <c r="Y969" s="89"/>
      <c r="Z969" s="89"/>
      <c r="AA969" s="89"/>
      <c r="AB969" s="89"/>
      <c r="AC969" s="89"/>
      <c r="AD969" s="89"/>
      <c r="AE969" s="89"/>
      <c r="AF969" s="89"/>
      <c r="AM969" s="89"/>
      <c r="AN969" s="199"/>
      <c r="AO969" s="89"/>
    </row>
    <row r="970" spans="3:41" ht="15.75" customHeight="1" x14ac:dyDescent="0.25"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208"/>
      <c r="P970" s="209"/>
      <c r="Q970" s="89"/>
      <c r="R970" s="89"/>
      <c r="S970" s="89"/>
      <c r="T970" s="89"/>
      <c r="U970" s="89"/>
      <c r="V970" s="89"/>
      <c r="W970" s="89"/>
      <c r="X970" s="89"/>
      <c r="Y970" s="89"/>
      <c r="Z970" s="89"/>
      <c r="AA970" s="89"/>
      <c r="AB970" s="89"/>
      <c r="AC970" s="89"/>
      <c r="AD970" s="89"/>
      <c r="AE970" s="89"/>
      <c r="AF970" s="89"/>
      <c r="AM970" s="89"/>
      <c r="AN970" s="199"/>
      <c r="AO970" s="89"/>
    </row>
    <row r="971" spans="3:41" ht="15.75" customHeight="1" x14ac:dyDescent="0.25"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208"/>
      <c r="P971" s="209"/>
      <c r="Q971" s="89"/>
      <c r="R971" s="89"/>
      <c r="S971" s="89"/>
      <c r="T971" s="89"/>
      <c r="U971" s="89"/>
      <c r="V971" s="89"/>
      <c r="W971" s="89"/>
      <c r="X971" s="89"/>
      <c r="Y971" s="89"/>
      <c r="Z971" s="89"/>
      <c r="AA971" s="89"/>
      <c r="AB971" s="89"/>
      <c r="AC971" s="89"/>
      <c r="AD971" s="89"/>
      <c r="AE971" s="89"/>
      <c r="AF971" s="89"/>
      <c r="AM971" s="89"/>
      <c r="AN971" s="199"/>
      <c r="AO971" s="89"/>
    </row>
    <row r="972" spans="3:41" ht="15.75" customHeight="1" x14ac:dyDescent="0.25"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208"/>
      <c r="P972" s="209"/>
      <c r="Q972" s="89"/>
      <c r="R972" s="89"/>
      <c r="S972" s="89"/>
      <c r="T972" s="89"/>
      <c r="U972" s="89"/>
      <c r="V972" s="89"/>
      <c r="W972" s="89"/>
      <c r="X972" s="89"/>
      <c r="Y972" s="89"/>
      <c r="Z972" s="89"/>
      <c r="AA972" s="89"/>
      <c r="AB972" s="89"/>
      <c r="AC972" s="89"/>
      <c r="AD972" s="89"/>
      <c r="AE972" s="89"/>
      <c r="AF972" s="89"/>
      <c r="AM972" s="89"/>
      <c r="AN972" s="199"/>
      <c r="AO972" s="89"/>
    </row>
    <row r="973" spans="3:41" ht="15.75" customHeight="1" x14ac:dyDescent="0.25"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208"/>
      <c r="P973" s="209"/>
      <c r="Q973" s="89"/>
      <c r="R973" s="89"/>
      <c r="S973" s="89"/>
      <c r="T973" s="89"/>
      <c r="U973" s="89"/>
      <c r="V973" s="89"/>
      <c r="W973" s="89"/>
      <c r="X973" s="89"/>
      <c r="Y973" s="89"/>
      <c r="Z973" s="89"/>
      <c r="AA973" s="89"/>
      <c r="AB973" s="89"/>
      <c r="AC973" s="89"/>
      <c r="AD973" s="89"/>
      <c r="AE973" s="89"/>
      <c r="AF973" s="89"/>
      <c r="AM973" s="89"/>
      <c r="AN973" s="199"/>
      <c r="AO973" s="89"/>
    </row>
    <row r="974" spans="3:41" ht="15.75" customHeight="1" x14ac:dyDescent="0.25"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208"/>
      <c r="P974" s="209"/>
      <c r="Q974" s="89"/>
      <c r="R974" s="89"/>
      <c r="S974" s="89"/>
      <c r="T974" s="89"/>
      <c r="U974" s="89"/>
      <c r="V974" s="89"/>
      <c r="W974" s="89"/>
      <c r="X974" s="89"/>
      <c r="Y974" s="89"/>
      <c r="Z974" s="89"/>
      <c r="AA974" s="89"/>
      <c r="AB974" s="89"/>
      <c r="AC974" s="89"/>
      <c r="AD974" s="89"/>
      <c r="AE974" s="89"/>
      <c r="AF974" s="89"/>
      <c r="AM974" s="89"/>
      <c r="AN974" s="199"/>
      <c r="AO974" s="89"/>
    </row>
    <row r="975" spans="3:41" ht="15.75" customHeight="1" x14ac:dyDescent="0.25"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208"/>
      <c r="P975" s="209"/>
      <c r="Q975" s="89"/>
      <c r="R975" s="89"/>
      <c r="S975" s="89"/>
      <c r="T975" s="89"/>
      <c r="U975" s="89"/>
      <c r="V975" s="89"/>
      <c r="W975" s="89"/>
      <c r="X975" s="89"/>
      <c r="Y975" s="89"/>
      <c r="Z975" s="89"/>
      <c r="AA975" s="89"/>
      <c r="AB975" s="89"/>
      <c r="AC975" s="89"/>
      <c r="AD975" s="89"/>
      <c r="AE975" s="89"/>
      <c r="AF975" s="89"/>
      <c r="AM975" s="89"/>
      <c r="AN975" s="199"/>
      <c r="AO975" s="89"/>
    </row>
    <row r="976" spans="3:41" ht="15.75" customHeight="1" x14ac:dyDescent="0.25"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208"/>
      <c r="P976" s="209"/>
      <c r="Q976" s="89"/>
      <c r="R976" s="89"/>
      <c r="S976" s="89"/>
      <c r="T976" s="89"/>
      <c r="U976" s="89"/>
      <c r="V976" s="89"/>
      <c r="W976" s="89"/>
      <c r="X976" s="89"/>
      <c r="Y976" s="89"/>
      <c r="Z976" s="89"/>
      <c r="AA976" s="89"/>
      <c r="AB976" s="89"/>
      <c r="AC976" s="89"/>
      <c r="AD976" s="89"/>
      <c r="AE976" s="89"/>
      <c r="AF976" s="89"/>
      <c r="AM976" s="89"/>
      <c r="AN976" s="199"/>
      <c r="AO976" s="89"/>
    </row>
    <row r="977" spans="3:41" ht="15.75" customHeight="1" x14ac:dyDescent="0.25"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208"/>
      <c r="P977" s="209"/>
      <c r="Q977" s="89"/>
      <c r="R977" s="89"/>
      <c r="S977" s="89"/>
      <c r="T977" s="89"/>
      <c r="U977" s="89"/>
      <c r="V977" s="89"/>
      <c r="W977" s="89"/>
      <c r="X977" s="89"/>
      <c r="Y977" s="89"/>
      <c r="Z977" s="89"/>
      <c r="AA977" s="89"/>
      <c r="AB977" s="89"/>
      <c r="AC977" s="89"/>
      <c r="AD977" s="89"/>
      <c r="AE977" s="89"/>
      <c r="AF977" s="89"/>
      <c r="AM977" s="89"/>
      <c r="AN977" s="199"/>
      <c r="AO977" s="89"/>
    </row>
    <row r="978" spans="3:41" ht="15.75" customHeight="1" x14ac:dyDescent="0.25"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208"/>
      <c r="P978" s="209"/>
      <c r="Q978" s="89"/>
      <c r="R978" s="89"/>
      <c r="S978" s="89"/>
      <c r="T978" s="89"/>
      <c r="U978" s="89"/>
      <c r="V978" s="89"/>
      <c r="W978" s="89"/>
      <c r="X978" s="89"/>
      <c r="Y978" s="89"/>
      <c r="Z978" s="89"/>
      <c r="AA978" s="89"/>
      <c r="AB978" s="89"/>
      <c r="AC978" s="89"/>
      <c r="AD978" s="89"/>
      <c r="AE978" s="89"/>
      <c r="AF978" s="89"/>
      <c r="AM978" s="89"/>
      <c r="AN978" s="199"/>
      <c r="AO978" s="89"/>
    </row>
    <row r="979" spans="3:41" ht="15.75" customHeight="1" x14ac:dyDescent="0.25"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208"/>
      <c r="P979" s="209"/>
      <c r="Q979" s="89"/>
      <c r="R979" s="89"/>
      <c r="S979" s="89"/>
      <c r="T979" s="89"/>
      <c r="U979" s="89"/>
      <c r="V979" s="89"/>
      <c r="W979" s="89"/>
      <c r="X979" s="89"/>
      <c r="Y979" s="89"/>
      <c r="Z979" s="89"/>
      <c r="AA979" s="89"/>
      <c r="AB979" s="89"/>
      <c r="AC979" s="89"/>
      <c r="AD979" s="89"/>
      <c r="AE979" s="89"/>
      <c r="AF979" s="89"/>
      <c r="AM979" s="89"/>
      <c r="AN979" s="199"/>
      <c r="AO979" s="89"/>
    </row>
    <row r="980" spans="3:41" ht="15.75" customHeight="1" x14ac:dyDescent="0.25"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208"/>
      <c r="P980" s="209"/>
      <c r="Q980" s="89"/>
      <c r="R980" s="89"/>
      <c r="S980" s="89"/>
      <c r="T980" s="89"/>
      <c r="U980" s="89"/>
      <c r="V980" s="89"/>
      <c r="W980" s="89"/>
      <c r="X980" s="89"/>
      <c r="Y980" s="89"/>
      <c r="Z980" s="89"/>
      <c r="AA980" s="89"/>
      <c r="AB980" s="89"/>
      <c r="AC980" s="89"/>
      <c r="AD980" s="89"/>
      <c r="AE980" s="89"/>
      <c r="AF980" s="89"/>
      <c r="AM980" s="89"/>
      <c r="AN980" s="199"/>
      <c r="AO980" s="89"/>
    </row>
    <row r="981" spans="3:41" ht="15.75" customHeight="1" x14ac:dyDescent="0.25"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208"/>
      <c r="P981" s="209"/>
      <c r="Q981" s="89"/>
      <c r="R981" s="89"/>
      <c r="S981" s="89"/>
      <c r="T981" s="89"/>
      <c r="U981" s="89"/>
      <c r="V981" s="89"/>
      <c r="W981" s="89"/>
      <c r="X981" s="89"/>
      <c r="Y981" s="89"/>
      <c r="Z981" s="89"/>
      <c r="AA981" s="89"/>
      <c r="AB981" s="89"/>
      <c r="AC981" s="89"/>
      <c r="AD981" s="89"/>
      <c r="AE981" s="89"/>
      <c r="AF981" s="89"/>
      <c r="AM981" s="89"/>
      <c r="AN981" s="199"/>
      <c r="AO981" s="89"/>
    </row>
    <row r="982" spans="3:41" ht="15.75" customHeight="1" x14ac:dyDescent="0.25"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208"/>
      <c r="P982" s="209"/>
      <c r="Q982" s="89"/>
      <c r="R982" s="89"/>
      <c r="S982" s="89"/>
      <c r="T982" s="89"/>
      <c r="U982" s="89"/>
      <c r="V982" s="89"/>
      <c r="W982" s="89"/>
      <c r="X982" s="89"/>
      <c r="Y982" s="89"/>
      <c r="Z982" s="89"/>
      <c r="AA982" s="89"/>
      <c r="AB982" s="89"/>
      <c r="AC982" s="89"/>
      <c r="AD982" s="89"/>
      <c r="AE982" s="89"/>
      <c r="AF982" s="89"/>
      <c r="AM982" s="89"/>
      <c r="AN982" s="199"/>
      <c r="AO982" s="89"/>
    </row>
    <row r="983" spans="3:41" ht="15.75" customHeight="1" x14ac:dyDescent="0.25"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208"/>
      <c r="P983" s="209"/>
      <c r="Q983" s="89"/>
      <c r="R983" s="89"/>
      <c r="S983" s="89"/>
      <c r="T983" s="89"/>
      <c r="U983" s="89"/>
      <c r="V983" s="89"/>
      <c r="W983" s="89"/>
      <c r="X983" s="89"/>
      <c r="Y983" s="89"/>
      <c r="Z983" s="89"/>
      <c r="AA983" s="89"/>
      <c r="AB983" s="89"/>
      <c r="AC983" s="89"/>
      <c r="AD983" s="89"/>
      <c r="AE983" s="89"/>
      <c r="AF983" s="89"/>
      <c r="AM983" s="89"/>
      <c r="AN983" s="199"/>
      <c r="AO983" s="89"/>
    </row>
    <row r="984" spans="3:41" ht="15.75" customHeight="1" x14ac:dyDescent="0.25"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208"/>
      <c r="P984" s="209"/>
      <c r="Q984" s="89"/>
      <c r="R984" s="89"/>
      <c r="S984" s="89"/>
      <c r="T984" s="89"/>
      <c r="U984" s="89"/>
      <c r="V984" s="89"/>
      <c r="W984" s="89"/>
      <c r="X984" s="89"/>
      <c r="Y984" s="89"/>
      <c r="Z984" s="89"/>
      <c r="AA984" s="89"/>
      <c r="AB984" s="89"/>
      <c r="AC984" s="89"/>
      <c r="AD984" s="89"/>
      <c r="AE984" s="89"/>
      <c r="AF984" s="89"/>
      <c r="AM984" s="89"/>
      <c r="AN984" s="199"/>
      <c r="AO984" s="89"/>
    </row>
    <row r="985" spans="3:41" ht="15.75" customHeight="1" x14ac:dyDescent="0.25"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208"/>
      <c r="P985" s="209"/>
      <c r="Q985" s="89"/>
      <c r="R985" s="89"/>
      <c r="S985" s="89"/>
      <c r="T985" s="89"/>
      <c r="U985" s="89"/>
      <c r="V985" s="89"/>
      <c r="W985" s="89"/>
      <c r="X985" s="89"/>
      <c r="Y985" s="89"/>
      <c r="Z985" s="89"/>
      <c r="AA985" s="89"/>
      <c r="AB985" s="89"/>
      <c r="AC985" s="89"/>
      <c r="AD985" s="89"/>
      <c r="AE985" s="89"/>
      <c r="AF985" s="89"/>
      <c r="AM985" s="89"/>
      <c r="AN985" s="199"/>
      <c r="AO985" s="89"/>
    </row>
    <row r="986" spans="3:41" ht="15.75" customHeight="1" x14ac:dyDescent="0.25"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208"/>
      <c r="P986" s="209"/>
      <c r="Q986" s="89"/>
      <c r="R986" s="89"/>
      <c r="S986" s="89"/>
      <c r="T986" s="89"/>
      <c r="U986" s="89"/>
      <c r="V986" s="89"/>
      <c r="W986" s="89"/>
      <c r="X986" s="89"/>
      <c r="Y986" s="89"/>
      <c r="Z986" s="89"/>
      <c r="AA986" s="89"/>
      <c r="AB986" s="89"/>
      <c r="AC986" s="89"/>
      <c r="AD986" s="89"/>
      <c r="AE986" s="89"/>
      <c r="AF986" s="89"/>
      <c r="AM986" s="89"/>
      <c r="AN986" s="199"/>
      <c r="AO986" s="89"/>
    </row>
    <row r="987" spans="3:41" ht="15.75" customHeight="1" x14ac:dyDescent="0.25"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208"/>
      <c r="P987" s="209"/>
      <c r="Q987" s="89"/>
      <c r="R987" s="89"/>
      <c r="S987" s="89"/>
      <c r="T987" s="89"/>
      <c r="U987" s="89"/>
      <c r="V987" s="89"/>
      <c r="W987" s="89"/>
      <c r="X987" s="89"/>
      <c r="Y987" s="89"/>
      <c r="Z987" s="89"/>
      <c r="AA987" s="89"/>
      <c r="AB987" s="89"/>
      <c r="AC987" s="89"/>
      <c r="AD987" s="89"/>
      <c r="AE987" s="89"/>
      <c r="AF987" s="89"/>
      <c r="AM987" s="89"/>
      <c r="AN987" s="199"/>
      <c r="AO987" s="89"/>
    </row>
    <row r="988" spans="3:41" ht="15.75" customHeight="1" x14ac:dyDescent="0.25"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208"/>
      <c r="P988" s="209"/>
      <c r="Q988" s="89"/>
      <c r="R988" s="89"/>
      <c r="S988" s="89"/>
      <c r="T988" s="89"/>
      <c r="U988" s="89"/>
      <c r="V988" s="89"/>
      <c r="W988" s="89"/>
      <c r="X988" s="89"/>
      <c r="Y988" s="89"/>
      <c r="Z988" s="89"/>
      <c r="AA988" s="89"/>
      <c r="AB988" s="89"/>
      <c r="AC988" s="89"/>
      <c r="AD988" s="89"/>
      <c r="AE988" s="89"/>
      <c r="AF988" s="89"/>
      <c r="AM988" s="89"/>
      <c r="AN988" s="199"/>
      <c r="AO988" s="89"/>
    </row>
    <row r="989" spans="3:41" ht="15.75" customHeight="1" x14ac:dyDescent="0.25"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208"/>
      <c r="P989" s="209"/>
      <c r="Q989" s="89"/>
      <c r="R989" s="89"/>
      <c r="S989" s="89"/>
      <c r="T989" s="89"/>
      <c r="U989" s="89"/>
      <c r="V989" s="89"/>
      <c r="W989" s="89"/>
      <c r="X989" s="89"/>
      <c r="Y989" s="89"/>
      <c r="Z989" s="89"/>
      <c r="AA989" s="89"/>
      <c r="AB989" s="89"/>
      <c r="AC989" s="89"/>
      <c r="AD989" s="89"/>
      <c r="AE989" s="89"/>
      <c r="AF989" s="89"/>
      <c r="AM989" s="89"/>
      <c r="AN989" s="199"/>
      <c r="AO989" s="89"/>
    </row>
    <row r="990" spans="3:41" ht="15.75" customHeight="1" x14ac:dyDescent="0.25"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208"/>
      <c r="P990" s="209"/>
      <c r="Q990" s="89"/>
      <c r="R990" s="89"/>
      <c r="S990" s="89"/>
      <c r="T990" s="89"/>
      <c r="U990" s="89"/>
      <c r="V990" s="89"/>
      <c r="W990" s="89"/>
      <c r="X990" s="89"/>
      <c r="Y990" s="89"/>
      <c r="Z990" s="89"/>
      <c r="AA990" s="89"/>
      <c r="AB990" s="89"/>
      <c r="AC990" s="89"/>
      <c r="AD990" s="89"/>
      <c r="AE990" s="89"/>
      <c r="AF990" s="89"/>
      <c r="AM990" s="89"/>
      <c r="AN990" s="199"/>
      <c r="AO990" s="89"/>
    </row>
    <row r="991" spans="3:41" ht="15.75" customHeight="1" x14ac:dyDescent="0.25"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208"/>
      <c r="P991" s="20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M991" s="89"/>
      <c r="AN991" s="199"/>
      <c r="AO991" s="89"/>
    </row>
    <row r="992" spans="3:41" ht="15.75" customHeight="1" x14ac:dyDescent="0.25"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208"/>
      <c r="P992" s="209"/>
      <c r="Q992" s="89"/>
      <c r="R992" s="89"/>
      <c r="S992" s="89"/>
      <c r="T992" s="89"/>
      <c r="U992" s="89"/>
      <c r="V992" s="89"/>
      <c r="W992" s="89"/>
      <c r="X992" s="89"/>
      <c r="Y992" s="89"/>
      <c r="Z992" s="89"/>
      <c r="AA992" s="89"/>
      <c r="AB992" s="89"/>
      <c r="AC992" s="89"/>
      <c r="AD992" s="89"/>
      <c r="AE992" s="89"/>
      <c r="AF992" s="89"/>
      <c r="AM992" s="89"/>
      <c r="AN992" s="199"/>
      <c r="AO992" s="89"/>
    </row>
    <row r="993" spans="3:41" ht="15.75" customHeight="1" x14ac:dyDescent="0.25"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208"/>
      <c r="P993" s="209"/>
      <c r="Q993" s="89"/>
      <c r="R993" s="89"/>
      <c r="S993" s="89"/>
      <c r="T993" s="89"/>
      <c r="U993" s="89"/>
      <c r="V993" s="89"/>
      <c r="W993" s="89"/>
      <c r="X993" s="89"/>
      <c r="Y993" s="89"/>
      <c r="Z993" s="89"/>
      <c r="AA993" s="89"/>
      <c r="AB993" s="89"/>
      <c r="AC993" s="89"/>
      <c r="AD993" s="89"/>
      <c r="AE993" s="89"/>
      <c r="AF993" s="89"/>
      <c r="AM993" s="89"/>
      <c r="AN993" s="199"/>
      <c r="AO993" s="89"/>
    </row>
    <row r="994" spans="3:41" ht="15.75" customHeight="1" x14ac:dyDescent="0.25"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208"/>
      <c r="P994" s="209"/>
      <c r="Q994" s="89"/>
      <c r="R994" s="89"/>
      <c r="S994" s="89"/>
      <c r="T994" s="89"/>
      <c r="U994" s="89"/>
      <c r="V994" s="89"/>
      <c r="W994" s="89"/>
      <c r="X994" s="89"/>
      <c r="Y994" s="89"/>
      <c r="Z994" s="89"/>
      <c r="AA994" s="89"/>
      <c r="AB994" s="89"/>
      <c r="AC994" s="89"/>
      <c r="AD994" s="89"/>
      <c r="AE994" s="89"/>
      <c r="AF994" s="89"/>
      <c r="AM994" s="89"/>
      <c r="AN994" s="199"/>
      <c r="AO994" s="89"/>
    </row>
    <row r="995" spans="3:41" ht="15.75" customHeight="1" x14ac:dyDescent="0.25"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208"/>
      <c r="P995" s="209"/>
      <c r="Q995" s="89"/>
      <c r="R995" s="89"/>
      <c r="S995" s="89"/>
      <c r="T995" s="89"/>
      <c r="U995" s="89"/>
      <c r="V995" s="89"/>
      <c r="W995" s="89"/>
      <c r="X995" s="89"/>
      <c r="Y995" s="89"/>
      <c r="Z995" s="89"/>
      <c r="AA995" s="89"/>
      <c r="AB995" s="89"/>
      <c r="AC995" s="89"/>
      <c r="AD995" s="89"/>
      <c r="AE995" s="89"/>
      <c r="AF995" s="89"/>
      <c r="AM995" s="89"/>
      <c r="AN995" s="199"/>
      <c r="AO995" s="89"/>
    </row>
    <row r="996" spans="3:41" ht="15.75" customHeight="1" x14ac:dyDescent="0.25"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208"/>
      <c r="P996" s="209"/>
      <c r="Q996" s="89"/>
      <c r="R996" s="89"/>
      <c r="S996" s="89"/>
      <c r="T996" s="89"/>
      <c r="U996" s="89"/>
      <c r="V996" s="89"/>
      <c r="W996" s="89"/>
      <c r="X996" s="89"/>
      <c r="Y996" s="89"/>
      <c r="Z996" s="89"/>
      <c r="AA996" s="89"/>
      <c r="AB996" s="89"/>
      <c r="AC996" s="89"/>
      <c r="AD996" s="89"/>
      <c r="AE996" s="89"/>
      <c r="AF996" s="89"/>
      <c r="AM996" s="89"/>
      <c r="AN996" s="199"/>
      <c r="AO996" s="89"/>
    </row>
    <row r="997" spans="3:41" ht="15.75" customHeight="1" x14ac:dyDescent="0.25"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208"/>
      <c r="P997" s="209"/>
      <c r="Q997" s="89"/>
      <c r="R997" s="89"/>
      <c r="S997" s="89"/>
      <c r="T997" s="89"/>
      <c r="U997" s="89"/>
      <c r="V997" s="89"/>
      <c r="W997" s="89"/>
      <c r="X997" s="89"/>
      <c r="Y997" s="89"/>
      <c r="Z997" s="89"/>
      <c r="AA997" s="89"/>
      <c r="AB997" s="89"/>
      <c r="AC997" s="89"/>
      <c r="AD997" s="89"/>
      <c r="AE997" s="89"/>
      <c r="AF997" s="89"/>
      <c r="AM997" s="89"/>
      <c r="AN997" s="199"/>
      <c r="AO997" s="89"/>
    </row>
    <row r="998" spans="3:41" ht="15.75" customHeight="1" x14ac:dyDescent="0.25"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208"/>
      <c r="P998" s="209"/>
      <c r="Q998" s="89"/>
      <c r="R998" s="89"/>
      <c r="S998" s="89"/>
      <c r="T998" s="89"/>
      <c r="U998" s="89"/>
      <c r="V998" s="89"/>
      <c r="W998" s="89"/>
      <c r="X998" s="89"/>
      <c r="Y998" s="89"/>
      <c r="Z998" s="89"/>
      <c r="AA998" s="89"/>
      <c r="AB998" s="89"/>
      <c r="AC998" s="89"/>
      <c r="AD998" s="89"/>
      <c r="AE998" s="89"/>
      <c r="AF998" s="89"/>
      <c r="AM998" s="89"/>
      <c r="AN998" s="199"/>
      <c r="AO998" s="89"/>
    </row>
    <row r="999" spans="3:41" ht="15.75" customHeight="1" x14ac:dyDescent="0.25"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208"/>
      <c r="P999" s="209"/>
      <c r="Q999" s="89"/>
      <c r="R999" s="89"/>
      <c r="S999" s="89"/>
      <c r="T999" s="89"/>
      <c r="U999" s="89"/>
      <c r="V999" s="89"/>
      <c r="W999" s="89"/>
      <c r="X999" s="89"/>
      <c r="Y999" s="89"/>
      <c r="Z999" s="89"/>
      <c r="AA999" s="89"/>
      <c r="AB999" s="89"/>
      <c r="AC999" s="89"/>
      <c r="AD999" s="89"/>
      <c r="AE999" s="89"/>
      <c r="AF999" s="89"/>
      <c r="AM999" s="89"/>
      <c r="AN999" s="199"/>
      <c r="AO999" s="89"/>
    </row>
    <row r="1000" spans="3:41" ht="15.75" customHeight="1" x14ac:dyDescent="0.25"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208"/>
      <c r="P1000" s="20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  <c r="AA1000" s="89"/>
      <c r="AB1000" s="89"/>
      <c r="AC1000" s="89"/>
      <c r="AD1000" s="89"/>
      <c r="AE1000" s="89"/>
      <c r="AF1000" s="89"/>
      <c r="AM1000" s="89"/>
      <c r="AN1000" s="199"/>
      <c r="AO1000" s="89"/>
    </row>
  </sheetData>
  <mergeCells count="5">
    <mergeCell ref="C1:H1"/>
    <mergeCell ref="J1:N1"/>
    <mergeCell ref="P1:T1"/>
    <mergeCell ref="V1:Z1"/>
    <mergeCell ref="AB1:AF1"/>
  </mergeCells>
  <conditionalFormatting sqref="AL3:AL17 AL19:AL28 Q30:AJ30">
    <cfRule type="cellIs" dxfId="10" priority="1" operator="equal">
      <formula>0</formula>
    </cfRule>
    <cfRule type="cellIs" dxfId="9" priority="2" operator="greaterThan">
      <formula>0</formula>
    </cfRule>
    <cfRule type="cellIs" dxfId="8" priority="3" operator="lessThan">
      <formula>0</formula>
    </cfRule>
  </conditionalFormatting>
  <pageMargins left="0.25" right="0.25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34.5703125" customWidth="1"/>
    <col min="3" max="3" width="25.42578125" customWidth="1"/>
    <col min="4" max="4" width="11" customWidth="1"/>
    <col min="5" max="5" width="17.7109375" customWidth="1"/>
    <col min="6" max="6" width="11.140625" customWidth="1"/>
    <col min="7" max="7" width="15" customWidth="1"/>
    <col min="8" max="8" width="8.7109375" customWidth="1"/>
    <col min="9" max="9" width="21.85546875" customWidth="1"/>
    <col min="10" max="10" width="8.7109375" customWidth="1"/>
    <col min="11" max="11" width="20.7109375" customWidth="1"/>
    <col min="12" max="13" width="8.7109375" customWidth="1"/>
  </cols>
  <sheetData>
    <row r="1" spans="1:26" x14ac:dyDescent="0.25">
      <c r="A1" s="1"/>
      <c r="B1" s="3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x14ac:dyDescent="0.25">
      <c r="A2" s="1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x14ac:dyDescent="0.25">
      <c r="A3" s="9" t="s">
        <v>1</v>
      </c>
      <c r="B3" s="9" t="s">
        <v>9</v>
      </c>
      <c r="C3" s="9" t="s">
        <v>4</v>
      </c>
      <c r="D3" s="9" t="s">
        <v>11</v>
      </c>
      <c r="E3" s="9" t="s">
        <v>6</v>
      </c>
      <c r="F3" s="9" t="s">
        <v>11</v>
      </c>
      <c r="G3" s="9" t="s">
        <v>7</v>
      </c>
      <c r="H3" s="9" t="s">
        <v>11</v>
      </c>
      <c r="I3" s="9" t="s">
        <v>15</v>
      </c>
      <c r="J3" s="9" t="s">
        <v>11</v>
      </c>
      <c r="K3" s="9" t="s">
        <v>10</v>
      </c>
      <c r="L3" s="9" t="s">
        <v>11</v>
      </c>
      <c r="M3" s="9" t="s">
        <v>18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x14ac:dyDescent="0.25">
      <c r="A4" s="246"/>
      <c r="B4" s="247"/>
      <c r="C4" s="247"/>
      <c r="D4" s="247"/>
      <c r="E4" s="247"/>
      <c r="F4" s="247"/>
      <c r="G4" s="247"/>
      <c r="H4" s="247"/>
      <c r="I4" s="247"/>
      <c r="J4" s="247"/>
      <c r="K4" s="247"/>
      <c r="L4" s="247"/>
      <c r="M4" s="24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25">
      <c r="A5" s="15">
        <v>1290</v>
      </c>
      <c r="B5" s="19" t="s">
        <v>34</v>
      </c>
      <c r="C5" s="22" t="s">
        <v>36</v>
      </c>
      <c r="D5" s="24">
        <v>0</v>
      </c>
      <c r="E5" s="22" t="s">
        <v>36</v>
      </c>
      <c r="F5" s="24">
        <v>0</v>
      </c>
      <c r="G5" s="20" t="s">
        <v>36</v>
      </c>
      <c r="H5" s="28">
        <v>0</v>
      </c>
      <c r="I5" s="20" t="s">
        <v>36</v>
      </c>
      <c r="J5" s="28">
        <v>0</v>
      </c>
      <c r="K5" s="20" t="s">
        <v>36</v>
      </c>
      <c r="L5" s="28">
        <v>0</v>
      </c>
      <c r="M5" s="36">
        <f t="shared" ref="M5:M17" si="0">SUM(D5,F5,H5,J5,L5)</f>
        <v>0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25">
      <c r="A6" s="15">
        <v>1288</v>
      </c>
      <c r="B6" s="37" t="s">
        <v>45</v>
      </c>
      <c r="C6" s="22" t="s">
        <v>46</v>
      </c>
      <c r="D6" s="24">
        <v>7</v>
      </c>
      <c r="E6" s="22" t="s">
        <v>46</v>
      </c>
      <c r="F6" s="24">
        <v>7</v>
      </c>
      <c r="G6" s="20" t="s">
        <v>47</v>
      </c>
      <c r="H6" s="16">
        <v>7.5</v>
      </c>
      <c r="I6" s="41" t="s">
        <v>50</v>
      </c>
      <c r="J6" s="28">
        <v>7.25</v>
      </c>
      <c r="K6" s="20" t="s">
        <v>51</v>
      </c>
      <c r="L6" s="28">
        <v>6.25</v>
      </c>
      <c r="M6" s="36">
        <f t="shared" si="0"/>
        <v>35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25">
      <c r="A7" s="15">
        <v>1294</v>
      </c>
      <c r="B7" s="37" t="s">
        <v>52</v>
      </c>
      <c r="C7" s="22" t="s">
        <v>54</v>
      </c>
      <c r="D7" s="24">
        <v>7</v>
      </c>
      <c r="E7" s="22" t="s">
        <v>55</v>
      </c>
      <c r="F7" s="24">
        <v>7.5</v>
      </c>
      <c r="G7" s="20" t="s">
        <v>56</v>
      </c>
      <c r="H7" s="16">
        <v>7</v>
      </c>
      <c r="I7" s="41" t="s">
        <v>57</v>
      </c>
      <c r="J7" s="28">
        <v>7</v>
      </c>
      <c r="K7" s="20" t="s">
        <v>58</v>
      </c>
      <c r="L7" s="28">
        <v>7.75</v>
      </c>
      <c r="M7" s="36">
        <f t="shared" si="0"/>
        <v>36.25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25">
      <c r="A8" s="15">
        <v>1292</v>
      </c>
      <c r="B8" s="37" t="s">
        <v>59</v>
      </c>
      <c r="C8" s="22" t="s">
        <v>60</v>
      </c>
      <c r="D8" s="24">
        <v>7</v>
      </c>
      <c r="E8" s="22" t="s">
        <v>61</v>
      </c>
      <c r="F8" s="24">
        <v>7</v>
      </c>
      <c r="G8" s="20" t="s">
        <v>62</v>
      </c>
      <c r="H8" s="16">
        <v>8</v>
      </c>
      <c r="I8" s="20" t="s">
        <v>63</v>
      </c>
      <c r="J8" s="28">
        <v>7.75</v>
      </c>
      <c r="K8" s="41" t="s">
        <v>64</v>
      </c>
      <c r="L8" s="28">
        <v>3.15</v>
      </c>
      <c r="M8" s="36">
        <f t="shared" si="0"/>
        <v>32.9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25">
      <c r="A9" s="15">
        <v>1175</v>
      </c>
      <c r="B9" s="37" t="s">
        <v>65</v>
      </c>
      <c r="C9" s="22" t="s">
        <v>62</v>
      </c>
      <c r="D9" s="24">
        <v>8</v>
      </c>
      <c r="E9" s="22" t="s">
        <v>62</v>
      </c>
      <c r="F9" s="24">
        <v>8</v>
      </c>
      <c r="G9" s="20" t="s">
        <v>66</v>
      </c>
      <c r="H9" s="16">
        <v>7.25</v>
      </c>
      <c r="I9" s="20" t="s">
        <v>63</v>
      </c>
      <c r="J9" s="28">
        <v>7.75</v>
      </c>
      <c r="K9" s="20" t="s">
        <v>67</v>
      </c>
      <c r="L9" s="28">
        <v>7.75</v>
      </c>
      <c r="M9" s="36">
        <f t="shared" si="0"/>
        <v>38.75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5">
      <c r="A10" s="15">
        <v>1295</v>
      </c>
      <c r="B10" s="37" t="s">
        <v>68</v>
      </c>
      <c r="C10" s="22" t="s">
        <v>46</v>
      </c>
      <c r="D10" s="24">
        <v>7</v>
      </c>
      <c r="E10" s="22" t="s">
        <v>61</v>
      </c>
      <c r="F10" s="24">
        <v>7</v>
      </c>
      <c r="G10" s="20" t="s">
        <v>56</v>
      </c>
      <c r="H10" s="16">
        <v>7</v>
      </c>
      <c r="I10" s="20" t="s">
        <v>69</v>
      </c>
      <c r="J10" s="28">
        <v>6.75</v>
      </c>
      <c r="K10" s="20" t="s">
        <v>67</v>
      </c>
      <c r="L10" s="28">
        <v>7.75</v>
      </c>
      <c r="M10" s="36">
        <f t="shared" si="0"/>
        <v>35.5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25">
      <c r="A11" s="15">
        <v>1291</v>
      </c>
      <c r="B11" s="37" t="s">
        <v>53</v>
      </c>
      <c r="C11" s="22" t="s">
        <v>70</v>
      </c>
      <c r="D11" s="24">
        <v>7</v>
      </c>
      <c r="E11" s="22" t="s">
        <v>71</v>
      </c>
      <c r="F11" s="24">
        <v>7.5</v>
      </c>
      <c r="G11" s="20" t="s">
        <v>72</v>
      </c>
      <c r="H11" s="28">
        <v>6.75</v>
      </c>
      <c r="I11" s="41" t="s">
        <v>69</v>
      </c>
      <c r="J11" s="28">
        <v>6.75</v>
      </c>
      <c r="K11" s="20" t="s">
        <v>73</v>
      </c>
      <c r="L11" s="28">
        <v>7.5</v>
      </c>
      <c r="M11" s="36">
        <f t="shared" si="0"/>
        <v>35.5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25">
      <c r="A12" s="15">
        <v>1298</v>
      </c>
      <c r="B12" s="37" t="s">
        <v>75</v>
      </c>
      <c r="C12" s="22" t="s">
        <v>54</v>
      </c>
      <c r="D12" s="24">
        <v>7</v>
      </c>
      <c r="E12" s="22" t="s">
        <v>61</v>
      </c>
      <c r="F12" s="24">
        <v>7</v>
      </c>
      <c r="G12" s="20" t="s">
        <v>76</v>
      </c>
      <c r="H12" s="28">
        <v>7.5</v>
      </c>
      <c r="I12" s="41" t="s">
        <v>63</v>
      </c>
      <c r="J12" s="28">
        <v>7.75</v>
      </c>
      <c r="K12" s="41" t="s">
        <v>73</v>
      </c>
      <c r="L12" s="28">
        <v>7.5</v>
      </c>
      <c r="M12" s="36">
        <f t="shared" si="0"/>
        <v>36.75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25">
      <c r="A13" s="15">
        <v>1300</v>
      </c>
      <c r="B13" s="37" t="s">
        <v>77</v>
      </c>
      <c r="C13" s="22" t="s">
        <v>62</v>
      </c>
      <c r="D13" s="24">
        <v>8</v>
      </c>
      <c r="E13" s="22" t="s">
        <v>62</v>
      </c>
      <c r="F13" s="24">
        <v>8</v>
      </c>
      <c r="G13" s="20" t="s">
        <v>78</v>
      </c>
      <c r="H13" s="28">
        <v>7.25</v>
      </c>
      <c r="I13" s="41" t="s">
        <v>79</v>
      </c>
      <c r="J13" s="28">
        <v>7.5</v>
      </c>
      <c r="K13" s="41" t="s">
        <v>73</v>
      </c>
      <c r="L13" s="28">
        <v>7.5</v>
      </c>
      <c r="M13" s="36">
        <f t="shared" si="0"/>
        <v>38.25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25">
      <c r="A14" s="15">
        <v>1301</v>
      </c>
      <c r="B14" s="37" t="s">
        <v>80</v>
      </c>
      <c r="C14" s="22" t="s">
        <v>81</v>
      </c>
      <c r="D14" s="24">
        <v>0</v>
      </c>
      <c r="E14" s="22" t="s">
        <v>82</v>
      </c>
      <c r="F14" s="24">
        <v>6.5</v>
      </c>
      <c r="G14" s="41" t="s">
        <v>83</v>
      </c>
      <c r="H14" s="28">
        <v>7</v>
      </c>
      <c r="I14" s="41" t="s">
        <v>84</v>
      </c>
      <c r="J14" s="28">
        <v>6.5</v>
      </c>
      <c r="K14" s="41" t="s">
        <v>73</v>
      </c>
      <c r="L14" s="28">
        <v>7.5</v>
      </c>
      <c r="M14" s="36">
        <f t="shared" si="0"/>
        <v>27.5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25">
      <c r="A15" s="15">
        <v>1280</v>
      </c>
      <c r="B15" s="37" t="s">
        <v>85</v>
      </c>
      <c r="C15" s="22" t="s">
        <v>86</v>
      </c>
      <c r="D15" s="24">
        <v>6.5</v>
      </c>
      <c r="E15" s="22" t="s">
        <v>87</v>
      </c>
      <c r="F15" s="24">
        <v>6.5</v>
      </c>
      <c r="G15" s="41" t="s">
        <v>88</v>
      </c>
      <c r="H15" s="28">
        <v>6.75</v>
      </c>
      <c r="I15" s="41" t="s">
        <v>84</v>
      </c>
      <c r="J15" s="28">
        <v>6.5</v>
      </c>
      <c r="K15" s="41" t="s">
        <v>89</v>
      </c>
      <c r="L15" s="28">
        <v>6</v>
      </c>
      <c r="M15" s="36">
        <f t="shared" si="0"/>
        <v>32.25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25">
      <c r="A16" s="15"/>
      <c r="B16" s="37"/>
      <c r="C16" s="57"/>
      <c r="D16" s="24"/>
      <c r="E16" s="59"/>
      <c r="F16" s="24"/>
      <c r="G16" s="59"/>
      <c r="H16" s="24"/>
      <c r="I16" s="59"/>
      <c r="J16" s="24"/>
      <c r="K16" s="59"/>
      <c r="L16" s="24"/>
      <c r="M16" s="36">
        <f t="shared" si="0"/>
        <v>0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25">
      <c r="A17" s="15"/>
      <c r="B17" s="19"/>
      <c r="C17" s="57"/>
      <c r="D17" s="24"/>
      <c r="E17" s="59"/>
      <c r="F17" s="24"/>
      <c r="G17" s="59"/>
      <c r="H17" s="24"/>
      <c r="I17" s="59"/>
      <c r="J17" s="24"/>
      <c r="K17" s="59"/>
      <c r="L17" s="24"/>
      <c r="M17" s="36">
        <f t="shared" si="0"/>
        <v>0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25">
      <c r="A18" s="65" t="s">
        <v>18</v>
      </c>
      <c r="B18" s="65" t="s">
        <v>92</v>
      </c>
      <c r="C18" s="66"/>
      <c r="D18" s="69">
        <f>SUM(D5:D17)</f>
        <v>64.5</v>
      </c>
      <c r="E18" s="70"/>
      <c r="F18" s="69">
        <f>SUM(F4:F17)</f>
        <v>72</v>
      </c>
      <c r="G18" s="70"/>
      <c r="H18" s="69">
        <f>SUM(H5:H17)</f>
        <v>72</v>
      </c>
      <c r="I18" s="73"/>
      <c r="J18" s="69">
        <f>SUM(J5:J17)</f>
        <v>71.5</v>
      </c>
      <c r="K18" s="73"/>
      <c r="L18" s="69">
        <f>SUM(L5:L17)</f>
        <v>68.650000000000006</v>
      </c>
      <c r="M18" s="77" t="e">
        <f>SUM(D18,F18,H18,J18,L18,#REF!)</f>
        <v>#REF!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25">
      <c r="A19" s="249" t="s">
        <v>95</v>
      </c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5">
      <c r="A20" s="80"/>
      <c r="B20" s="22"/>
      <c r="C20" s="57"/>
      <c r="D20" s="24"/>
      <c r="E20" s="81"/>
      <c r="F20" s="82"/>
      <c r="G20" s="57"/>
      <c r="H20" s="82"/>
      <c r="I20" s="57"/>
      <c r="J20" s="24"/>
      <c r="K20" s="57"/>
      <c r="L20" s="24"/>
      <c r="M20" s="83">
        <f t="shared" ref="M20:M31" si="1">SUM(D20,F20,H20,J20,L20)</f>
        <v>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25">
      <c r="A21" s="80"/>
      <c r="B21" s="84"/>
      <c r="C21" s="57"/>
      <c r="D21" s="24"/>
      <c r="E21" s="57"/>
      <c r="F21" s="24"/>
      <c r="G21" s="57"/>
      <c r="H21" s="24"/>
      <c r="I21" s="59"/>
      <c r="J21" s="24"/>
      <c r="K21" s="59"/>
      <c r="L21" s="24"/>
      <c r="M21" s="83">
        <f t="shared" si="1"/>
        <v>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25">
      <c r="A22" s="80"/>
      <c r="B22" s="84"/>
      <c r="C22" s="57"/>
      <c r="D22" s="24"/>
      <c r="E22" s="85"/>
      <c r="F22" s="82"/>
      <c r="G22" s="85"/>
      <c r="H22" s="82"/>
      <c r="I22" s="57"/>
      <c r="J22" s="24"/>
      <c r="K22" s="57"/>
      <c r="L22" s="24"/>
      <c r="M22" s="83">
        <f t="shared" si="1"/>
        <v>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25">
      <c r="A23" s="80"/>
      <c r="B23" s="22"/>
      <c r="C23" s="57"/>
      <c r="D23" s="24"/>
      <c r="E23" s="59"/>
      <c r="F23" s="24"/>
      <c r="G23" s="59"/>
      <c r="H23" s="24"/>
      <c r="I23" s="57"/>
      <c r="J23" s="24"/>
      <c r="K23" s="57"/>
      <c r="L23" s="24"/>
      <c r="M23" s="83">
        <f t="shared" si="1"/>
        <v>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25">
      <c r="A24" s="80"/>
      <c r="B24" s="84"/>
      <c r="C24" s="57"/>
      <c r="D24" s="24"/>
      <c r="E24" s="59"/>
      <c r="F24" s="24"/>
      <c r="G24" s="59"/>
      <c r="H24" s="24"/>
      <c r="I24" s="57"/>
      <c r="J24" s="24"/>
      <c r="K24" s="57"/>
      <c r="L24" s="24"/>
      <c r="M24" s="83">
        <f t="shared" si="1"/>
        <v>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25">
      <c r="A25" s="80"/>
      <c r="B25" s="84"/>
      <c r="C25" s="85"/>
      <c r="D25" s="82"/>
      <c r="E25" s="57"/>
      <c r="F25" s="24"/>
      <c r="G25" s="57"/>
      <c r="H25" s="24"/>
      <c r="I25" s="57"/>
      <c r="J25" s="24"/>
      <c r="K25" s="57"/>
      <c r="L25" s="24"/>
      <c r="M25" s="83">
        <f t="shared" si="1"/>
        <v>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25">
      <c r="A26" s="80"/>
      <c r="B26" s="84"/>
      <c r="C26" s="57"/>
      <c r="D26" s="24"/>
      <c r="E26" s="59"/>
      <c r="F26" s="24"/>
      <c r="G26" s="59"/>
      <c r="H26" s="24"/>
      <c r="I26" s="59"/>
      <c r="J26" s="24"/>
      <c r="K26" s="59"/>
      <c r="L26" s="24"/>
      <c r="M26" s="83">
        <f t="shared" si="1"/>
        <v>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25">
      <c r="A27" s="80"/>
      <c r="B27" s="22"/>
      <c r="C27" s="57"/>
      <c r="D27" s="24"/>
      <c r="E27" s="59"/>
      <c r="F27" s="24"/>
      <c r="G27" s="59"/>
      <c r="H27" s="24"/>
      <c r="I27" s="57"/>
      <c r="J27" s="24"/>
      <c r="K27" s="57"/>
      <c r="L27" s="24"/>
      <c r="M27" s="83">
        <f t="shared" si="1"/>
        <v>0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25">
      <c r="A28" s="80"/>
      <c r="B28" s="22"/>
      <c r="C28" s="57"/>
      <c r="D28" s="24"/>
      <c r="E28" s="59"/>
      <c r="F28" s="24"/>
      <c r="G28" s="59"/>
      <c r="H28" s="24"/>
      <c r="I28" s="57"/>
      <c r="J28" s="24"/>
      <c r="K28" s="57"/>
      <c r="L28" s="24"/>
      <c r="M28" s="83">
        <f t="shared" si="1"/>
        <v>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25">
      <c r="A29" s="80"/>
      <c r="B29" s="22"/>
      <c r="C29" s="57"/>
      <c r="D29" s="24"/>
      <c r="E29" s="59"/>
      <c r="F29" s="24"/>
      <c r="G29" s="57"/>
      <c r="H29" s="24"/>
      <c r="I29" s="57"/>
      <c r="J29" s="24"/>
      <c r="K29" s="57"/>
      <c r="L29" s="24"/>
      <c r="M29" s="83">
        <f t="shared" si="1"/>
        <v>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25">
      <c r="A30" s="80"/>
      <c r="B30" s="84"/>
      <c r="C30" s="57"/>
      <c r="D30" s="24"/>
      <c r="E30" s="59"/>
      <c r="F30" s="24"/>
      <c r="G30" s="59"/>
      <c r="H30" s="24"/>
      <c r="I30" s="57"/>
      <c r="J30" s="24"/>
      <c r="K30" s="57"/>
      <c r="L30" s="24"/>
      <c r="M30" s="83">
        <f t="shared" si="1"/>
        <v>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25">
      <c r="A31" s="80"/>
      <c r="B31" s="84"/>
      <c r="C31" s="85"/>
      <c r="D31" s="82"/>
      <c r="E31" s="59"/>
      <c r="F31" s="24"/>
      <c r="G31" s="59"/>
      <c r="H31" s="24"/>
      <c r="I31" s="57"/>
      <c r="J31" s="24"/>
      <c r="K31" s="57"/>
      <c r="L31" s="24"/>
      <c r="M31" s="83">
        <f t="shared" si="1"/>
        <v>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25">
      <c r="A32" s="249" t="s">
        <v>99</v>
      </c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1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25">
      <c r="A33" s="80"/>
      <c r="B33" s="22"/>
      <c r="C33" s="57"/>
      <c r="D33" s="82"/>
      <c r="E33" s="85"/>
      <c r="F33" s="82"/>
      <c r="G33" s="57"/>
      <c r="H33" s="24"/>
      <c r="I33" s="59"/>
      <c r="J33" s="24"/>
      <c r="K33" s="59"/>
      <c r="L33" s="24"/>
      <c r="M33" s="83">
        <f t="shared" ref="M33:M37" si="2">SUM(D33,F33,H33,J33,L33)</f>
        <v>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25">
      <c r="A34" s="62"/>
      <c r="B34" s="68"/>
      <c r="C34" s="85"/>
      <c r="D34" s="82"/>
      <c r="E34" s="59"/>
      <c r="F34" s="24"/>
      <c r="G34" s="59"/>
      <c r="H34" s="24"/>
      <c r="I34" s="59"/>
      <c r="J34" s="24"/>
      <c r="K34" s="59"/>
      <c r="L34" s="24"/>
      <c r="M34" s="83">
        <f t="shared" si="2"/>
        <v>0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25">
      <c r="A35" s="80"/>
      <c r="B35" s="22"/>
      <c r="C35" s="85"/>
      <c r="D35" s="82"/>
      <c r="E35" s="59"/>
      <c r="F35" s="24"/>
      <c r="G35" s="59"/>
      <c r="H35" s="24"/>
      <c r="I35" s="59"/>
      <c r="J35" s="24"/>
      <c r="K35" s="59"/>
      <c r="L35" s="24"/>
      <c r="M35" s="83">
        <f t="shared" si="2"/>
        <v>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25">
      <c r="A36" s="80"/>
      <c r="B36" s="22"/>
      <c r="C36" s="57"/>
      <c r="D36" s="82"/>
      <c r="E36" s="81"/>
      <c r="F36" s="91"/>
      <c r="G36" s="81"/>
      <c r="H36" s="91"/>
      <c r="I36" s="92"/>
      <c r="J36" s="93"/>
      <c r="K36" s="59"/>
      <c r="L36" s="24"/>
      <c r="M36" s="83">
        <f t="shared" si="2"/>
        <v>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25">
      <c r="A37" s="80"/>
      <c r="B37" s="22"/>
      <c r="C37" s="57"/>
      <c r="D37" s="82"/>
      <c r="E37" s="81"/>
      <c r="F37" s="91"/>
      <c r="G37" s="81"/>
      <c r="H37" s="91"/>
      <c r="I37" s="92"/>
      <c r="J37" s="93"/>
      <c r="K37" s="92"/>
      <c r="L37" s="93"/>
      <c r="M37" s="83">
        <f t="shared" si="2"/>
        <v>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25">
      <c r="A38" s="249" t="s">
        <v>101</v>
      </c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1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25">
      <c r="A39" s="80"/>
      <c r="B39" s="22"/>
      <c r="C39" s="57"/>
      <c r="D39" s="82"/>
      <c r="E39" s="81"/>
      <c r="F39" s="91"/>
      <c r="G39" s="81"/>
      <c r="H39" s="91"/>
      <c r="I39" s="92"/>
      <c r="J39" s="93"/>
      <c r="K39" s="92"/>
      <c r="L39" s="93"/>
      <c r="M39" s="36">
        <f t="shared" ref="M39:M44" si="3">SUM(D39,F39,H39,J39,L39)</f>
        <v>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25">
      <c r="A40" s="80"/>
      <c r="B40" s="22"/>
      <c r="C40" s="57"/>
      <c r="D40" s="82"/>
      <c r="E40" s="81"/>
      <c r="F40" s="91"/>
      <c r="G40" s="81"/>
      <c r="H40" s="91"/>
      <c r="I40" s="92"/>
      <c r="J40" s="93"/>
      <c r="K40" s="92"/>
      <c r="L40" s="93"/>
      <c r="M40" s="36">
        <f t="shared" si="3"/>
        <v>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25">
      <c r="A41" s="80"/>
      <c r="B41" s="22"/>
      <c r="C41" s="57"/>
      <c r="D41" s="82"/>
      <c r="E41" s="81"/>
      <c r="F41" s="91"/>
      <c r="G41" s="81"/>
      <c r="H41" s="91"/>
      <c r="I41" s="92"/>
      <c r="J41" s="93"/>
      <c r="K41" s="92"/>
      <c r="L41" s="93"/>
      <c r="M41" s="36">
        <f t="shared" si="3"/>
        <v>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25">
      <c r="A42" s="9" t="s">
        <v>18</v>
      </c>
      <c r="B42" s="9" t="s">
        <v>92</v>
      </c>
      <c r="C42" s="9"/>
      <c r="D42" s="94">
        <f>SUM(D20:D41,D5:D17)</f>
        <v>64.5</v>
      </c>
      <c r="E42" s="95"/>
      <c r="F42" s="94">
        <f>SUM(F20:F41,F5:F17)</f>
        <v>72</v>
      </c>
      <c r="G42" s="95"/>
      <c r="H42" s="94">
        <f>SUM(H20:H41,H5:H17)</f>
        <v>72</v>
      </c>
      <c r="I42" s="95"/>
      <c r="J42" s="94">
        <f>SUM(J20:J41,J5:J17)</f>
        <v>71.5</v>
      </c>
      <c r="K42" s="95"/>
      <c r="L42" s="94">
        <f>SUM(L20:L41,L5:L17)</f>
        <v>68.650000000000006</v>
      </c>
      <c r="M42" s="36">
        <f t="shared" si="3"/>
        <v>348.65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25">
      <c r="A43" s="9" t="s">
        <v>18</v>
      </c>
      <c r="B43" s="9" t="s">
        <v>104</v>
      </c>
      <c r="C43" s="96"/>
      <c r="D43" s="95"/>
      <c r="E43" s="96"/>
      <c r="F43" s="97"/>
      <c r="G43" s="96"/>
      <c r="H43" s="95"/>
      <c r="I43" s="96"/>
      <c r="J43" s="95"/>
      <c r="K43" s="96"/>
      <c r="L43" s="95"/>
      <c r="M43" s="36">
        <f t="shared" si="3"/>
        <v>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25">
      <c r="A44" s="9" t="s">
        <v>18</v>
      </c>
      <c r="B44" s="9" t="s">
        <v>105</v>
      </c>
      <c r="C44" s="96"/>
      <c r="D44" s="95"/>
      <c r="E44" s="96"/>
      <c r="F44" s="95"/>
      <c r="G44" s="96"/>
      <c r="H44" s="95"/>
      <c r="I44" s="96"/>
      <c r="J44" s="95"/>
      <c r="K44" s="96"/>
      <c r="L44" s="95"/>
      <c r="M44" s="95">
        <f t="shared" si="3"/>
        <v>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4">
    <mergeCell ref="A4:M4"/>
    <mergeCell ref="A19:M19"/>
    <mergeCell ref="A32:M32"/>
    <mergeCell ref="A38:M3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14.42578125" defaultRowHeight="15" customHeight="1" x14ac:dyDescent="0.25"/>
  <cols>
    <col min="1" max="1" width="7" customWidth="1"/>
    <col min="2" max="2" width="22.140625" customWidth="1"/>
    <col min="3" max="7" width="7" customWidth="1"/>
    <col min="8" max="8" width="10.5703125" customWidth="1"/>
    <col min="9" max="9" width="2" customWidth="1"/>
    <col min="10" max="10" width="5.140625" customWidth="1"/>
    <col min="11" max="14" width="7" customWidth="1"/>
    <col min="15" max="15" width="10.42578125" customWidth="1"/>
    <col min="16" max="16" width="25.7109375" customWidth="1"/>
    <col min="17" max="26" width="8.7109375" customWidth="1"/>
  </cols>
  <sheetData>
    <row r="1" spans="1:16" ht="15.75" customHeight="1" x14ac:dyDescent="0.25">
      <c r="A1" s="252" t="s">
        <v>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</row>
    <row r="2" spans="1:16" ht="15" customHeight="1" x14ac:dyDescent="0.25">
      <c r="A2" s="4"/>
      <c r="B2" s="4"/>
      <c r="C2" s="254" t="s">
        <v>5</v>
      </c>
      <c r="D2" s="250"/>
      <c r="E2" s="250"/>
      <c r="F2" s="250"/>
      <c r="G2" s="250"/>
      <c r="H2" s="255"/>
      <c r="I2" s="4"/>
      <c r="J2" s="254" t="s">
        <v>13</v>
      </c>
      <c r="K2" s="250"/>
      <c r="L2" s="250"/>
      <c r="M2" s="250"/>
      <c r="N2" s="250"/>
      <c r="O2" s="255"/>
      <c r="P2" s="4"/>
    </row>
    <row r="3" spans="1:16" ht="15" customHeight="1" x14ac:dyDescent="0.25">
      <c r="A3" s="12" t="s">
        <v>1</v>
      </c>
      <c r="B3" s="12" t="s">
        <v>3</v>
      </c>
      <c r="C3" s="12" t="s">
        <v>25</v>
      </c>
      <c r="D3" s="12" t="s">
        <v>26</v>
      </c>
      <c r="E3" s="12" t="s">
        <v>27</v>
      </c>
      <c r="F3" s="12" t="s">
        <v>28</v>
      </c>
      <c r="G3" s="12" t="s">
        <v>29</v>
      </c>
      <c r="H3" s="12" t="s">
        <v>30</v>
      </c>
      <c r="I3" s="13"/>
      <c r="J3" s="12" t="s">
        <v>25</v>
      </c>
      <c r="K3" s="12" t="s">
        <v>26</v>
      </c>
      <c r="L3" s="12" t="s">
        <v>27</v>
      </c>
      <c r="M3" s="12" t="s">
        <v>28</v>
      </c>
      <c r="N3" s="12" t="s">
        <v>29</v>
      </c>
      <c r="O3" s="12" t="s">
        <v>31</v>
      </c>
      <c r="P3" s="12" t="s">
        <v>32</v>
      </c>
    </row>
    <row r="4" spans="1:16" ht="15" customHeight="1" x14ac:dyDescent="0.25">
      <c r="A4" s="16">
        <v>1291</v>
      </c>
      <c r="B4" s="20" t="s">
        <v>35</v>
      </c>
      <c r="C4" s="16">
        <f t="array" ref="C4">IFERROR(INDEX(Commercial!D$3:D$15,MATCH($A4,Commercial!$A$3:$A$15,0)),0)</f>
        <v>0</v>
      </c>
      <c r="D4" s="16">
        <f t="array" ref="D4">IFERROR(INDEX(Commercial!J$3:J$15,MATCH($A4,Commercial!$A$3:$A$15,0)),0)</f>
        <v>0</v>
      </c>
      <c r="E4" s="16">
        <f t="array" ref="E4">IFERROR(INDEX(Commercial!P$3:P$15,MATCH($A4,Commercial!$A$3:$A$15,0)),0)</f>
        <v>3</v>
      </c>
      <c r="F4" s="16">
        <f t="array" ref="F4">IFERROR(INDEX(Commercial!V$3:V$15,MATCH($A4,Commercial!$A$3:$A$15,0)),0)</f>
        <v>2</v>
      </c>
      <c r="G4" s="16">
        <f t="array" ref="G4">IFERROR(INDEX(Commercial!AB$3:AB$15,MATCH($A4,Commercial!$A$3:$A$15,0)),0)</f>
        <v>1</v>
      </c>
      <c r="H4" s="51">
        <f t="shared" ref="H4:H15" si="0">SUM(C4:G4)</f>
        <v>6</v>
      </c>
      <c r="I4" s="4"/>
      <c r="J4" s="16">
        <f t="array" ref="J4">IFERROR(INDEX(Commercial!E$3:E$15,MATCH($A4,Commercial!$A$3:$A$15,0)),0)</f>
        <v>0</v>
      </c>
      <c r="K4" s="16">
        <f t="array" ref="K4">IFERROR(INDEX(Commercial!K$3:K$15,MATCH($A4,Commercial!$A$3:$A$15,0)),0)</f>
        <v>1</v>
      </c>
      <c r="L4" s="16">
        <f t="array" ref="L4">IFERROR(INDEX(Commercial!Q$3:Q$15,MATCH($A4,Commercial!$A$3:$A$15,0)),0)</f>
        <v>3</v>
      </c>
      <c r="M4" s="16">
        <f t="array" ref="M4">IFERROR(INDEX(Commercial!W$3:W$15,MATCH($A4,Commercial!$A$3:$A$15,0)),0)</f>
        <v>0</v>
      </c>
      <c r="N4" s="16">
        <f t="array" ref="N4">IFERROR(INDEX(Commercial!AC$3:AC$15,MATCH($A4,Commercial!$A$3:$A$15,0)),0)</f>
        <v>0</v>
      </c>
      <c r="O4" s="51">
        <f t="shared" ref="O4:O15" si="1">SUM(J4:N4)</f>
        <v>4</v>
      </c>
      <c r="P4" s="16">
        <f t="shared" ref="P4:P16" si="2">H4+O4</f>
        <v>10</v>
      </c>
    </row>
    <row r="5" spans="1:16" ht="15" customHeight="1" x14ac:dyDescent="0.25">
      <c r="A5" s="16">
        <v>1292</v>
      </c>
      <c r="B5" s="20" t="s">
        <v>91</v>
      </c>
      <c r="C5" s="16">
        <f t="array" ref="C5">IFERROR(INDEX(Commercial!D$3:D$15,MATCH($A5,Commercial!$A$3:$A$15,0)),0)</f>
        <v>0</v>
      </c>
      <c r="D5" s="16">
        <f t="array" ref="D5">IFERROR(INDEX(Commercial!J$3:J$15,MATCH($A5,Commercial!$A$3:$A$15,0)),0)</f>
        <v>0</v>
      </c>
      <c r="E5" s="16">
        <f t="array" ref="E5">IFERROR(INDEX(Commercial!P$3:P$15,MATCH($A5,Commercial!$A$3:$A$15,0)),0)</f>
        <v>0</v>
      </c>
      <c r="F5" s="16">
        <f t="array" ref="F5">IFERROR(INDEX(Commercial!V$3:V$15,MATCH($A5,Commercial!$A$3:$A$15,0)),0)</f>
        <v>0</v>
      </c>
      <c r="G5" s="16">
        <f t="array" ref="G5">IFERROR(INDEX(Commercial!AB$3:AB$15,MATCH($A5,Commercial!$A$3:$A$15,0)),0)</f>
        <v>0</v>
      </c>
      <c r="H5" s="51">
        <f t="shared" si="0"/>
        <v>0</v>
      </c>
      <c r="I5" s="4"/>
      <c r="J5" s="16">
        <f t="array" ref="J5">IFERROR(INDEX(Commercial!E$3:E$15,MATCH($A5,Commercial!$A$3:$A$15,0)),0)</f>
        <v>1</v>
      </c>
      <c r="K5" s="16">
        <f t="array" ref="K5">IFERROR(INDEX(Commercial!K$3:K$15,MATCH($A5,Commercial!$A$3:$A$15,0)),0)</f>
        <v>0</v>
      </c>
      <c r="L5" s="16">
        <f t="array" ref="L5">IFERROR(INDEX(Commercial!Q$3:Q$15,MATCH($A5,Commercial!$A$3:$A$15,0)),0)</f>
        <v>0</v>
      </c>
      <c r="M5" s="16">
        <f t="array" ref="M5">IFERROR(INDEX(Commercial!W$3:W$15,MATCH($A5,Commercial!$A$3:$A$15,0)),0)</f>
        <v>0</v>
      </c>
      <c r="N5" s="16">
        <f t="array" ref="N5">IFERROR(INDEX(Commercial!AC$3:AC$15,MATCH($A5,Commercial!$A$3:$A$15,0)),0)</f>
        <v>0</v>
      </c>
      <c r="O5" s="51">
        <f t="shared" si="1"/>
        <v>1</v>
      </c>
      <c r="P5" s="16">
        <f t="shared" si="2"/>
        <v>1</v>
      </c>
    </row>
    <row r="6" spans="1:16" ht="15" customHeight="1" x14ac:dyDescent="0.25">
      <c r="A6" s="16">
        <v>1295</v>
      </c>
      <c r="B6" s="20" t="s">
        <v>94</v>
      </c>
      <c r="C6" s="16">
        <f t="array" ref="C6">IFERROR(INDEX(Commercial!D$3:D$15,MATCH($A6,Commercial!$A$3:$A$15,0)),0)</f>
        <v>0</v>
      </c>
      <c r="D6" s="16">
        <f t="array" ref="D6">IFERROR(INDEX(Commercial!J$3:J$15,MATCH($A6,Commercial!$A$3:$A$15,0)),0)</f>
        <v>0</v>
      </c>
      <c r="E6" s="16">
        <f t="array" ref="E6">IFERROR(INDEX(Commercial!P$3:P$15,MATCH($A6,Commercial!$A$3:$A$15,0)),0)</f>
        <v>0</v>
      </c>
      <c r="F6" s="16">
        <f t="array" ref="F6">IFERROR(INDEX(Commercial!V$3:V$15,MATCH($A6,Commercial!$A$3:$A$15,0)),0)</f>
        <v>0</v>
      </c>
      <c r="G6" s="16">
        <f t="array" ref="G6">IFERROR(INDEX(Commercial!AB$3:AB$15,MATCH($A6,Commercial!$A$3:$A$15,0)),0)</f>
        <v>0</v>
      </c>
      <c r="H6" s="51">
        <f t="shared" si="0"/>
        <v>0</v>
      </c>
      <c r="I6" s="4"/>
      <c r="J6" s="16">
        <f t="array" ref="J6">IFERROR(INDEX(Commercial!E$3:E$15,MATCH($A6,Commercial!$A$3:$A$15,0)),0)</f>
        <v>0</v>
      </c>
      <c r="K6" s="16">
        <f t="array" ref="K6">IFERROR(INDEX(Commercial!K$3:K$15,MATCH($A6,Commercial!$A$3:$A$15,0)),0)</f>
        <v>0</v>
      </c>
      <c r="L6" s="16">
        <f t="array" ref="L6">IFERROR(INDEX(Commercial!Q$3:Q$15,MATCH($A6,Commercial!$A$3:$A$15,0)),0)</f>
        <v>0</v>
      </c>
      <c r="M6" s="16">
        <f t="array" ref="M6">IFERROR(INDEX(Commercial!W$3:W$15,MATCH($A6,Commercial!$A$3:$A$15,0)),0)</f>
        <v>0</v>
      </c>
      <c r="N6" s="16">
        <f t="array" ref="N6">IFERROR(INDEX(Commercial!AC$3:AC$15,MATCH($A6,Commercial!$A$3:$A$15,0)),0)</f>
        <v>0</v>
      </c>
      <c r="O6" s="51">
        <f t="shared" si="1"/>
        <v>0</v>
      </c>
      <c r="P6" s="16">
        <f t="shared" si="2"/>
        <v>0</v>
      </c>
    </row>
    <row r="7" spans="1:16" ht="15" customHeight="1" x14ac:dyDescent="0.25">
      <c r="A7" s="16">
        <v>1290</v>
      </c>
      <c r="B7" s="20" t="s">
        <v>96</v>
      </c>
      <c r="C7" s="16">
        <f t="array" ref="C7">IFERROR(INDEX(Commercial!D$3:D$15,MATCH($A7,Commercial!$A$3:$A$15,0)),0)</f>
        <v>0</v>
      </c>
      <c r="D7" s="16">
        <f t="array" ref="D7">IFERROR(INDEX(Commercial!J$3:J$15,MATCH($A7,Commercial!$A$3:$A$15,0)),0)</f>
        <v>0</v>
      </c>
      <c r="E7" s="16">
        <f t="array" ref="E7">IFERROR(INDEX(Commercial!P$3:P$15,MATCH($A7,Commercial!$A$3:$A$15,0)),0)</f>
        <v>0</v>
      </c>
      <c r="F7" s="16">
        <f t="array" ref="F7">IFERROR(INDEX(Commercial!V$3:V$15,MATCH($A7,Commercial!$A$3:$A$15,0)),0)</f>
        <v>0</v>
      </c>
      <c r="G7" s="16">
        <f t="array" ref="G7">IFERROR(INDEX(Commercial!AB$3:AB$15,MATCH($A7,Commercial!$A$3:$A$15,0)),0)</f>
        <v>0</v>
      </c>
      <c r="H7" s="51">
        <f t="shared" si="0"/>
        <v>0</v>
      </c>
      <c r="I7" s="4"/>
      <c r="J7" s="16">
        <f t="array" ref="J7">IFERROR(INDEX(Commercial!E$3:E$15,MATCH($A7,Commercial!$A$3:$A$15,0)),0)</f>
        <v>0</v>
      </c>
      <c r="K7" s="16">
        <f t="array" ref="K7">IFERROR(INDEX(Commercial!K$3:K$15,MATCH($A7,Commercial!$A$3:$A$15,0)),0)</f>
        <v>1</v>
      </c>
      <c r="L7" s="16">
        <f t="array" ref="L7">IFERROR(INDEX(Commercial!Q$3:Q$15,MATCH($A7,Commercial!$A$3:$A$15,0)),0)</f>
        <v>0</v>
      </c>
      <c r="M7" s="16">
        <f t="array" ref="M7">IFERROR(INDEX(Commercial!W$3:W$15,MATCH($A7,Commercial!$A$3:$A$15,0)),0)</f>
        <v>0</v>
      </c>
      <c r="N7" s="16">
        <f t="array" ref="N7">IFERROR(INDEX(Commercial!AC$3:AC$15,MATCH($A7,Commercial!$A$3:$A$15,0)),0)</f>
        <v>0</v>
      </c>
      <c r="O7" s="51">
        <f t="shared" si="1"/>
        <v>1</v>
      </c>
      <c r="P7" s="16">
        <f t="shared" si="2"/>
        <v>1</v>
      </c>
    </row>
    <row r="8" spans="1:16" ht="15" customHeight="1" x14ac:dyDescent="0.25">
      <c r="A8" s="16">
        <v>1288</v>
      </c>
      <c r="B8" s="20" t="s">
        <v>100</v>
      </c>
      <c r="C8" s="16">
        <f t="array" ref="C8">IFERROR(INDEX(Commercial!D$3:D$15,MATCH($A8,Commercial!$A$3:$A$15,0)),0)</f>
        <v>0</v>
      </c>
      <c r="D8" s="16">
        <f t="array" ref="D8">IFERROR(INDEX(Commercial!J$3:J$15,MATCH($A8,Commercial!$A$3:$A$15,0)),0)</f>
        <v>0</v>
      </c>
      <c r="E8" s="16">
        <f t="array" ref="E8">IFERROR(INDEX(Commercial!P$3:P$15,MATCH($A8,Commercial!$A$3:$A$15,0)),0)</f>
        <v>0</v>
      </c>
      <c r="F8" s="16">
        <f t="array" ref="F8">IFERROR(INDEX(Commercial!V$3:V$15,MATCH($A8,Commercial!$A$3:$A$15,0)),0)</f>
        <v>0</v>
      </c>
      <c r="G8" s="16">
        <f t="array" ref="G8">IFERROR(INDEX(Commercial!AB$3:AB$15,MATCH($A8,Commercial!$A$3:$A$15,0)),0)</f>
        <v>0</v>
      </c>
      <c r="H8" s="51">
        <f t="shared" si="0"/>
        <v>0</v>
      </c>
      <c r="I8" s="4"/>
      <c r="J8" s="16">
        <f t="array" ref="J8">IFERROR(INDEX(Commercial!E$3:E$15,MATCH($A8,Commercial!$A$3:$A$15,0)),0)</f>
        <v>0</v>
      </c>
      <c r="K8" s="16">
        <f t="array" ref="K8">IFERROR(INDEX(Commercial!K$3:K$15,MATCH($A8,Commercial!$A$3:$A$15,0)),0)</f>
        <v>0</v>
      </c>
      <c r="L8" s="16">
        <f t="array" ref="L8">IFERROR(INDEX(Commercial!Q$3:Q$15,MATCH($A8,Commercial!$A$3:$A$15,0)),0)</f>
        <v>0</v>
      </c>
      <c r="M8" s="16">
        <f t="array" ref="M8">IFERROR(INDEX(Commercial!W$3:W$15,MATCH($A8,Commercial!$A$3:$A$15,0)),0)</f>
        <v>0</v>
      </c>
      <c r="N8" s="16">
        <f t="array" ref="N8">IFERROR(INDEX(Commercial!AC$3:AC$15,MATCH($A8,Commercial!$A$3:$A$15,0)),0)</f>
        <v>0</v>
      </c>
      <c r="O8" s="51">
        <f t="shared" si="1"/>
        <v>0</v>
      </c>
      <c r="P8" s="16">
        <f t="shared" si="2"/>
        <v>0</v>
      </c>
    </row>
    <row r="9" spans="1:16" ht="15" customHeight="1" x14ac:dyDescent="0.25">
      <c r="A9" s="16">
        <v>1175</v>
      </c>
      <c r="B9" s="20" t="s">
        <v>103</v>
      </c>
      <c r="C9" s="16">
        <f t="array" ref="C9">IFERROR(INDEX(Commercial!D$3:D$15,MATCH($A9,Commercial!$A$3:$A$15,0)),0)</f>
        <v>0</v>
      </c>
      <c r="D9" s="16">
        <f t="array" ref="D9">IFERROR(INDEX(Commercial!J$3:J$15,MATCH($A9,Commercial!$A$3:$A$15,0)),0)</f>
        <v>0</v>
      </c>
      <c r="E9" s="16">
        <f t="array" ref="E9">IFERROR(INDEX(Commercial!P$3:P$15,MATCH($A9,Commercial!$A$3:$A$15,0)),0)</f>
        <v>0</v>
      </c>
      <c r="F9" s="16">
        <f t="array" ref="F9">IFERROR(INDEX(Commercial!V$3:V$15,MATCH($A9,Commercial!$A$3:$A$15,0)),0)</f>
        <v>1</v>
      </c>
      <c r="G9" s="16">
        <f t="array" ref="G9">IFERROR(INDEX(Commercial!AB$3:AB$15,MATCH($A9,Commercial!$A$3:$A$15,0)),0)</f>
        <v>2</v>
      </c>
      <c r="H9" s="51">
        <f t="shared" si="0"/>
        <v>3</v>
      </c>
      <c r="I9" s="4"/>
      <c r="J9" s="16">
        <f t="array" ref="J9">IFERROR(INDEX(Commercial!E$3:E$15,MATCH($A9,Commercial!$A$3:$A$15,0)),0)</f>
        <v>2</v>
      </c>
      <c r="K9" s="16">
        <f t="array" ref="K9">IFERROR(INDEX(Commercial!K$3:K$15,MATCH($A9,Commercial!$A$3:$A$15,0)),0)</f>
        <v>0</v>
      </c>
      <c r="L9" s="16">
        <f t="array" ref="L9">IFERROR(INDEX(Commercial!Q$3:Q$15,MATCH($A9,Commercial!$A$3:$A$15,0)),0)</f>
        <v>0</v>
      </c>
      <c r="M9" s="16">
        <f t="array" ref="M9">IFERROR(INDEX(Commercial!W$3:W$15,MATCH($A9,Commercial!$A$3:$A$15,0)),0)</f>
        <v>1</v>
      </c>
      <c r="N9" s="16">
        <f t="array" ref="N9">IFERROR(INDEX(Commercial!AC$3:AC$15,MATCH($A9,Commercial!$A$3:$A$15,0)),0)</f>
        <v>1</v>
      </c>
      <c r="O9" s="51">
        <f t="shared" si="1"/>
        <v>4</v>
      </c>
      <c r="P9" s="16">
        <f t="shared" si="2"/>
        <v>7</v>
      </c>
    </row>
    <row r="10" spans="1:16" ht="15" customHeight="1" x14ac:dyDescent="0.25">
      <c r="A10" s="16">
        <v>1294</v>
      </c>
      <c r="B10" s="20" t="s">
        <v>106</v>
      </c>
      <c r="C10" s="16">
        <f t="array" ref="C10">IFERROR(INDEX(Commercial!D$3:D$15,MATCH($A10,Commercial!$A$3:$A$15,0)),0)</f>
        <v>0</v>
      </c>
      <c r="D10" s="16">
        <f t="array" ref="D10">IFERROR(INDEX(Commercial!J$3:J$15,MATCH($A10,Commercial!$A$3:$A$15,0)),0)</f>
        <v>0</v>
      </c>
      <c r="E10" s="16">
        <f t="array" ref="E10">IFERROR(INDEX(Commercial!P$3:P$15,MATCH($A10,Commercial!$A$3:$A$15,0)),0)</f>
        <v>0</v>
      </c>
      <c r="F10" s="16">
        <f t="array" ref="F10">IFERROR(INDEX(Commercial!V$3:V$15,MATCH($A10,Commercial!$A$3:$A$15,0)),0)</f>
        <v>0</v>
      </c>
      <c r="G10" s="16">
        <f t="array" ref="G10">IFERROR(INDEX(Commercial!AB$3:AB$15,MATCH($A10,Commercial!$A$3:$A$15,0)),0)</f>
        <v>0</v>
      </c>
      <c r="H10" s="51">
        <f t="shared" si="0"/>
        <v>0</v>
      </c>
      <c r="I10" s="4"/>
      <c r="J10" s="16">
        <f t="array" ref="J10">IFERROR(INDEX(Commercial!E$3:E$15,MATCH($A10,Commercial!$A$3:$A$15,0)),0)</f>
        <v>0</v>
      </c>
      <c r="K10" s="16">
        <f t="array" ref="K10">IFERROR(INDEX(Commercial!K$3:K$15,MATCH($A10,Commercial!$A$3:$A$15,0)),0)</f>
        <v>1</v>
      </c>
      <c r="L10" s="16">
        <f t="array" ref="L10">IFERROR(INDEX(Commercial!Q$3:Q$15,MATCH($A10,Commercial!$A$3:$A$15,0)),0)</f>
        <v>0</v>
      </c>
      <c r="M10" s="16">
        <f t="array" ref="M10">IFERROR(INDEX(Commercial!W$3:W$15,MATCH($A10,Commercial!$A$3:$A$15,0)),0)</f>
        <v>0</v>
      </c>
      <c r="N10" s="16">
        <f t="array" ref="N10">IFERROR(INDEX(Commercial!AC$3:AC$15,MATCH($A10,Commercial!$A$3:$A$15,0)),0)</f>
        <v>0</v>
      </c>
      <c r="O10" s="51">
        <f t="shared" si="1"/>
        <v>1</v>
      </c>
      <c r="P10" s="16">
        <f t="shared" si="2"/>
        <v>1</v>
      </c>
    </row>
    <row r="11" spans="1:16" ht="15" customHeight="1" x14ac:dyDescent="0.25">
      <c r="A11" s="16">
        <v>1280</v>
      </c>
      <c r="B11" s="20" t="s">
        <v>85</v>
      </c>
      <c r="C11" s="16">
        <f t="array" ref="C11">IFERROR(INDEX(Commercial!D$3:D$15,MATCH($A11,Commercial!$A$3:$A$15,0)),0)</f>
        <v>0</v>
      </c>
      <c r="D11" s="16">
        <f t="array" ref="D11">IFERROR(INDEX(Commercial!J$3:J$15,MATCH($A11,Commercial!$A$3:$A$15,0)),0)</f>
        <v>0</v>
      </c>
      <c r="E11" s="16">
        <f t="array" ref="E11">IFERROR(INDEX(Commercial!P$3:P$15,MATCH($A11,Commercial!$A$3:$A$15,0)),0)</f>
        <v>4</v>
      </c>
      <c r="F11" s="16">
        <f t="array" ref="F11">IFERROR(INDEX(Commercial!V$3:V$15,MATCH($A11,Commercial!$A$3:$A$15,0)),0)</f>
        <v>0</v>
      </c>
      <c r="G11" s="16">
        <f t="array" ref="G11">IFERROR(INDEX(Commercial!AB$3:AB$15,MATCH($A11,Commercial!$A$3:$A$15,0)),0)</f>
        <v>0</v>
      </c>
      <c r="H11" s="51">
        <f t="shared" si="0"/>
        <v>4</v>
      </c>
      <c r="I11" s="4"/>
      <c r="J11" s="16">
        <f t="array" ref="J11">IFERROR(INDEX(Commercial!E$3:E$15,MATCH($A11,Commercial!$A$3:$A$15,0)),0)</f>
        <v>0</v>
      </c>
      <c r="K11" s="16">
        <f t="array" ref="K11">IFERROR(INDEX(Commercial!K$3:K$15,MATCH($A11,Commercial!$A$3:$A$15,0)),0)</f>
        <v>0</v>
      </c>
      <c r="L11" s="16">
        <f t="array" ref="L11">IFERROR(INDEX(Commercial!Q$3:Q$15,MATCH($A11,Commercial!$A$3:$A$15,0)),0)</f>
        <v>4</v>
      </c>
      <c r="M11" s="16">
        <f t="array" ref="M11">IFERROR(INDEX(Commercial!W$3:W$15,MATCH($A11,Commercial!$A$3:$A$15,0)),0)</f>
        <v>0</v>
      </c>
      <c r="N11" s="16">
        <f t="array" ref="N11">IFERROR(INDEX(Commercial!AC$3:AC$15,MATCH($A11,Commercial!$A$3:$A$15,0)),0)</f>
        <v>1</v>
      </c>
      <c r="O11" s="51">
        <f t="shared" si="1"/>
        <v>5</v>
      </c>
      <c r="P11" s="16">
        <f t="shared" si="2"/>
        <v>9</v>
      </c>
    </row>
    <row r="12" spans="1:16" ht="15" customHeight="1" x14ac:dyDescent="0.25">
      <c r="A12" s="16">
        <v>1298</v>
      </c>
      <c r="B12" s="20" t="s">
        <v>109</v>
      </c>
      <c r="C12" s="16">
        <f t="array" ref="C12">IFERROR(INDEX(Commercial!D$3:D$15,MATCH($A12,Commercial!$A$3:$A$15,0)),0)</f>
        <v>0</v>
      </c>
      <c r="D12" s="16">
        <f t="array" ref="D12">IFERROR(INDEX(Commercial!J$3:J$15,MATCH($A12,Commercial!$A$3:$A$15,0)),0)</f>
        <v>0</v>
      </c>
      <c r="E12" s="16">
        <f t="array" ref="E12">IFERROR(INDEX(Commercial!P$3:P$15,MATCH($A12,Commercial!$A$3:$A$15,0)),0)</f>
        <v>2</v>
      </c>
      <c r="F12" s="16">
        <f t="array" ref="F12">IFERROR(INDEX(Commercial!V$3:V$15,MATCH($A12,Commercial!$A$3:$A$15,0)),0)</f>
        <v>1</v>
      </c>
      <c r="G12" s="16">
        <f t="array" ref="G12">IFERROR(INDEX(Commercial!AB$3:AB$15,MATCH($A12,Commercial!$A$3:$A$15,0)),0)</f>
        <v>1</v>
      </c>
      <c r="H12" s="51">
        <f t="shared" si="0"/>
        <v>4</v>
      </c>
      <c r="I12" s="4"/>
      <c r="J12" s="16">
        <f t="array" ref="J12">IFERROR(INDEX(Commercial!E$3:E$15,MATCH($A12,Commercial!$A$3:$A$15,0)),0)</f>
        <v>0</v>
      </c>
      <c r="K12" s="16">
        <f t="array" ref="K12">IFERROR(INDEX(Commercial!K$3:K$15,MATCH($A12,Commercial!$A$3:$A$15,0)),0)</f>
        <v>0</v>
      </c>
      <c r="L12" s="16">
        <f t="array" ref="L12">IFERROR(INDEX(Commercial!Q$3:Q$15,MATCH($A12,Commercial!$A$3:$A$15,0)),0)</f>
        <v>0</v>
      </c>
      <c r="M12" s="16">
        <f t="array" ref="M12">IFERROR(INDEX(Commercial!W$3:W$15,MATCH($A12,Commercial!$A$3:$A$15,0)),0)</f>
        <v>1</v>
      </c>
      <c r="N12" s="16">
        <f t="array" ref="N12">IFERROR(INDEX(Commercial!AC$3:AC$15,MATCH($A12,Commercial!$A$3:$A$15,0)),0)</f>
        <v>0</v>
      </c>
      <c r="O12" s="51">
        <f t="shared" si="1"/>
        <v>1</v>
      </c>
      <c r="P12" s="16">
        <f t="shared" si="2"/>
        <v>5</v>
      </c>
    </row>
    <row r="13" spans="1:16" ht="15" customHeight="1" x14ac:dyDescent="0.25">
      <c r="A13" s="16">
        <v>1300</v>
      </c>
      <c r="B13" s="20" t="s">
        <v>111</v>
      </c>
      <c r="C13" s="16">
        <f t="array" ref="C13">IFERROR(INDEX(Commercial!D$3:D$15,MATCH($A13,Commercial!$A$3:$A$15,0)),0)</f>
        <v>0</v>
      </c>
      <c r="D13" s="16">
        <f t="array" ref="D13">IFERROR(INDEX(Commercial!J$3:J$15,MATCH($A13,Commercial!$A$3:$A$15,0)),0)</f>
        <v>0</v>
      </c>
      <c r="E13" s="16">
        <f t="array" ref="E13">IFERROR(INDEX(Commercial!P$3:P$15,MATCH($A13,Commercial!$A$3:$A$15,0)),0)</f>
        <v>0</v>
      </c>
      <c r="F13" s="16">
        <f t="array" ref="F13">IFERROR(INDEX(Commercial!V$3:V$15,MATCH($A13,Commercial!$A$3:$A$15,0)),0)</f>
        <v>0</v>
      </c>
      <c r="G13" s="16">
        <f t="array" ref="G13">IFERROR(INDEX(Commercial!AB$3:AB$15,MATCH($A13,Commercial!$A$3:$A$15,0)),0)</f>
        <v>0</v>
      </c>
      <c r="H13" s="51">
        <f t="shared" si="0"/>
        <v>0</v>
      </c>
      <c r="I13" s="4"/>
      <c r="J13" s="16">
        <f t="array" ref="J13">IFERROR(INDEX(Commercial!E$3:E$15,MATCH($A13,Commercial!$A$3:$A$15,0)),0)</f>
        <v>2</v>
      </c>
      <c r="K13" s="16">
        <f t="array" ref="K13">IFERROR(INDEX(Commercial!K$3:K$15,MATCH($A13,Commercial!$A$3:$A$15,0)),0)</f>
        <v>0</v>
      </c>
      <c r="L13" s="16">
        <f t="array" ref="L13">IFERROR(INDEX(Commercial!Q$3:Q$15,MATCH($A13,Commercial!$A$3:$A$15,0)),0)</f>
        <v>14</v>
      </c>
      <c r="M13" s="16">
        <f t="array" ref="M13">IFERROR(INDEX(Commercial!W$3:W$15,MATCH($A13,Commercial!$A$3:$A$15,0)),0)</f>
        <v>0</v>
      </c>
      <c r="N13" s="16">
        <f t="array" ref="N13">IFERROR(INDEX(Commercial!AC$3:AC$15,MATCH($A13,Commercial!$A$3:$A$15,0)),0)</f>
        <v>0</v>
      </c>
      <c r="O13" s="51">
        <f t="shared" si="1"/>
        <v>16</v>
      </c>
      <c r="P13" s="16">
        <f t="shared" si="2"/>
        <v>16</v>
      </c>
    </row>
    <row r="14" spans="1:16" ht="15" customHeight="1" x14ac:dyDescent="0.25">
      <c r="A14" s="16">
        <v>1301</v>
      </c>
      <c r="B14" s="20" t="s">
        <v>112</v>
      </c>
      <c r="C14" s="16">
        <f t="array" ref="C14">IFERROR(INDEX(Commercial!D$3:D$15,MATCH($A14,Commercial!$A$3:$A$15,0)),0)</f>
        <v>0</v>
      </c>
      <c r="D14" s="16">
        <f t="array" ref="D14">IFERROR(INDEX(Commercial!J$3:J$15,MATCH($A14,Commercial!$A$3:$A$15,0)),0)</f>
        <v>0</v>
      </c>
      <c r="E14" s="16">
        <f t="array" ref="E14">IFERROR(INDEX(Commercial!P$3:P$15,MATCH($A14,Commercial!$A$3:$A$15,0)),0)</f>
        <v>0</v>
      </c>
      <c r="F14" s="16">
        <f t="array" ref="F14">IFERROR(INDEX(Commercial!V$3:V$15,MATCH($A14,Commercial!$A$3:$A$15,0)),0)</f>
        <v>0</v>
      </c>
      <c r="G14" s="16">
        <f t="array" ref="G14">IFERROR(INDEX(Commercial!AB$3:AB$15,MATCH($A14,Commercial!$A$3:$A$15,0)),0)</f>
        <v>0</v>
      </c>
      <c r="H14" s="51">
        <f t="shared" si="0"/>
        <v>0</v>
      </c>
      <c r="I14" s="4"/>
      <c r="J14" s="16">
        <f t="array" ref="J14">IFERROR(INDEX(Commercial!E$3:E$15,MATCH($A14,Commercial!$A$3:$A$15,0)),0)</f>
        <v>0</v>
      </c>
      <c r="K14" s="16">
        <f t="array" ref="K14">IFERROR(INDEX(Commercial!K$3:K$15,MATCH($A14,Commercial!$A$3:$A$15,0)),0)</f>
        <v>0</v>
      </c>
      <c r="L14" s="16">
        <f t="array" ref="L14">IFERROR(INDEX(Commercial!Q$3:Q$15,MATCH($A14,Commercial!$A$3:$A$15,0)),0)</f>
        <v>0</v>
      </c>
      <c r="M14" s="16">
        <f t="array" ref="M14">IFERROR(INDEX(Commercial!W$3:W$15,MATCH($A14,Commercial!$A$3:$A$15,0)),0)</f>
        <v>0</v>
      </c>
      <c r="N14" s="16">
        <f t="array" ref="N14">IFERROR(INDEX(Commercial!AC$3:AC$15,MATCH($A14,Commercial!$A$3:$A$15,0)),0)</f>
        <v>0</v>
      </c>
      <c r="O14" s="51">
        <f t="shared" si="1"/>
        <v>0</v>
      </c>
      <c r="P14" s="16">
        <f t="shared" si="2"/>
        <v>0</v>
      </c>
    </row>
    <row r="15" spans="1:16" ht="15" customHeight="1" x14ac:dyDescent="0.25">
      <c r="A15" s="16">
        <v>1151</v>
      </c>
      <c r="B15" s="20" t="s">
        <v>114</v>
      </c>
      <c r="C15" s="16">
        <f t="array" ref="C15">IFERROR(INDEX(Commercial!D$3:D$15,MATCH($A15,Commercial!$A$3:$A$15,0)),0)</f>
        <v>0</v>
      </c>
      <c r="D15" s="16">
        <f t="array" ref="D15">IFERROR(INDEX(Commercial!J$3:J$15,MATCH($A15,Commercial!$A$3:$A$15,0)),0)</f>
        <v>0</v>
      </c>
      <c r="E15" s="16">
        <f t="array" ref="E15">IFERROR(INDEX(Commercial!P$3:P$15,MATCH($A15,Commercial!$A$3:$A$15,0)),0)</f>
        <v>0</v>
      </c>
      <c r="F15" s="16">
        <f t="array" ref="F15">IFERROR(INDEX(Commercial!V$3:V$15,MATCH($A15,Commercial!$A$3:$A$15,0)),0)</f>
        <v>0</v>
      </c>
      <c r="G15" s="16">
        <f t="array" ref="G15">IFERROR(INDEX(Commercial!AB$3:AB$15,MATCH($A15,Commercial!$A$3:$A$15,0)),0)</f>
        <v>0</v>
      </c>
      <c r="H15" s="51">
        <f t="shared" si="0"/>
        <v>0</v>
      </c>
      <c r="I15" s="4"/>
      <c r="J15" s="16">
        <f t="array" ref="J15">IFERROR(INDEX(Commercial!E$3:E$15,MATCH($A15,Commercial!$A$3:$A$15,0)),0)</f>
        <v>0</v>
      </c>
      <c r="K15" s="16">
        <f t="array" ref="K15">IFERROR(INDEX(Commercial!K$3:K$15,MATCH($A15,Commercial!$A$3:$A$15,0)),0)</f>
        <v>1</v>
      </c>
      <c r="L15" s="16">
        <f t="array" ref="L15">IFERROR(INDEX(Commercial!Q$3:Q$15,MATCH($A15,Commercial!$A$3:$A$15,0)),0)</f>
        <v>0</v>
      </c>
      <c r="M15" s="16">
        <f t="array" ref="M15">IFERROR(INDEX(Commercial!W$3:W$15,MATCH($A15,Commercial!$A$3:$A$15,0)),0)</f>
        <v>0</v>
      </c>
      <c r="N15" s="16">
        <f t="array" ref="N15">IFERROR(INDEX(Commercial!AC$3:AC$15,MATCH($A15,Commercial!$A$3:$A$15,0)),0)</f>
        <v>0</v>
      </c>
      <c r="O15" s="51">
        <f t="shared" si="1"/>
        <v>1</v>
      </c>
      <c r="P15" s="16">
        <f t="shared" si="2"/>
        <v>1</v>
      </c>
    </row>
    <row r="16" spans="1:16" ht="15" customHeight="1" x14ac:dyDescent="0.25">
      <c r="A16" s="100"/>
      <c r="B16" s="101" t="s">
        <v>74</v>
      </c>
      <c r="C16" s="101">
        <f t="shared" ref="C16:H16" si="3">SUM(C4:C15)</f>
        <v>0</v>
      </c>
      <c r="D16" s="101">
        <f t="shared" si="3"/>
        <v>0</v>
      </c>
      <c r="E16" s="101">
        <f t="shared" si="3"/>
        <v>9</v>
      </c>
      <c r="F16" s="101">
        <f t="shared" si="3"/>
        <v>4</v>
      </c>
      <c r="G16" s="101">
        <f t="shared" si="3"/>
        <v>4</v>
      </c>
      <c r="H16" s="101">
        <f t="shared" si="3"/>
        <v>17</v>
      </c>
      <c r="I16" s="4"/>
      <c r="J16" s="101">
        <f t="shared" ref="J16:O16" si="4">SUM(J4:J15)</f>
        <v>5</v>
      </c>
      <c r="K16" s="101">
        <f t="shared" si="4"/>
        <v>4</v>
      </c>
      <c r="L16" s="101">
        <f t="shared" si="4"/>
        <v>21</v>
      </c>
      <c r="M16" s="101">
        <f t="shared" si="4"/>
        <v>2</v>
      </c>
      <c r="N16" s="101">
        <f t="shared" si="4"/>
        <v>2</v>
      </c>
      <c r="O16" s="101">
        <f t="shared" si="4"/>
        <v>34</v>
      </c>
      <c r="P16" s="101">
        <f t="shared" si="2"/>
        <v>51</v>
      </c>
    </row>
    <row r="18" spans="1:16" ht="15" customHeight="1" x14ac:dyDescent="0.25">
      <c r="A18" s="256" t="s">
        <v>116</v>
      </c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</row>
    <row r="21" spans="1:16" ht="15.75" customHeight="1" x14ac:dyDescent="0.25"/>
    <row r="22" spans="1:16" ht="15.75" customHeight="1" x14ac:dyDescent="0.25"/>
    <row r="23" spans="1:16" ht="15.75" customHeight="1" x14ac:dyDescent="0.25"/>
    <row r="24" spans="1:16" ht="15.75" customHeight="1" x14ac:dyDescent="0.25"/>
    <row r="25" spans="1:16" ht="15.75" customHeight="1" x14ac:dyDescent="0.25"/>
    <row r="26" spans="1:16" ht="15.75" customHeight="1" x14ac:dyDescent="0.25"/>
    <row r="27" spans="1:16" ht="15.75" customHeight="1" x14ac:dyDescent="0.25"/>
    <row r="28" spans="1:16" ht="15.75" customHeight="1" x14ac:dyDescent="0.25"/>
    <row r="29" spans="1:16" ht="15.75" customHeight="1" x14ac:dyDescent="0.25"/>
    <row r="30" spans="1:16" ht="15.75" customHeight="1" x14ac:dyDescent="0.25"/>
    <row r="31" spans="1:16" ht="15.75" customHeight="1" x14ac:dyDescent="0.25"/>
    <row r="32" spans="1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P1"/>
    <mergeCell ref="C2:H2"/>
    <mergeCell ref="J2:O2"/>
    <mergeCell ref="A18:P18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"/>
  <sheetViews>
    <sheetView workbookViewId="0">
      <pane xSplit="17" topLeftCell="R1" activePane="topRight" state="frozen"/>
      <selection pane="topRight" activeCell="S2" sqref="S2"/>
    </sheetView>
  </sheetViews>
  <sheetFormatPr defaultColWidth="14.42578125" defaultRowHeight="15" customHeight="1" x14ac:dyDescent="0.25"/>
  <cols>
    <col min="1" max="1" width="10.140625" customWidth="1"/>
    <col min="2" max="2" width="20.85546875" customWidth="1"/>
    <col min="3" max="3" width="8.42578125" customWidth="1"/>
    <col min="4" max="4" width="9.7109375" customWidth="1"/>
    <col min="5" max="7" width="7.5703125" customWidth="1"/>
    <col min="8" max="9" width="8.140625" customWidth="1"/>
    <col min="11" max="11" width="9" customWidth="1"/>
  </cols>
  <sheetData>
    <row r="1" spans="1:16" ht="15" customHeight="1" x14ac:dyDescent="0.25">
      <c r="A1" s="6" t="s">
        <v>1</v>
      </c>
      <c r="B1" s="8" t="s">
        <v>3</v>
      </c>
      <c r="C1" s="6" t="s">
        <v>4</v>
      </c>
      <c r="D1" s="6" t="s">
        <v>6</v>
      </c>
      <c r="E1" s="6" t="s">
        <v>7</v>
      </c>
      <c r="F1" s="6" t="s">
        <v>8</v>
      </c>
      <c r="G1" s="6" t="s">
        <v>10</v>
      </c>
      <c r="H1" s="6" t="s">
        <v>12</v>
      </c>
      <c r="I1" s="6" t="s">
        <v>14</v>
      </c>
      <c r="J1" s="6" t="s">
        <v>16</v>
      </c>
      <c r="K1" s="6" t="s">
        <v>17</v>
      </c>
      <c r="L1" s="6" t="s">
        <v>19</v>
      </c>
      <c r="M1" s="6" t="s">
        <v>20</v>
      </c>
      <c r="N1" s="6" t="s">
        <v>21</v>
      </c>
      <c r="O1" s="6" t="s">
        <v>22</v>
      </c>
      <c r="P1" s="6" t="s">
        <v>23</v>
      </c>
    </row>
    <row r="2" spans="1:16" ht="15" customHeight="1" x14ac:dyDescent="0.25">
      <c r="A2" s="257" t="s">
        <v>24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0"/>
      <c r="N2" s="250"/>
      <c r="O2" s="251"/>
      <c r="P2" s="18"/>
    </row>
    <row r="3" spans="1:16" ht="15" customHeight="1" x14ac:dyDescent="0.25">
      <c r="A3" s="23"/>
      <c r="B3" s="26"/>
      <c r="C3" s="27"/>
      <c r="D3" s="27"/>
      <c r="E3" s="27"/>
      <c r="F3" s="27"/>
      <c r="G3" s="27"/>
      <c r="H3" s="27"/>
      <c r="I3" s="27"/>
      <c r="J3" s="34">
        <f t="shared" ref="J3:J10" si="0">SUM(C3:I3)</f>
        <v>0</v>
      </c>
      <c r="K3" s="34"/>
      <c r="L3" s="34">
        <f t="shared" ref="L3:L10" si="1">J3-K3</f>
        <v>0</v>
      </c>
      <c r="M3" s="34">
        <v>0</v>
      </c>
      <c r="N3" s="38">
        <f t="shared" ref="N3:N11" si="2">J3-M3</f>
        <v>0</v>
      </c>
      <c r="O3" s="28" t="s">
        <v>48</v>
      </c>
      <c r="P3" s="39" t="s">
        <v>49</v>
      </c>
    </row>
    <row r="4" spans="1:16" ht="15" customHeight="1" x14ac:dyDescent="0.25">
      <c r="A4" s="23"/>
      <c r="B4" s="26"/>
      <c r="C4" s="42"/>
      <c r="D4" s="42"/>
      <c r="E4" s="42"/>
      <c r="F4" s="27"/>
      <c r="G4" s="42"/>
      <c r="H4" s="42"/>
      <c r="I4" s="42"/>
      <c r="J4" s="34">
        <f t="shared" si="0"/>
        <v>0</v>
      </c>
      <c r="K4" s="45"/>
      <c r="L4" s="34">
        <f t="shared" si="1"/>
        <v>0</v>
      </c>
      <c r="M4" s="34">
        <v>0</v>
      </c>
      <c r="N4" s="38">
        <f t="shared" si="2"/>
        <v>0</v>
      </c>
      <c r="O4" s="28" t="s">
        <v>48</v>
      </c>
      <c r="P4" s="39" t="s">
        <v>49</v>
      </c>
    </row>
    <row r="5" spans="1:16" ht="15" customHeight="1" x14ac:dyDescent="0.25">
      <c r="A5" s="23"/>
      <c r="B5" s="47"/>
      <c r="C5" s="42"/>
      <c r="D5" s="42"/>
      <c r="E5" s="42"/>
      <c r="F5" s="27"/>
      <c r="G5" s="42"/>
      <c r="H5" s="42"/>
      <c r="I5" s="42"/>
      <c r="J5" s="34">
        <f t="shared" si="0"/>
        <v>0</v>
      </c>
      <c r="K5" s="45"/>
      <c r="L5" s="34">
        <f t="shared" si="1"/>
        <v>0</v>
      </c>
      <c r="M5" s="34">
        <v>0</v>
      </c>
      <c r="N5" s="38">
        <f t="shared" si="2"/>
        <v>0</v>
      </c>
      <c r="O5" s="28" t="s">
        <v>48</v>
      </c>
      <c r="P5" s="39" t="s">
        <v>49</v>
      </c>
    </row>
    <row r="6" spans="1:16" ht="15" customHeight="1" x14ac:dyDescent="0.25">
      <c r="A6" s="23"/>
      <c r="B6" s="47"/>
      <c r="C6" s="42"/>
      <c r="D6" s="42"/>
      <c r="E6" s="42"/>
      <c r="F6" s="27"/>
      <c r="G6" s="42"/>
      <c r="H6" s="42"/>
      <c r="I6" s="42"/>
      <c r="J6" s="34">
        <f t="shared" si="0"/>
        <v>0</v>
      </c>
      <c r="K6" s="45"/>
      <c r="L6" s="34">
        <f t="shared" si="1"/>
        <v>0</v>
      </c>
      <c r="M6" s="34">
        <v>0</v>
      </c>
      <c r="N6" s="38">
        <f t="shared" si="2"/>
        <v>0</v>
      </c>
      <c r="O6" s="28" t="s">
        <v>48</v>
      </c>
      <c r="P6" s="39" t="s">
        <v>49</v>
      </c>
    </row>
    <row r="7" spans="1:16" ht="15" customHeight="1" x14ac:dyDescent="0.25">
      <c r="A7" s="23"/>
      <c r="B7" s="26"/>
      <c r="C7" s="42"/>
      <c r="D7" s="42"/>
      <c r="E7" s="42"/>
      <c r="F7" s="27"/>
      <c r="G7" s="42"/>
      <c r="H7" s="42"/>
      <c r="I7" s="42"/>
      <c r="J7" s="34">
        <f t="shared" si="0"/>
        <v>0</v>
      </c>
      <c r="K7" s="45"/>
      <c r="L7" s="34">
        <f t="shared" si="1"/>
        <v>0</v>
      </c>
      <c r="M7" s="34">
        <v>0</v>
      </c>
      <c r="N7" s="38">
        <f t="shared" si="2"/>
        <v>0</v>
      </c>
      <c r="O7" s="28" t="s">
        <v>48</v>
      </c>
      <c r="P7" s="39" t="s">
        <v>49</v>
      </c>
    </row>
    <row r="8" spans="1:16" ht="15" customHeight="1" x14ac:dyDescent="0.25">
      <c r="A8" s="23"/>
      <c r="B8" s="47"/>
      <c r="C8" s="42"/>
      <c r="D8" s="42"/>
      <c r="E8" s="42"/>
      <c r="F8" s="27"/>
      <c r="G8" s="42"/>
      <c r="H8" s="42"/>
      <c r="I8" s="42"/>
      <c r="J8" s="34">
        <f t="shared" si="0"/>
        <v>0</v>
      </c>
      <c r="K8" s="45"/>
      <c r="L8" s="34">
        <f t="shared" si="1"/>
        <v>0</v>
      </c>
      <c r="M8" s="34">
        <v>0</v>
      </c>
      <c r="N8" s="38">
        <f t="shared" si="2"/>
        <v>0</v>
      </c>
      <c r="O8" s="28" t="s">
        <v>48</v>
      </c>
      <c r="P8" s="39" t="s">
        <v>49</v>
      </c>
    </row>
    <row r="9" spans="1:16" ht="15" customHeight="1" x14ac:dyDescent="0.25">
      <c r="A9" s="23"/>
      <c r="B9" s="26"/>
      <c r="C9" s="42"/>
      <c r="D9" s="42"/>
      <c r="E9" s="42"/>
      <c r="F9" s="42"/>
      <c r="G9" s="42"/>
      <c r="H9" s="42"/>
      <c r="I9" s="42"/>
      <c r="J9" s="34">
        <f t="shared" si="0"/>
        <v>0</v>
      </c>
      <c r="K9" s="45"/>
      <c r="L9" s="34">
        <f t="shared" si="1"/>
        <v>0</v>
      </c>
      <c r="M9" s="34">
        <v>0</v>
      </c>
      <c r="N9" s="38">
        <f t="shared" si="2"/>
        <v>0</v>
      </c>
      <c r="O9" s="28" t="s">
        <v>48</v>
      </c>
      <c r="P9" s="39" t="s">
        <v>49</v>
      </c>
    </row>
    <row r="10" spans="1:16" ht="15" customHeight="1" x14ac:dyDescent="0.25">
      <c r="A10" s="23"/>
      <c r="B10" s="47"/>
      <c r="C10" s="42"/>
      <c r="D10" s="42"/>
      <c r="E10" s="42"/>
      <c r="F10" s="42"/>
      <c r="G10" s="42"/>
      <c r="H10" s="42"/>
      <c r="I10" s="42"/>
      <c r="J10" s="34">
        <f t="shared" si="0"/>
        <v>0</v>
      </c>
      <c r="K10" s="45"/>
      <c r="L10" s="34">
        <f t="shared" si="1"/>
        <v>0</v>
      </c>
      <c r="M10" s="34">
        <v>0</v>
      </c>
      <c r="N10" s="38">
        <f t="shared" si="2"/>
        <v>0</v>
      </c>
      <c r="O10" s="28" t="s">
        <v>48</v>
      </c>
      <c r="P10" s="39" t="s">
        <v>49</v>
      </c>
    </row>
    <row r="11" spans="1:16" ht="15" customHeight="1" x14ac:dyDescent="0.25">
      <c r="A11" s="52"/>
      <c r="B11" s="53" t="s">
        <v>74</v>
      </c>
      <c r="C11" s="54">
        <f t="shared" ref="C11:I11" si="3">SUM(C3)</f>
        <v>0</v>
      </c>
      <c r="D11" s="54">
        <f t="shared" si="3"/>
        <v>0</v>
      </c>
      <c r="E11" s="54">
        <f t="shared" si="3"/>
        <v>0</v>
      </c>
      <c r="F11" s="54">
        <f t="shared" si="3"/>
        <v>0</v>
      </c>
      <c r="G11" s="54">
        <f t="shared" si="3"/>
        <v>0</v>
      </c>
      <c r="H11" s="54">
        <f t="shared" si="3"/>
        <v>0</v>
      </c>
      <c r="I11" s="54">
        <f t="shared" si="3"/>
        <v>0</v>
      </c>
      <c r="J11" s="54">
        <f>SUM(J3:J10)</f>
        <v>0</v>
      </c>
      <c r="K11" s="54">
        <f>SUM(K3)</f>
        <v>0</v>
      </c>
      <c r="L11" s="54">
        <f t="shared" ref="L11:M11" si="4">SUM(L3:L10)</f>
        <v>0</v>
      </c>
      <c r="M11" s="54">
        <f t="shared" si="4"/>
        <v>0</v>
      </c>
      <c r="N11" s="55">
        <f t="shared" si="2"/>
        <v>0</v>
      </c>
      <c r="O11" s="28" t="s">
        <v>48</v>
      </c>
      <c r="P11" s="39" t="s">
        <v>49</v>
      </c>
    </row>
    <row r="12" spans="1:16" ht="15" customHeight="1" x14ac:dyDescent="0.25">
      <c r="A12" s="18"/>
      <c r="B12" s="56" t="s">
        <v>90</v>
      </c>
      <c r="C12" s="58"/>
      <c r="D12" s="58"/>
      <c r="E12" s="58"/>
      <c r="F12" s="58"/>
      <c r="G12" s="58"/>
      <c r="H12" s="58"/>
      <c r="I12" s="58"/>
      <c r="J12" s="60"/>
      <c r="K12" s="60"/>
      <c r="L12" s="60"/>
      <c r="M12" s="58"/>
      <c r="N12" s="58"/>
      <c r="O12" s="18"/>
      <c r="P12" s="18"/>
    </row>
    <row r="13" spans="1:16" ht="15" customHeight="1" x14ac:dyDescent="0.25">
      <c r="A13" s="6" t="s">
        <v>1</v>
      </c>
      <c r="B13" s="8" t="s">
        <v>3</v>
      </c>
      <c r="C13" s="6" t="s">
        <v>4</v>
      </c>
      <c r="D13" s="6" t="s">
        <v>6</v>
      </c>
      <c r="E13" s="6" t="s">
        <v>7</v>
      </c>
      <c r="F13" s="6" t="s">
        <v>8</v>
      </c>
      <c r="G13" s="6" t="s">
        <v>10</v>
      </c>
      <c r="H13" s="6" t="s">
        <v>12</v>
      </c>
      <c r="I13" s="6" t="s">
        <v>14</v>
      </c>
      <c r="J13" s="6" t="s">
        <v>16</v>
      </c>
      <c r="K13" s="6" t="s">
        <v>17</v>
      </c>
      <c r="L13" s="6" t="s">
        <v>19</v>
      </c>
      <c r="M13" s="6" t="s">
        <v>20</v>
      </c>
      <c r="N13" s="6" t="s">
        <v>21</v>
      </c>
      <c r="O13" s="6" t="s">
        <v>22</v>
      </c>
      <c r="P13" s="6" t="s">
        <v>23</v>
      </c>
    </row>
    <row r="14" spans="1:16" ht="15" customHeight="1" x14ac:dyDescent="0.25">
      <c r="A14" s="62"/>
      <c r="B14" s="64"/>
      <c r="C14" s="27"/>
      <c r="D14" s="27"/>
      <c r="E14" s="27"/>
      <c r="F14" s="27"/>
      <c r="G14" s="27"/>
      <c r="H14" s="27"/>
      <c r="I14" s="27"/>
      <c r="J14" s="34">
        <f t="shared" ref="J14:J18" si="5">SUM(C14:I14)</f>
        <v>0</v>
      </c>
      <c r="K14" s="34"/>
      <c r="L14" s="34">
        <f t="shared" ref="L14:L18" si="6">J14-K14</f>
        <v>0</v>
      </c>
      <c r="M14" s="34">
        <v>0</v>
      </c>
      <c r="N14" s="38">
        <f t="shared" ref="N14:N19" si="7">J14-M14</f>
        <v>0</v>
      </c>
      <c r="O14" s="28" t="s">
        <v>48</v>
      </c>
      <c r="P14" s="39" t="s">
        <v>49</v>
      </c>
    </row>
    <row r="15" spans="1:16" ht="15" customHeight="1" x14ac:dyDescent="0.25">
      <c r="A15" s="62"/>
      <c r="B15" s="68"/>
      <c r="C15" s="27"/>
      <c r="D15" s="27"/>
      <c r="E15" s="27"/>
      <c r="F15" s="27"/>
      <c r="G15" s="27"/>
      <c r="H15" s="27"/>
      <c r="I15" s="27"/>
      <c r="J15" s="34">
        <f t="shared" si="5"/>
        <v>0</v>
      </c>
      <c r="K15" s="34"/>
      <c r="L15" s="34">
        <f t="shared" si="6"/>
        <v>0</v>
      </c>
      <c r="M15" s="34">
        <v>0</v>
      </c>
      <c r="N15" s="38">
        <f t="shared" si="7"/>
        <v>0</v>
      </c>
      <c r="O15" s="28" t="s">
        <v>48</v>
      </c>
      <c r="P15" s="39" t="s">
        <v>49</v>
      </c>
    </row>
    <row r="16" spans="1:16" ht="15" customHeight="1" x14ac:dyDescent="0.25">
      <c r="A16" s="62"/>
      <c r="B16" s="64"/>
      <c r="C16" s="27"/>
      <c r="D16" s="27"/>
      <c r="E16" s="27"/>
      <c r="F16" s="27"/>
      <c r="G16" s="27"/>
      <c r="H16" s="27"/>
      <c r="I16" s="27"/>
      <c r="J16" s="34">
        <f t="shared" si="5"/>
        <v>0</v>
      </c>
      <c r="K16" s="34"/>
      <c r="L16" s="34">
        <f t="shared" si="6"/>
        <v>0</v>
      </c>
      <c r="M16" s="34">
        <v>0</v>
      </c>
      <c r="N16" s="38">
        <f t="shared" si="7"/>
        <v>0</v>
      </c>
      <c r="O16" s="28" t="s">
        <v>48</v>
      </c>
      <c r="P16" s="39" t="s">
        <v>49</v>
      </c>
    </row>
    <row r="17" spans="1:16" ht="15" customHeight="1" x14ac:dyDescent="0.25">
      <c r="A17" s="62"/>
      <c r="B17" s="64"/>
      <c r="C17" s="27"/>
      <c r="D17" s="27"/>
      <c r="E17" s="27"/>
      <c r="F17" s="27"/>
      <c r="G17" s="27"/>
      <c r="H17" s="27"/>
      <c r="I17" s="27"/>
      <c r="J17" s="34">
        <f t="shared" si="5"/>
        <v>0</v>
      </c>
      <c r="K17" s="34"/>
      <c r="L17" s="34">
        <f t="shared" si="6"/>
        <v>0</v>
      </c>
      <c r="M17" s="34">
        <v>0</v>
      </c>
      <c r="N17" s="38">
        <f t="shared" si="7"/>
        <v>0</v>
      </c>
      <c r="O17" s="28" t="s">
        <v>48</v>
      </c>
      <c r="P17" s="39" t="s">
        <v>49</v>
      </c>
    </row>
    <row r="18" spans="1:16" ht="15" customHeight="1" x14ac:dyDescent="0.25">
      <c r="A18" s="62"/>
      <c r="B18" s="74"/>
      <c r="C18" s="27"/>
      <c r="D18" s="27"/>
      <c r="E18" s="27"/>
      <c r="F18" s="27"/>
      <c r="G18" s="27"/>
      <c r="H18" s="27"/>
      <c r="I18" s="27"/>
      <c r="J18" s="34">
        <f t="shared" si="5"/>
        <v>0</v>
      </c>
      <c r="K18" s="34"/>
      <c r="L18" s="34">
        <f t="shared" si="6"/>
        <v>0</v>
      </c>
      <c r="M18" s="34">
        <v>0</v>
      </c>
      <c r="N18" s="38">
        <f t="shared" si="7"/>
        <v>0</v>
      </c>
      <c r="O18" s="28" t="s">
        <v>48</v>
      </c>
      <c r="P18" s="39" t="s">
        <v>49</v>
      </c>
    </row>
    <row r="19" spans="1:16" ht="15" customHeight="1" x14ac:dyDescent="0.25">
      <c r="A19" s="62"/>
      <c r="B19" s="53" t="s">
        <v>74</v>
      </c>
      <c r="C19" s="54">
        <f t="shared" ref="C19:M19" si="8">SUM(C14:C17)</f>
        <v>0</v>
      </c>
      <c r="D19" s="54">
        <f t="shared" si="8"/>
        <v>0</v>
      </c>
      <c r="E19" s="54">
        <f t="shared" si="8"/>
        <v>0</v>
      </c>
      <c r="F19" s="54">
        <f t="shared" si="8"/>
        <v>0</v>
      </c>
      <c r="G19" s="54">
        <f t="shared" si="8"/>
        <v>0</v>
      </c>
      <c r="H19" s="54">
        <f t="shared" si="8"/>
        <v>0</v>
      </c>
      <c r="I19" s="54">
        <f t="shared" si="8"/>
        <v>0</v>
      </c>
      <c r="J19" s="54">
        <f t="shared" si="8"/>
        <v>0</v>
      </c>
      <c r="K19" s="54">
        <f t="shared" si="8"/>
        <v>0</v>
      </c>
      <c r="L19" s="54">
        <f t="shared" si="8"/>
        <v>0</v>
      </c>
      <c r="M19" s="54">
        <f t="shared" si="8"/>
        <v>0</v>
      </c>
      <c r="N19" s="38">
        <f t="shared" si="7"/>
        <v>0</v>
      </c>
      <c r="O19" s="28" t="s">
        <v>48</v>
      </c>
      <c r="P19" s="39" t="s">
        <v>49</v>
      </c>
    </row>
    <row r="20" spans="1:16" ht="15" customHeight="1" x14ac:dyDescent="0.25">
      <c r="A20" s="18"/>
      <c r="B20" s="78" t="s">
        <v>93</v>
      </c>
      <c r="C20" s="18"/>
      <c r="D20" s="18"/>
      <c r="E20" s="18"/>
      <c r="F20" s="18"/>
      <c r="G20" s="18"/>
      <c r="H20" s="18"/>
      <c r="I20" s="18"/>
      <c r="J20" s="6"/>
      <c r="K20" s="6"/>
      <c r="L20" s="6"/>
      <c r="M20" s="18"/>
      <c r="N20" s="18"/>
      <c r="O20" s="18"/>
      <c r="P20" s="18"/>
    </row>
    <row r="21" spans="1:16" ht="15" customHeight="1" x14ac:dyDescent="0.25">
      <c r="A21" s="6" t="s">
        <v>1</v>
      </c>
      <c r="B21" s="8" t="s">
        <v>3</v>
      </c>
      <c r="C21" s="6" t="s">
        <v>4</v>
      </c>
      <c r="D21" s="6" t="s">
        <v>6</v>
      </c>
      <c r="E21" s="6" t="s">
        <v>7</v>
      </c>
      <c r="F21" s="6" t="s">
        <v>8</v>
      </c>
      <c r="G21" s="6" t="s">
        <v>10</v>
      </c>
      <c r="H21" s="6" t="s">
        <v>12</v>
      </c>
      <c r="I21" s="6" t="s">
        <v>14</v>
      </c>
      <c r="J21" s="6" t="s">
        <v>16</v>
      </c>
      <c r="K21" s="6" t="s">
        <v>17</v>
      </c>
      <c r="L21" s="6" t="s">
        <v>19</v>
      </c>
      <c r="M21" s="6" t="s">
        <v>20</v>
      </c>
      <c r="N21" s="6" t="s">
        <v>21</v>
      </c>
      <c r="O21" s="6" t="s">
        <v>22</v>
      </c>
      <c r="P21" s="6" t="s">
        <v>23</v>
      </c>
    </row>
    <row r="22" spans="1:16" ht="15" customHeight="1" x14ac:dyDescent="0.25">
      <c r="A22" s="62"/>
      <c r="B22" s="74"/>
      <c r="C22" s="27"/>
      <c r="D22" s="27"/>
      <c r="E22" s="27"/>
      <c r="F22" s="27"/>
      <c r="G22" s="27"/>
      <c r="H22" s="27"/>
      <c r="I22" s="27"/>
      <c r="J22" s="34">
        <f t="shared" ref="J22:J24" si="9">SUM(C22:I22)</f>
        <v>0</v>
      </c>
      <c r="K22" s="34"/>
      <c r="L22" s="34">
        <f t="shared" ref="L22:L24" si="10">J22-K22</f>
        <v>0</v>
      </c>
      <c r="M22" s="34">
        <v>0</v>
      </c>
      <c r="N22" s="38">
        <f t="shared" ref="N22:N25" si="11">J22-M22</f>
        <v>0</v>
      </c>
      <c r="O22" s="28" t="s">
        <v>48</v>
      </c>
      <c r="P22" s="39" t="s">
        <v>49</v>
      </c>
    </row>
    <row r="23" spans="1:16" ht="15" customHeight="1" x14ac:dyDescent="0.25">
      <c r="A23" s="62"/>
      <c r="B23" s="64"/>
      <c r="C23" s="27"/>
      <c r="D23" s="27"/>
      <c r="E23" s="27"/>
      <c r="F23" s="27"/>
      <c r="G23" s="27"/>
      <c r="H23" s="27"/>
      <c r="I23" s="27"/>
      <c r="J23" s="34">
        <f t="shared" si="9"/>
        <v>0</v>
      </c>
      <c r="K23" s="34"/>
      <c r="L23" s="34">
        <f t="shared" si="10"/>
        <v>0</v>
      </c>
      <c r="M23" s="34">
        <v>0</v>
      </c>
      <c r="N23" s="38">
        <f t="shared" si="11"/>
        <v>0</v>
      </c>
      <c r="O23" s="28" t="s">
        <v>48</v>
      </c>
      <c r="P23" s="39" t="s">
        <v>49</v>
      </c>
    </row>
    <row r="24" spans="1:16" ht="15" customHeight="1" x14ac:dyDescent="0.25">
      <c r="A24" s="62"/>
      <c r="B24" s="64"/>
      <c r="C24" s="27"/>
      <c r="D24" s="27"/>
      <c r="E24" s="27"/>
      <c r="F24" s="27"/>
      <c r="G24" s="27"/>
      <c r="H24" s="27"/>
      <c r="I24" s="27"/>
      <c r="J24" s="34">
        <f t="shared" si="9"/>
        <v>0</v>
      </c>
      <c r="K24" s="34"/>
      <c r="L24" s="34">
        <f t="shared" si="10"/>
        <v>0</v>
      </c>
      <c r="M24" s="34">
        <v>0</v>
      </c>
      <c r="N24" s="38">
        <f t="shared" si="11"/>
        <v>0</v>
      </c>
      <c r="O24" s="28" t="s">
        <v>48</v>
      </c>
      <c r="P24" s="39" t="s">
        <v>49</v>
      </c>
    </row>
    <row r="25" spans="1:16" ht="15" customHeight="1" x14ac:dyDescent="0.25">
      <c r="A25" s="62"/>
      <c r="B25" s="53" t="s">
        <v>74</v>
      </c>
      <c r="C25" s="54">
        <f t="shared" ref="C25:M25" si="12">SUM(C22:C23)</f>
        <v>0</v>
      </c>
      <c r="D25" s="54">
        <f t="shared" si="12"/>
        <v>0</v>
      </c>
      <c r="E25" s="54">
        <f t="shared" si="12"/>
        <v>0</v>
      </c>
      <c r="F25" s="54">
        <f t="shared" si="12"/>
        <v>0</v>
      </c>
      <c r="G25" s="54">
        <f t="shared" si="12"/>
        <v>0</v>
      </c>
      <c r="H25" s="54">
        <f t="shared" si="12"/>
        <v>0</v>
      </c>
      <c r="I25" s="54">
        <f t="shared" si="12"/>
        <v>0</v>
      </c>
      <c r="J25" s="54">
        <f t="shared" si="12"/>
        <v>0</v>
      </c>
      <c r="K25" s="54">
        <f t="shared" si="12"/>
        <v>0</v>
      </c>
      <c r="L25" s="54">
        <f t="shared" si="12"/>
        <v>0</v>
      </c>
      <c r="M25" s="54">
        <f t="shared" si="12"/>
        <v>0</v>
      </c>
      <c r="N25" s="38">
        <f t="shared" si="11"/>
        <v>0</v>
      </c>
      <c r="O25" s="28" t="s">
        <v>48</v>
      </c>
      <c r="P25" s="39" t="s">
        <v>49</v>
      </c>
    </row>
    <row r="26" spans="1:16" ht="15" customHeight="1" x14ac:dyDescent="0.25">
      <c r="A26" s="18"/>
      <c r="B26" s="12" t="s">
        <v>97</v>
      </c>
      <c r="C26" s="18"/>
      <c r="D26" s="18"/>
      <c r="E26" s="18"/>
      <c r="F26" s="18"/>
      <c r="G26" s="18"/>
      <c r="H26" s="18"/>
      <c r="I26" s="18"/>
      <c r="J26" s="6"/>
      <c r="K26" s="6"/>
      <c r="L26" s="6"/>
      <c r="M26" s="18"/>
      <c r="N26" s="18"/>
      <c r="O26" s="86"/>
      <c r="P26" s="86"/>
    </row>
    <row r="27" spans="1:16" ht="15" customHeight="1" x14ac:dyDescent="0.25">
      <c r="A27" s="87"/>
      <c r="B27" s="68"/>
      <c r="C27" s="27"/>
      <c r="D27" s="27"/>
      <c r="E27" s="27"/>
      <c r="F27" s="27"/>
      <c r="G27" s="27"/>
      <c r="H27" s="27"/>
      <c r="I27" s="27"/>
      <c r="J27" s="34">
        <f t="shared" ref="J27:J30" si="13">SUM(C27:I27)</f>
        <v>0</v>
      </c>
      <c r="K27" s="34"/>
      <c r="L27" s="34">
        <f t="shared" ref="L27:L30" si="14">J27-K27</f>
        <v>0</v>
      </c>
      <c r="M27" s="27">
        <v>0</v>
      </c>
      <c r="N27" s="38">
        <f t="shared" ref="N27:N31" si="15">J27-M27</f>
        <v>0</v>
      </c>
      <c r="O27" s="28" t="s">
        <v>48</v>
      </c>
      <c r="P27" s="39" t="s">
        <v>49</v>
      </c>
    </row>
    <row r="28" spans="1:16" ht="15" customHeight="1" x14ac:dyDescent="0.25">
      <c r="A28" s="87"/>
      <c r="B28" s="68"/>
      <c r="C28" s="27"/>
      <c r="D28" s="27"/>
      <c r="E28" s="27"/>
      <c r="F28" s="27"/>
      <c r="G28" s="27"/>
      <c r="H28" s="27"/>
      <c r="I28" s="27"/>
      <c r="J28" s="34">
        <f t="shared" si="13"/>
        <v>0</v>
      </c>
      <c r="K28" s="34"/>
      <c r="L28" s="34">
        <f t="shared" si="14"/>
        <v>0</v>
      </c>
      <c r="M28" s="27">
        <v>0</v>
      </c>
      <c r="N28" s="38">
        <f t="shared" si="15"/>
        <v>0</v>
      </c>
      <c r="O28" s="28" t="s">
        <v>48</v>
      </c>
      <c r="P28" s="39" t="s">
        <v>49</v>
      </c>
    </row>
    <row r="29" spans="1:16" ht="15" customHeight="1" x14ac:dyDescent="0.25">
      <c r="A29" s="87"/>
      <c r="B29" s="68"/>
      <c r="C29" s="27"/>
      <c r="D29" s="27"/>
      <c r="E29" s="27"/>
      <c r="F29" s="27"/>
      <c r="G29" s="27"/>
      <c r="H29" s="27"/>
      <c r="I29" s="27"/>
      <c r="J29" s="34">
        <f t="shared" si="13"/>
        <v>0</v>
      </c>
      <c r="K29" s="34"/>
      <c r="L29" s="34">
        <f t="shared" si="14"/>
        <v>0</v>
      </c>
      <c r="M29" s="27">
        <v>0</v>
      </c>
      <c r="N29" s="38">
        <f t="shared" si="15"/>
        <v>0</v>
      </c>
      <c r="O29" s="28" t="s">
        <v>48</v>
      </c>
      <c r="P29" s="39" t="s">
        <v>49</v>
      </c>
    </row>
    <row r="30" spans="1:16" ht="15" customHeight="1" x14ac:dyDescent="0.25">
      <c r="A30" s="87"/>
      <c r="B30" s="68"/>
      <c r="C30" s="27"/>
      <c r="D30" s="27"/>
      <c r="E30" s="27"/>
      <c r="F30" s="27"/>
      <c r="G30" s="27"/>
      <c r="H30" s="27"/>
      <c r="I30" s="27"/>
      <c r="J30" s="34">
        <f t="shared" si="13"/>
        <v>0</v>
      </c>
      <c r="K30" s="34"/>
      <c r="L30" s="34">
        <f t="shared" si="14"/>
        <v>0</v>
      </c>
      <c r="M30" s="27">
        <v>0</v>
      </c>
      <c r="N30" s="38">
        <f t="shared" si="15"/>
        <v>0</v>
      </c>
      <c r="O30" s="28" t="s">
        <v>48</v>
      </c>
      <c r="P30" s="39" t="s">
        <v>49</v>
      </c>
    </row>
    <row r="31" spans="1:16" ht="15" customHeight="1" x14ac:dyDescent="0.25">
      <c r="A31" s="88"/>
      <c r="B31" s="6" t="s">
        <v>74</v>
      </c>
      <c r="C31" s="6">
        <f t="shared" ref="C31:H31" si="16">SUM(C11,C19,C25)</f>
        <v>0</v>
      </c>
      <c r="D31" s="6">
        <f t="shared" si="16"/>
        <v>0</v>
      </c>
      <c r="E31" s="6">
        <f t="shared" si="16"/>
        <v>0</v>
      </c>
      <c r="F31" s="6">
        <f t="shared" si="16"/>
        <v>0</v>
      </c>
      <c r="G31" s="6">
        <f t="shared" si="16"/>
        <v>0</v>
      </c>
      <c r="H31" s="6">
        <f t="shared" si="16"/>
        <v>0</v>
      </c>
      <c r="I31" s="6"/>
      <c r="J31" s="6">
        <f t="shared" ref="J31:M31" si="17">SUM(J11,J19,J25)</f>
        <v>0</v>
      </c>
      <c r="K31" s="6">
        <f t="shared" si="17"/>
        <v>0</v>
      </c>
      <c r="L31" s="6">
        <f t="shared" si="17"/>
        <v>0</v>
      </c>
      <c r="M31" s="6">
        <f t="shared" si="17"/>
        <v>0</v>
      </c>
      <c r="N31" s="38">
        <f t="shared" si="15"/>
        <v>0</v>
      </c>
      <c r="O31" s="28"/>
      <c r="P31" s="39"/>
    </row>
    <row r="32" spans="1:16" ht="15" customHeight="1" x14ac:dyDescent="0.25">
      <c r="A32" s="28"/>
      <c r="B32" s="41" t="s">
        <v>20</v>
      </c>
      <c r="C32" s="28">
        <v>0</v>
      </c>
      <c r="D32" s="28">
        <v>0</v>
      </c>
      <c r="E32" s="27">
        <v>0</v>
      </c>
      <c r="F32" s="28">
        <v>0</v>
      </c>
      <c r="G32" s="28">
        <v>0</v>
      </c>
      <c r="H32" s="28">
        <v>0</v>
      </c>
      <c r="I32" s="28"/>
      <c r="J32" s="28">
        <v>0</v>
      </c>
      <c r="K32" s="89"/>
      <c r="L32" s="89"/>
      <c r="M32" s="89"/>
      <c r="N32" s="90"/>
      <c r="O32" s="90"/>
      <c r="P32" s="7"/>
    </row>
    <row r="33" spans="1:16" ht="15" customHeight="1" x14ac:dyDescent="0.25">
      <c r="A33" s="89"/>
      <c r="B33" s="41" t="s">
        <v>21</v>
      </c>
      <c r="C33" s="28">
        <f t="shared" ref="C33:H33" si="18">C31-C32</f>
        <v>0</v>
      </c>
      <c r="D33" s="28">
        <f t="shared" si="18"/>
        <v>0</v>
      </c>
      <c r="E33" s="28">
        <f t="shared" si="18"/>
        <v>0</v>
      </c>
      <c r="F33" s="28">
        <f t="shared" si="18"/>
        <v>0</v>
      </c>
      <c r="G33" s="28">
        <f t="shared" si="18"/>
        <v>0</v>
      </c>
      <c r="H33" s="28">
        <f t="shared" si="18"/>
        <v>0</v>
      </c>
      <c r="I33" s="28"/>
      <c r="J33" s="28">
        <f>J31-J32</f>
        <v>0</v>
      </c>
      <c r="K33" s="89"/>
      <c r="L33" s="89"/>
      <c r="M33" s="7"/>
      <c r="N33" s="89"/>
      <c r="O33" s="89"/>
      <c r="P33" s="7"/>
    </row>
    <row r="34" spans="1:16" ht="15" customHeight="1" x14ac:dyDescent="0.25">
      <c r="F34" s="89"/>
    </row>
    <row r="35" spans="1:16" ht="15.75" customHeight="1" x14ac:dyDescent="0.25"/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O2"/>
  </mergeCells>
  <conditionalFormatting sqref="N3:N12 N14:N20 N22:N31 C33:L33">
    <cfRule type="cellIs" dxfId="7" priority="1" operator="equal">
      <formula>0</formula>
    </cfRule>
    <cfRule type="cellIs" dxfId="6" priority="2" operator="greaterThan">
      <formula>0</formula>
    </cfRule>
    <cfRule type="cellIs" dxfId="5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10.140625" customWidth="1"/>
    <col min="2" max="2" width="38" customWidth="1"/>
    <col min="3" max="3" width="8.85546875" customWidth="1"/>
    <col min="4" max="4" width="9.5703125" customWidth="1"/>
    <col min="5" max="5" width="12.5703125" customWidth="1"/>
    <col min="6" max="6" width="8.140625" customWidth="1"/>
    <col min="7" max="7" width="7.5703125" customWidth="1"/>
    <col min="8" max="8" width="13.42578125" customWidth="1"/>
    <col min="9" max="9" width="10.140625" customWidth="1"/>
    <col min="10" max="10" width="12.140625" customWidth="1"/>
    <col min="11" max="11" width="11.42578125" customWidth="1"/>
    <col min="12" max="12" width="11.7109375" customWidth="1"/>
    <col min="13" max="13" width="8.85546875" customWidth="1"/>
    <col min="14" max="25" width="9.140625" customWidth="1"/>
  </cols>
  <sheetData>
    <row r="1" spans="1:25" ht="15" customHeight="1" x14ac:dyDescent="0.25">
      <c r="A1" s="6" t="s">
        <v>1</v>
      </c>
      <c r="B1" s="8" t="s">
        <v>3</v>
      </c>
      <c r="C1" s="6" t="s">
        <v>4</v>
      </c>
      <c r="D1" s="6" t="s">
        <v>6</v>
      </c>
      <c r="E1" s="6" t="s">
        <v>7</v>
      </c>
      <c r="F1" s="6" t="s">
        <v>8</v>
      </c>
      <c r="G1" s="6" t="s">
        <v>10</v>
      </c>
      <c r="H1" s="6" t="s">
        <v>16</v>
      </c>
      <c r="I1" s="6" t="s">
        <v>17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" customHeight="1" x14ac:dyDescent="0.25">
      <c r="A2" s="257" t="s">
        <v>24</v>
      </c>
      <c r="B2" s="250"/>
      <c r="C2" s="250"/>
      <c r="D2" s="250"/>
      <c r="E2" s="250"/>
      <c r="F2" s="250"/>
      <c r="G2" s="250"/>
      <c r="H2" s="250"/>
      <c r="I2" s="250"/>
      <c r="J2" s="250"/>
      <c r="K2" s="250"/>
      <c r="L2" s="250"/>
      <c r="M2" s="251"/>
      <c r="N2" s="18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 x14ac:dyDescent="0.25">
      <c r="A3" s="23">
        <v>1290</v>
      </c>
      <c r="B3" s="26" t="s">
        <v>113</v>
      </c>
      <c r="C3" s="27">
        <f t="array" ref="C3">IFERROR(_xlfn.XLOOKUP($A3,Commercial!$A:$A,Commercial!$F:$F,0,0),0)</f>
        <v>0</v>
      </c>
      <c r="D3" s="27">
        <f t="array" ref="D3">IFERROR(_xlfn.XLOOKUP($A3,Commercial!$A:$A,Commercial!$L:$L,0,0),0)</f>
        <v>0</v>
      </c>
      <c r="E3" s="27">
        <f t="array" ref="E3">IFERROR(_xlfn.XLOOKUP($A3,Commercial!$A:$A,Commercial!$R:$R,0,0),0)</f>
        <v>0</v>
      </c>
      <c r="F3" s="27">
        <f t="array" ref="F3">IFERROR(_xlfn.XLOOKUP($A3,Commercial!$A:$A,Commercial!$X:$X,0,0),0)</f>
        <v>0</v>
      </c>
      <c r="G3" s="27">
        <f t="array" ref="G3">IFERROR(_xlfn.XLOOKUP($A3,Commercial!$A:$A,Commercial!$AD:$AD,0,0),0)</f>
        <v>0</v>
      </c>
      <c r="H3" s="34">
        <f t="shared" ref="H3:H17" si="0">SUM(C3:G3)</f>
        <v>0</v>
      </c>
      <c r="I3" s="34"/>
      <c r="J3" s="34">
        <f t="shared" ref="J3:J16" si="1">H3-I3</f>
        <v>0</v>
      </c>
      <c r="K3" s="34">
        <v>0</v>
      </c>
      <c r="L3" s="38">
        <f t="shared" ref="L3:L16" si="2">H3-K3</f>
        <v>0</v>
      </c>
      <c r="M3" s="28" t="s">
        <v>48</v>
      </c>
      <c r="N3" s="39" t="s">
        <v>49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 x14ac:dyDescent="0.25">
      <c r="A4" s="23">
        <v>1301</v>
      </c>
      <c r="B4" s="26" t="s">
        <v>80</v>
      </c>
      <c r="C4" s="27">
        <f t="array" ref="C4">IFERROR(_xlfn.XLOOKUP($A4,Commercial!$A:$A,Commercial!$F:$F,0,0),0)</f>
        <v>0</v>
      </c>
      <c r="D4" s="27">
        <f t="array" ref="D4">IFERROR(_xlfn.XLOOKUP($A4,Commercial!$A:$A,Commercial!$L:$L,0,0),0)</f>
        <v>0</v>
      </c>
      <c r="E4" s="27">
        <f t="array" ref="E4">IFERROR(_xlfn.XLOOKUP($A4,Commercial!$A:$A,Commercial!$R:$R,0,0),0)</f>
        <v>0</v>
      </c>
      <c r="F4" s="27">
        <f t="array" ref="F4">IFERROR(_xlfn.XLOOKUP($A4,Commercial!$A:$A,Commercial!$X:$X,0,0),0)</f>
        <v>0</v>
      </c>
      <c r="G4" s="27">
        <f t="array" ref="G4">IFERROR(_xlfn.XLOOKUP($A4,Commercial!$A:$A,Commercial!$AD:$AD,0,0),0)</f>
        <v>0</v>
      </c>
      <c r="H4" s="34">
        <f t="shared" si="0"/>
        <v>0</v>
      </c>
      <c r="I4" s="34"/>
      <c r="J4" s="34">
        <f t="shared" si="1"/>
        <v>0</v>
      </c>
      <c r="K4" s="34">
        <v>0</v>
      </c>
      <c r="L4" s="38">
        <f t="shared" si="2"/>
        <v>0</v>
      </c>
      <c r="M4" s="28" t="s">
        <v>48</v>
      </c>
      <c r="N4" s="39" t="s">
        <v>49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 x14ac:dyDescent="0.25">
      <c r="A5" s="23">
        <v>1288</v>
      </c>
      <c r="B5" s="47" t="s">
        <v>102</v>
      </c>
      <c r="C5" s="42">
        <f t="array" ref="C5">IFERROR(_xlfn.XLOOKUP($A5,Commercial!$A:$A,Commercial!$F:$F,0,0),0)</f>
        <v>0</v>
      </c>
      <c r="D5" s="42">
        <f t="array" ref="D5">IFERROR(_xlfn.XLOOKUP($A5,Commercial!$A:$A,Commercial!$L:$L,0,0),0)</f>
        <v>0</v>
      </c>
      <c r="E5" s="42">
        <f t="array" ref="E5">IFERROR(_xlfn.XLOOKUP($A5,Commercial!$A:$A,Commercial!$R:$R,0,0),0)</f>
        <v>0</v>
      </c>
      <c r="F5" s="42">
        <f t="array" ref="F5">IFERROR(_xlfn.XLOOKUP($A5,Commercial!$A:$A,Commercial!$X:$X,0,0),0)</f>
        <v>0</v>
      </c>
      <c r="G5" s="42">
        <f t="array" ref="G5">IFERROR(_xlfn.XLOOKUP($A5,Commercial!$A:$A,Commercial!$AD:$AD,0,0),0)</f>
        <v>0</v>
      </c>
      <c r="H5" s="34">
        <f t="shared" si="0"/>
        <v>0</v>
      </c>
      <c r="I5" s="45"/>
      <c r="J5" s="34">
        <f t="shared" si="1"/>
        <v>0</v>
      </c>
      <c r="K5" s="34">
        <v>0</v>
      </c>
      <c r="L5" s="38">
        <f t="shared" si="2"/>
        <v>0</v>
      </c>
      <c r="M5" s="28" t="s">
        <v>48</v>
      </c>
      <c r="N5" s="39" t="s">
        <v>49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 x14ac:dyDescent="0.25">
      <c r="A6" s="23">
        <v>1280</v>
      </c>
      <c r="B6" s="47" t="s">
        <v>108</v>
      </c>
      <c r="C6" s="42">
        <f t="array" ref="C6">IFERROR(_xlfn.XLOOKUP($A6,Commercial!$A:$A,Commercial!$F:$F,0,0),0)</f>
        <v>0</v>
      </c>
      <c r="D6" s="42">
        <f t="array" ref="D6">IFERROR(_xlfn.XLOOKUP($A6,Commercial!$A:$A,Commercial!$L:$L,0,0),0)</f>
        <v>0</v>
      </c>
      <c r="E6" s="42">
        <f t="array" ref="E6">IFERROR(_xlfn.XLOOKUP($A6,Commercial!$A:$A,Commercial!$R:$R,0,0),0)</f>
        <v>0</v>
      </c>
      <c r="F6" s="42">
        <f t="array" ref="F6">IFERROR(_xlfn.XLOOKUP($A6,Commercial!$A:$A,Commercial!$X:$X,0,0),0)</f>
        <v>0</v>
      </c>
      <c r="G6" s="42">
        <f t="array" ref="G6">IFERROR(_xlfn.XLOOKUP($A6,Commercial!$A:$A,Commercial!$AD:$AD,0,0),0)</f>
        <v>0</v>
      </c>
      <c r="H6" s="34">
        <f t="shared" si="0"/>
        <v>0</v>
      </c>
      <c r="I6" s="45"/>
      <c r="J6" s="34">
        <f t="shared" si="1"/>
        <v>0</v>
      </c>
      <c r="K6" s="34">
        <v>0</v>
      </c>
      <c r="L6" s="38">
        <f t="shared" si="2"/>
        <v>0</v>
      </c>
      <c r="M6" s="28" t="s">
        <v>48</v>
      </c>
      <c r="N6" s="39" t="s">
        <v>49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 x14ac:dyDescent="0.25">
      <c r="A7" s="23">
        <v>1294</v>
      </c>
      <c r="B7" s="47" t="s">
        <v>107</v>
      </c>
      <c r="C7" s="42">
        <f t="array" ref="C7">IFERROR(_xlfn.XLOOKUP($A7,Commercial!$A:$A,Commercial!$F:$F,0,0),0)</f>
        <v>0</v>
      </c>
      <c r="D7" s="42">
        <f t="array" ref="D7">IFERROR(_xlfn.XLOOKUP($A7,Commercial!$A:$A,Commercial!$L:$L,0,0),0)</f>
        <v>0</v>
      </c>
      <c r="E7" s="42">
        <f t="array" ref="E7">IFERROR(_xlfn.XLOOKUP($A7,Commercial!$A:$A,Commercial!$R:$R,0,0),0)</f>
        <v>0</v>
      </c>
      <c r="F7" s="42">
        <f t="array" ref="F7">IFERROR(_xlfn.XLOOKUP($A7,Commercial!$A:$A,Commercial!$X:$X,0,0),0)</f>
        <v>0</v>
      </c>
      <c r="G7" s="42">
        <f t="array" ref="G7">IFERROR(_xlfn.XLOOKUP($A7,Commercial!$A:$A,Commercial!$AD:$AD,0,0),0)</f>
        <v>0</v>
      </c>
      <c r="H7" s="34">
        <f t="shared" si="0"/>
        <v>0</v>
      </c>
      <c r="I7" s="45"/>
      <c r="J7" s="34">
        <f t="shared" si="1"/>
        <v>0</v>
      </c>
      <c r="K7" s="34">
        <v>0</v>
      </c>
      <c r="L7" s="38">
        <f t="shared" si="2"/>
        <v>0</v>
      </c>
      <c r="M7" s="28" t="s">
        <v>48</v>
      </c>
      <c r="N7" s="39" t="s">
        <v>49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 x14ac:dyDescent="0.25">
      <c r="A8" s="23">
        <v>1292</v>
      </c>
      <c r="B8" s="47" t="s">
        <v>59</v>
      </c>
      <c r="C8" s="42">
        <f t="array" ref="C8">IFERROR(_xlfn.XLOOKUP($A8,Commercial!$A:$A,Commercial!$F:$F,0,0),0)</f>
        <v>0</v>
      </c>
      <c r="D8" s="42">
        <f t="array" ref="D8">IFERROR(_xlfn.XLOOKUP($A8,Commercial!$A:$A,Commercial!$L:$L,0,0),0)</f>
        <v>0</v>
      </c>
      <c r="E8" s="42">
        <f t="array" ref="E8">IFERROR(_xlfn.XLOOKUP($A8,Commercial!$A:$A,Commercial!$R:$R,0,0),0)</f>
        <v>0</v>
      </c>
      <c r="F8" s="42">
        <f t="array" ref="F8">IFERROR(_xlfn.XLOOKUP($A8,Commercial!$A:$A,Commercial!$X:$X,0,0),0)</f>
        <v>0</v>
      </c>
      <c r="G8" s="42">
        <f t="array" ref="G8">IFERROR(_xlfn.XLOOKUP($A8,Commercial!$A:$A,Commercial!$AD:$AD,0,0),0)</f>
        <v>0</v>
      </c>
      <c r="H8" s="34">
        <f t="shared" si="0"/>
        <v>0</v>
      </c>
      <c r="I8" s="45"/>
      <c r="J8" s="34">
        <f t="shared" si="1"/>
        <v>0</v>
      </c>
      <c r="K8" s="34">
        <v>0</v>
      </c>
      <c r="L8" s="38">
        <f t="shared" si="2"/>
        <v>0</v>
      </c>
      <c r="M8" s="28" t="s">
        <v>48</v>
      </c>
      <c r="N8" s="39" t="s">
        <v>49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 x14ac:dyDescent="0.25">
      <c r="A9" s="23">
        <v>1175</v>
      </c>
      <c r="B9" s="47" t="s">
        <v>65</v>
      </c>
      <c r="C9" s="42">
        <f t="array" ref="C9">IFERROR(_xlfn.XLOOKUP($A9,Commercial!$A:$A,Commercial!$F:$F,0,0),0)</f>
        <v>0</v>
      </c>
      <c r="D9" s="42">
        <f t="array" ref="D9">IFERROR(_xlfn.XLOOKUP($A9,Commercial!$A:$A,Commercial!$L:$L,0,0),0)</f>
        <v>0</v>
      </c>
      <c r="E9" s="42">
        <f t="array" ref="E9">IFERROR(_xlfn.XLOOKUP($A9,Commercial!$A:$A,Commercial!$R:$R,0,0),0)</f>
        <v>0</v>
      </c>
      <c r="F9" s="42">
        <f t="array" ref="F9">IFERROR(_xlfn.XLOOKUP($A9,Commercial!$A:$A,Commercial!$X:$X,0,0),0)</f>
        <v>0</v>
      </c>
      <c r="G9" s="42">
        <f t="array" ref="G9">IFERROR(_xlfn.XLOOKUP($A9,Commercial!$A:$A,Commercial!$AD:$AD,0,0),0)</f>
        <v>0</v>
      </c>
      <c r="H9" s="34">
        <f t="shared" si="0"/>
        <v>0</v>
      </c>
      <c r="I9" s="45"/>
      <c r="J9" s="34">
        <f t="shared" si="1"/>
        <v>0</v>
      </c>
      <c r="K9" s="34">
        <v>0</v>
      </c>
      <c r="L9" s="38">
        <f t="shared" si="2"/>
        <v>0</v>
      </c>
      <c r="M9" s="28" t="s">
        <v>48</v>
      </c>
      <c r="N9" s="39" t="s">
        <v>49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 x14ac:dyDescent="0.25">
      <c r="A10" s="23">
        <v>1295</v>
      </c>
      <c r="B10" s="47" t="s">
        <v>98</v>
      </c>
      <c r="C10" s="42">
        <f t="array" ref="C10">IFERROR(_xlfn.XLOOKUP($A10,Commercial!$A:$A,Commercial!$F:$F,0,0),0)</f>
        <v>0</v>
      </c>
      <c r="D10" s="42">
        <f t="array" ref="D10">IFERROR(_xlfn.XLOOKUP($A10,Commercial!$A:$A,Commercial!$L:$L,0,0),0)</f>
        <v>0</v>
      </c>
      <c r="E10" s="42">
        <f t="array" ref="E10">IFERROR(_xlfn.XLOOKUP($A10,Commercial!$A:$A,Commercial!$R:$R,0,0),0)</f>
        <v>0</v>
      </c>
      <c r="F10" s="42">
        <f t="array" ref="F10">IFERROR(_xlfn.XLOOKUP($A10,Commercial!$A:$A,Commercial!$X:$X,0,0),0)</f>
        <v>0</v>
      </c>
      <c r="G10" s="42">
        <f t="array" ref="G10">IFERROR(_xlfn.XLOOKUP($A10,Commercial!$A:$A,Commercial!$AD:$AD,0,0),0)</f>
        <v>0</v>
      </c>
      <c r="H10" s="34">
        <f t="shared" si="0"/>
        <v>0</v>
      </c>
      <c r="I10" s="45"/>
      <c r="J10" s="34">
        <f t="shared" si="1"/>
        <v>0</v>
      </c>
      <c r="K10" s="34">
        <v>0</v>
      </c>
      <c r="L10" s="38">
        <f t="shared" si="2"/>
        <v>0</v>
      </c>
      <c r="M10" s="28" t="s">
        <v>48</v>
      </c>
      <c r="N10" s="39" t="s">
        <v>49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 x14ac:dyDescent="0.25">
      <c r="A11" s="23">
        <v>1300</v>
      </c>
      <c r="B11" s="47" t="s">
        <v>117</v>
      </c>
      <c r="C11" s="42">
        <f t="array" ref="C11">IFERROR(_xlfn.XLOOKUP($A11,Commercial!$A:$A,Commercial!$F:$F,0,0),0)</f>
        <v>0</v>
      </c>
      <c r="D11" s="42">
        <f t="array" ref="D11">IFERROR(_xlfn.XLOOKUP($A11,Commercial!$A:$A,Commercial!$L:$L,0,0),0)</f>
        <v>0</v>
      </c>
      <c r="E11" s="42">
        <f t="array" ref="E11">IFERROR(_xlfn.XLOOKUP($A11,Commercial!$A:$A,Commercial!$R:$R,0,0),0)</f>
        <v>0</v>
      </c>
      <c r="F11" s="42">
        <f t="array" ref="F11">IFERROR(_xlfn.XLOOKUP($A11,Commercial!$A:$A,Commercial!$X:$X,0,0),0)</f>
        <v>0</v>
      </c>
      <c r="G11" s="42">
        <f t="array" ref="G11">IFERROR(_xlfn.XLOOKUP($A11,Commercial!$A:$A,Commercial!$AD:$AD,0,0),0)</f>
        <v>0</v>
      </c>
      <c r="H11" s="34">
        <f t="shared" si="0"/>
        <v>0</v>
      </c>
      <c r="I11" s="45"/>
      <c r="J11" s="34">
        <f t="shared" si="1"/>
        <v>0</v>
      </c>
      <c r="K11" s="34">
        <v>0</v>
      </c>
      <c r="L11" s="38">
        <f t="shared" si="2"/>
        <v>0</v>
      </c>
      <c r="M11" s="28" t="s">
        <v>48</v>
      </c>
      <c r="N11" s="39" t="s">
        <v>49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 x14ac:dyDescent="0.25">
      <c r="A12" s="23">
        <v>1291</v>
      </c>
      <c r="B12" s="47" t="s">
        <v>53</v>
      </c>
      <c r="C12" s="42">
        <f t="array" ref="C12">IFERROR(_xlfn.XLOOKUP($A12,Commercial!$A:$A,Commercial!$F:$F,0,0),0)</f>
        <v>0</v>
      </c>
      <c r="D12" s="42">
        <f t="array" ref="D12">IFERROR(_xlfn.XLOOKUP($A12,Commercial!$A:$A,Commercial!$L:$L,0,0),0)</f>
        <v>0</v>
      </c>
      <c r="E12" s="42">
        <f t="array" ref="E12">IFERROR(_xlfn.XLOOKUP($A12,Commercial!$A:$A,Commercial!$R:$R,0,0),0)</f>
        <v>0</v>
      </c>
      <c r="F12" s="42">
        <f t="array" ref="F12">IFERROR(_xlfn.XLOOKUP($A12,Commercial!$A:$A,Commercial!$X:$X,0,0),0)</f>
        <v>0</v>
      </c>
      <c r="G12" s="42">
        <f t="array" ref="G12">IFERROR(_xlfn.XLOOKUP($A12,Commercial!$A:$A,Commercial!$AD:$AD,0,0),0)</f>
        <v>0</v>
      </c>
      <c r="H12" s="34">
        <f t="shared" si="0"/>
        <v>0</v>
      </c>
      <c r="I12" s="45"/>
      <c r="J12" s="34">
        <f t="shared" si="1"/>
        <v>0</v>
      </c>
      <c r="K12" s="34">
        <v>0</v>
      </c>
      <c r="L12" s="38">
        <f t="shared" si="2"/>
        <v>0</v>
      </c>
      <c r="M12" s="28" t="s">
        <v>48</v>
      </c>
      <c r="N12" s="39" t="s">
        <v>49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 x14ac:dyDescent="0.25">
      <c r="A13" s="23">
        <v>1220</v>
      </c>
      <c r="B13" s="47" t="s">
        <v>124</v>
      </c>
      <c r="C13" s="42">
        <f t="array" ref="C13">IFERROR(_xlfn.XLOOKUP($A13,Commercial!$A:$A,Commercial!$F:$F,0,0),0)</f>
        <v>0</v>
      </c>
      <c r="D13" s="42">
        <f t="array" ref="D13">IFERROR(_xlfn.XLOOKUP($A13,Commercial!$A:$A,Commercial!$L:$L,0,0),0)</f>
        <v>0</v>
      </c>
      <c r="E13" s="42">
        <f t="array" ref="E13">IFERROR(_xlfn.XLOOKUP($A13,Commercial!$A:$A,Commercial!$R:$R,0,0),0)</f>
        <v>0</v>
      </c>
      <c r="F13" s="42">
        <f t="array" ref="F13">IFERROR(_xlfn.XLOOKUP($A13,Commercial!$A:$A,Commercial!$X:$X,0,0),0)</f>
        <v>0</v>
      </c>
      <c r="G13" s="42">
        <f t="array" ref="G13">IFERROR(_xlfn.XLOOKUP($A13,Commercial!$A:$A,Commercial!$AD:$AD,0,0),0)</f>
        <v>0</v>
      </c>
      <c r="H13" s="34">
        <f t="shared" si="0"/>
        <v>0</v>
      </c>
      <c r="I13" s="45"/>
      <c r="J13" s="34">
        <f t="shared" si="1"/>
        <v>0</v>
      </c>
      <c r="K13" s="34">
        <v>0</v>
      </c>
      <c r="L13" s="38">
        <f t="shared" si="2"/>
        <v>0</v>
      </c>
      <c r="M13" s="28" t="s">
        <v>48</v>
      </c>
      <c r="N13" s="39" t="s">
        <v>49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 x14ac:dyDescent="0.25">
      <c r="A14" s="23">
        <v>1298</v>
      </c>
      <c r="B14" s="47" t="s">
        <v>110</v>
      </c>
      <c r="C14" s="42">
        <f t="array" ref="C14">IFERROR(_xlfn.XLOOKUP($A14,Commercial!$A:$A,Commercial!$F:$F,0,0),0)</f>
        <v>0</v>
      </c>
      <c r="D14" s="42">
        <f t="array" ref="D14">IFERROR(_xlfn.XLOOKUP($A14,Commercial!$A:$A,Commercial!$L:$L,0,0),0)</f>
        <v>0</v>
      </c>
      <c r="E14" s="42">
        <f t="array" ref="E14">IFERROR(_xlfn.XLOOKUP($A14,Commercial!$A:$A,Commercial!$R:$R,0,0),0)</f>
        <v>0</v>
      </c>
      <c r="F14" s="42">
        <f t="array" ref="F14">IFERROR(_xlfn.XLOOKUP($A14,Commercial!$A:$A,Commercial!$X:$X,0,0),0)</f>
        <v>0</v>
      </c>
      <c r="G14" s="42">
        <f t="array" ref="G14">IFERROR(_xlfn.XLOOKUP($A14,Commercial!$A:$A,Commercial!$AD:$AD,0,0),0)</f>
        <v>0</v>
      </c>
      <c r="H14" s="34">
        <f t="shared" si="0"/>
        <v>0</v>
      </c>
      <c r="I14" s="45"/>
      <c r="J14" s="34">
        <f t="shared" si="1"/>
        <v>0</v>
      </c>
      <c r="K14" s="34">
        <v>0</v>
      </c>
      <c r="L14" s="38">
        <f t="shared" si="2"/>
        <v>0</v>
      </c>
      <c r="M14" s="28" t="s">
        <v>48</v>
      </c>
      <c r="N14" s="39" t="s">
        <v>49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 x14ac:dyDescent="0.25">
      <c r="A15" s="23"/>
      <c r="B15" s="47"/>
      <c r="C15" s="42"/>
      <c r="D15" s="42"/>
      <c r="E15" s="42"/>
      <c r="F15" s="42"/>
      <c r="G15" s="42"/>
      <c r="H15" s="34">
        <f t="shared" si="0"/>
        <v>0</v>
      </c>
      <c r="I15" s="45"/>
      <c r="J15" s="34">
        <f t="shared" si="1"/>
        <v>0</v>
      </c>
      <c r="K15" s="34">
        <v>0</v>
      </c>
      <c r="L15" s="38">
        <f t="shared" si="2"/>
        <v>0</v>
      </c>
      <c r="M15" s="28" t="s">
        <v>48</v>
      </c>
      <c r="N15" s="39" t="s">
        <v>49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 x14ac:dyDescent="0.25">
      <c r="A16" s="23"/>
      <c r="B16" s="47"/>
      <c r="C16" s="42"/>
      <c r="D16" s="42"/>
      <c r="E16" s="42"/>
      <c r="F16" s="42"/>
      <c r="G16" s="42"/>
      <c r="H16" s="45">
        <f t="shared" si="0"/>
        <v>0</v>
      </c>
      <c r="I16" s="45"/>
      <c r="J16" s="34">
        <f t="shared" si="1"/>
        <v>0</v>
      </c>
      <c r="K16" s="34">
        <v>0</v>
      </c>
      <c r="L16" s="38">
        <f t="shared" si="2"/>
        <v>0</v>
      </c>
      <c r="M16" s="28" t="s">
        <v>48</v>
      </c>
      <c r="N16" s="39" t="s">
        <v>49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 x14ac:dyDescent="0.25">
      <c r="B17" s="180" t="s">
        <v>74</v>
      </c>
      <c r="C17" s="181">
        <f t="shared" ref="C17:G17" si="3">SUM(C3:C16)</f>
        <v>0</v>
      </c>
      <c r="D17" s="181">
        <f t="shared" si="3"/>
        <v>0</v>
      </c>
      <c r="E17" s="181">
        <f t="shared" si="3"/>
        <v>0</v>
      </c>
      <c r="F17" s="181">
        <f t="shared" si="3"/>
        <v>0</v>
      </c>
      <c r="G17" s="181">
        <f t="shared" si="3"/>
        <v>0</v>
      </c>
      <c r="H17" s="201">
        <f t="shared" si="0"/>
        <v>0</v>
      </c>
      <c r="I17" s="181"/>
      <c r="J17" s="181"/>
      <c r="K17" s="182">
        <f>SUM(K3:K16)</f>
        <v>0</v>
      </c>
      <c r="L17" s="205"/>
      <c r="M17" s="123" t="s">
        <v>48</v>
      </c>
      <c r="N17" s="39" t="s">
        <v>49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 x14ac:dyDescent="0.25">
      <c r="A18" s="18"/>
      <c r="B18" s="56" t="s">
        <v>90</v>
      </c>
      <c r="C18" s="58"/>
      <c r="D18" s="58"/>
      <c r="E18" s="58"/>
      <c r="F18" s="58"/>
      <c r="G18" s="58"/>
      <c r="H18" s="60"/>
      <c r="I18" s="60"/>
      <c r="J18" s="60"/>
      <c r="K18" s="58"/>
      <c r="L18" s="58"/>
      <c r="M18" s="58"/>
      <c r="N18" s="58"/>
      <c r="O18" s="7"/>
      <c r="P18" s="7"/>
      <c r="U18" s="7"/>
      <c r="V18" s="7"/>
      <c r="W18" s="7"/>
      <c r="X18" s="7"/>
      <c r="Y18" s="7"/>
    </row>
    <row r="19" spans="1:25" ht="15.75" customHeight="1" x14ac:dyDescent="0.25">
      <c r="A19" s="6" t="s">
        <v>1</v>
      </c>
      <c r="B19" s="8" t="s">
        <v>3</v>
      </c>
      <c r="C19" s="6" t="s">
        <v>4</v>
      </c>
      <c r="D19" s="6" t="s">
        <v>6</v>
      </c>
      <c r="E19" s="6" t="s">
        <v>7</v>
      </c>
      <c r="F19" s="6" t="s">
        <v>8</v>
      </c>
      <c r="G19" s="6" t="s">
        <v>10</v>
      </c>
      <c r="H19" s="6" t="s">
        <v>16</v>
      </c>
      <c r="I19" s="6" t="s">
        <v>17</v>
      </c>
      <c r="J19" s="6" t="s">
        <v>19</v>
      </c>
      <c r="K19" s="6" t="s">
        <v>20</v>
      </c>
      <c r="L19" s="6" t="s">
        <v>21</v>
      </c>
      <c r="M19" s="6" t="s">
        <v>22</v>
      </c>
      <c r="N19" s="6" t="s">
        <v>23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 x14ac:dyDescent="0.25">
      <c r="A20" s="23"/>
      <c r="B20" s="47"/>
      <c r="C20" s="27"/>
      <c r="D20" s="27"/>
      <c r="E20" s="27"/>
      <c r="F20" s="27"/>
      <c r="G20" s="27"/>
      <c r="H20" s="34">
        <f t="shared" ref="H20:H29" si="4">SUM(C20:G20)</f>
        <v>0</v>
      </c>
      <c r="I20" s="34"/>
      <c r="J20" s="34">
        <f t="shared" ref="J20:J29" si="5">H20-I20</f>
        <v>0</v>
      </c>
      <c r="K20" s="34">
        <v>0</v>
      </c>
      <c r="L20" s="38">
        <f t="shared" ref="L20:L30" si="6">H20-K20</f>
        <v>0</v>
      </c>
      <c r="M20" s="28" t="s">
        <v>48</v>
      </c>
      <c r="N20" s="39" t="s">
        <v>49</v>
      </c>
      <c r="O20" s="7"/>
      <c r="P20" s="7"/>
      <c r="U20" s="7"/>
      <c r="V20" s="7"/>
      <c r="W20" s="7"/>
      <c r="X20" s="7"/>
      <c r="Y20" s="7"/>
    </row>
    <row r="21" spans="1:25" ht="15.75" customHeight="1" x14ac:dyDescent="0.25">
      <c r="A21" s="62"/>
      <c r="B21" s="68"/>
      <c r="C21" s="42"/>
      <c r="D21" s="42"/>
      <c r="E21" s="42"/>
      <c r="F21" s="27"/>
      <c r="G21" s="27"/>
      <c r="H21" s="34">
        <f t="shared" si="4"/>
        <v>0</v>
      </c>
      <c r="I21" s="34"/>
      <c r="J21" s="45">
        <f t="shared" si="5"/>
        <v>0</v>
      </c>
      <c r="K21" s="45">
        <v>0</v>
      </c>
      <c r="L21" s="210">
        <f t="shared" si="6"/>
        <v>0</v>
      </c>
      <c r="M21" s="112" t="s">
        <v>48</v>
      </c>
      <c r="N21" s="39" t="s">
        <v>49</v>
      </c>
      <c r="O21" s="7"/>
      <c r="P21" s="7"/>
      <c r="U21" s="7"/>
      <c r="V21" s="7"/>
      <c r="W21" s="7"/>
      <c r="X21" s="7"/>
      <c r="Y21" s="7"/>
    </row>
    <row r="22" spans="1:25" ht="15.75" customHeight="1" x14ac:dyDescent="0.25">
      <c r="A22" s="23"/>
      <c r="B22" s="39"/>
      <c r="C22" s="42"/>
      <c r="D22" s="42"/>
      <c r="E22" s="42"/>
      <c r="F22" s="27"/>
      <c r="G22" s="27"/>
      <c r="H22" s="34">
        <f t="shared" si="4"/>
        <v>0</v>
      </c>
      <c r="I22" s="34"/>
      <c r="J22" s="45">
        <f t="shared" si="5"/>
        <v>0</v>
      </c>
      <c r="K22" s="45">
        <v>0</v>
      </c>
      <c r="L22" s="210">
        <f t="shared" si="6"/>
        <v>0</v>
      </c>
      <c r="M22" s="112" t="s">
        <v>48</v>
      </c>
      <c r="N22" s="39" t="s">
        <v>49</v>
      </c>
      <c r="O22" s="7"/>
      <c r="P22" s="7"/>
      <c r="U22" s="7"/>
      <c r="V22" s="7"/>
      <c r="W22" s="7"/>
      <c r="X22" s="7"/>
      <c r="Y22" s="7"/>
    </row>
    <row r="23" spans="1:25" ht="15.75" customHeight="1" x14ac:dyDescent="0.25">
      <c r="A23" s="23"/>
      <c r="B23" s="39"/>
      <c r="C23" s="42"/>
      <c r="D23" s="42"/>
      <c r="E23" s="42"/>
      <c r="F23" s="27"/>
      <c r="G23" s="27"/>
      <c r="H23" s="34">
        <f t="shared" si="4"/>
        <v>0</v>
      </c>
      <c r="I23" s="34"/>
      <c r="J23" s="45">
        <f t="shared" si="5"/>
        <v>0</v>
      </c>
      <c r="K23" s="45">
        <v>0</v>
      </c>
      <c r="L23" s="210">
        <f t="shared" si="6"/>
        <v>0</v>
      </c>
      <c r="M23" s="112" t="s">
        <v>48</v>
      </c>
      <c r="N23" s="39" t="s">
        <v>49</v>
      </c>
      <c r="O23" s="7"/>
      <c r="P23" s="7"/>
      <c r="U23" s="7"/>
      <c r="V23" s="7"/>
      <c r="W23" s="7"/>
      <c r="X23" s="7"/>
      <c r="Y23" s="7"/>
    </row>
    <row r="24" spans="1:25" ht="15.75" customHeight="1" x14ac:dyDescent="0.25">
      <c r="A24" s="62"/>
      <c r="B24" s="64"/>
      <c r="C24" s="42"/>
      <c r="D24" s="42"/>
      <c r="E24" s="42"/>
      <c r="F24" s="27"/>
      <c r="G24" s="27"/>
      <c r="H24" s="34">
        <f t="shared" si="4"/>
        <v>0</v>
      </c>
      <c r="I24" s="34"/>
      <c r="J24" s="45">
        <f t="shared" si="5"/>
        <v>0</v>
      </c>
      <c r="K24" s="45">
        <v>0</v>
      </c>
      <c r="L24" s="210">
        <f t="shared" si="6"/>
        <v>0</v>
      </c>
      <c r="M24" s="112" t="s">
        <v>48</v>
      </c>
      <c r="N24" s="39" t="s">
        <v>49</v>
      </c>
      <c r="O24" s="7"/>
      <c r="P24" s="7"/>
      <c r="U24" s="7"/>
      <c r="V24" s="7"/>
      <c r="W24" s="7"/>
      <c r="X24" s="7"/>
      <c r="Y24" s="7"/>
    </row>
    <row r="25" spans="1:25" ht="15.75" customHeight="1" x14ac:dyDescent="0.25">
      <c r="A25" s="62"/>
      <c r="B25" s="64"/>
      <c r="C25" s="27"/>
      <c r="D25" s="27"/>
      <c r="E25" s="27"/>
      <c r="F25" s="27"/>
      <c r="G25" s="27"/>
      <c r="H25" s="34">
        <f t="shared" si="4"/>
        <v>0</v>
      </c>
      <c r="I25" s="34"/>
      <c r="J25" s="45">
        <f t="shared" si="5"/>
        <v>0</v>
      </c>
      <c r="K25" s="34">
        <v>0</v>
      </c>
      <c r="L25" s="38">
        <f t="shared" si="6"/>
        <v>0</v>
      </c>
      <c r="M25" s="28" t="s">
        <v>48</v>
      </c>
      <c r="N25" s="39" t="s">
        <v>49</v>
      </c>
      <c r="O25" s="7"/>
      <c r="P25" s="7"/>
      <c r="U25" s="7"/>
      <c r="V25" s="7"/>
      <c r="W25" s="7"/>
      <c r="X25" s="7"/>
      <c r="Y25" s="7"/>
    </row>
    <row r="26" spans="1:25" ht="15.75" customHeight="1" x14ac:dyDescent="0.25">
      <c r="A26" s="23"/>
      <c r="B26" s="26"/>
      <c r="C26" s="27"/>
      <c r="D26" s="27"/>
      <c r="E26" s="27"/>
      <c r="F26" s="27"/>
      <c r="G26" s="27"/>
      <c r="H26" s="34">
        <f t="shared" si="4"/>
        <v>0</v>
      </c>
      <c r="I26" s="34"/>
      <c r="J26" s="45">
        <f t="shared" si="5"/>
        <v>0</v>
      </c>
      <c r="K26" s="34">
        <v>0</v>
      </c>
      <c r="L26" s="38">
        <f t="shared" si="6"/>
        <v>0</v>
      </c>
      <c r="M26" s="28" t="s">
        <v>48</v>
      </c>
      <c r="N26" s="39" t="s">
        <v>49</v>
      </c>
      <c r="O26" s="7"/>
      <c r="P26" s="7"/>
      <c r="U26" s="7"/>
      <c r="V26" s="7"/>
      <c r="W26" s="7"/>
      <c r="X26" s="7"/>
      <c r="Y26" s="7"/>
    </row>
    <row r="27" spans="1:25" ht="15.75" customHeight="1" x14ac:dyDescent="0.25">
      <c r="A27" s="62"/>
      <c r="B27" s="64"/>
      <c r="C27" s="27"/>
      <c r="D27" s="27"/>
      <c r="E27" s="27"/>
      <c r="F27" s="27"/>
      <c r="G27" s="27"/>
      <c r="H27" s="34">
        <f t="shared" si="4"/>
        <v>0</v>
      </c>
      <c r="I27" s="34"/>
      <c r="J27" s="45">
        <f t="shared" si="5"/>
        <v>0</v>
      </c>
      <c r="K27" s="34">
        <v>0</v>
      </c>
      <c r="L27" s="38">
        <f t="shared" si="6"/>
        <v>0</v>
      </c>
      <c r="M27" s="28" t="s">
        <v>48</v>
      </c>
      <c r="N27" s="39" t="s">
        <v>49</v>
      </c>
      <c r="O27" s="7"/>
      <c r="P27" s="7"/>
      <c r="U27" s="7"/>
      <c r="V27" s="7"/>
      <c r="W27" s="7"/>
      <c r="X27" s="7"/>
      <c r="Y27" s="7"/>
    </row>
    <row r="28" spans="1:25" ht="15.75" customHeight="1" x14ac:dyDescent="0.25">
      <c r="A28" s="62"/>
      <c r="B28" s="64"/>
      <c r="C28" s="27"/>
      <c r="D28" s="27"/>
      <c r="E28" s="27"/>
      <c r="F28" s="27"/>
      <c r="G28" s="27"/>
      <c r="H28" s="34">
        <f t="shared" si="4"/>
        <v>0</v>
      </c>
      <c r="I28" s="34"/>
      <c r="J28" s="45">
        <f t="shared" si="5"/>
        <v>0</v>
      </c>
      <c r="K28" s="34">
        <v>0</v>
      </c>
      <c r="L28" s="38">
        <f t="shared" si="6"/>
        <v>0</v>
      </c>
      <c r="M28" s="28" t="s">
        <v>48</v>
      </c>
      <c r="N28" s="39" t="s">
        <v>49</v>
      </c>
      <c r="O28" s="7"/>
      <c r="P28" s="7"/>
      <c r="U28" s="7"/>
      <c r="V28" s="7"/>
      <c r="W28" s="7"/>
      <c r="X28" s="7"/>
      <c r="Y28" s="7"/>
    </row>
    <row r="29" spans="1:25" ht="15.75" customHeight="1" x14ac:dyDescent="0.25">
      <c r="A29" s="62"/>
      <c r="B29" s="64"/>
      <c r="C29" s="27"/>
      <c r="D29" s="27"/>
      <c r="E29" s="27"/>
      <c r="F29" s="27"/>
      <c r="G29" s="27"/>
      <c r="H29" s="34">
        <f t="shared" si="4"/>
        <v>0</v>
      </c>
      <c r="I29" s="34"/>
      <c r="J29" s="45">
        <f t="shared" si="5"/>
        <v>0</v>
      </c>
      <c r="K29" s="34">
        <v>0</v>
      </c>
      <c r="L29" s="38">
        <f t="shared" si="6"/>
        <v>0</v>
      </c>
      <c r="M29" s="28" t="s">
        <v>48</v>
      </c>
      <c r="N29" s="39" t="s">
        <v>49</v>
      </c>
      <c r="O29" s="7"/>
      <c r="P29" s="7"/>
      <c r="U29" s="7"/>
      <c r="V29" s="7"/>
      <c r="W29" s="7"/>
      <c r="X29" s="7"/>
      <c r="Y29" s="7"/>
    </row>
    <row r="30" spans="1:25" ht="15.75" customHeight="1" x14ac:dyDescent="0.25">
      <c r="A30" s="62"/>
      <c r="B30" s="211" t="s">
        <v>74</v>
      </c>
      <c r="C30" s="212">
        <f t="shared" ref="C30:G30" si="7">SUM(C20:C23)</f>
        <v>0</v>
      </c>
      <c r="D30" s="212">
        <f t="shared" si="7"/>
        <v>0</v>
      </c>
      <c r="E30" s="212">
        <f t="shared" si="7"/>
        <v>0</v>
      </c>
      <c r="F30" s="212">
        <f t="shared" si="7"/>
        <v>0</v>
      </c>
      <c r="G30" s="212">
        <f t="shared" si="7"/>
        <v>0</v>
      </c>
      <c r="H30" s="212">
        <f>SUM(H20:H29)</f>
        <v>0</v>
      </c>
      <c r="I30" s="212">
        <f>SUM(I20:I23)</f>
        <v>0</v>
      </c>
      <c r="J30" s="212">
        <f>SUM(J20:J29)</f>
        <v>0</v>
      </c>
      <c r="K30" s="213">
        <f>SUM(K20)</f>
        <v>0</v>
      </c>
      <c r="L30" s="214">
        <f t="shared" si="6"/>
        <v>0</v>
      </c>
      <c r="M30" s="215" t="s">
        <v>48</v>
      </c>
      <c r="N30" s="39" t="s">
        <v>49</v>
      </c>
      <c r="O30" s="7"/>
      <c r="P30" s="7"/>
      <c r="U30" s="7"/>
      <c r="V30" s="7"/>
      <c r="W30" s="7"/>
      <c r="X30" s="7"/>
      <c r="Y30" s="7"/>
    </row>
    <row r="31" spans="1:25" ht="15.75" customHeight="1" x14ac:dyDescent="0.25">
      <c r="A31" s="18"/>
      <c r="B31" s="56" t="s">
        <v>93</v>
      </c>
      <c r="C31" s="58"/>
      <c r="D31" s="58"/>
      <c r="E31" s="58"/>
      <c r="F31" s="58"/>
      <c r="G31" s="58"/>
      <c r="H31" s="60"/>
      <c r="I31" s="60"/>
      <c r="J31" s="60"/>
      <c r="K31" s="58"/>
      <c r="L31" s="216"/>
      <c r="M31" s="58"/>
      <c r="N31" s="58"/>
      <c r="O31" s="7"/>
      <c r="P31" s="7"/>
      <c r="U31" s="7"/>
      <c r="V31" s="7"/>
      <c r="W31" s="7"/>
      <c r="X31" s="7"/>
      <c r="Y31" s="7"/>
    </row>
    <row r="32" spans="1:25" ht="15.75" customHeight="1" x14ac:dyDescent="0.25">
      <c r="A32" s="6" t="s">
        <v>1</v>
      </c>
      <c r="B32" s="8" t="s">
        <v>3</v>
      </c>
      <c r="C32" s="6" t="s">
        <v>4</v>
      </c>
      <c r="D32" s="6" t="s">
        <v>6</v>
      </c>
      <c r="E32" s="6" t="s">
        <v>7</v>
      </c>
      <c r="F32" s="6" t="s">
        <v>8</v>
      </c>
      <c r="G32" s="6" t="s">
        <v>10</v>
      </c>
      <c r="H32" s="6" t="s">
        <v>16</v>
      </c>
      <c r="I32" s="6" t="s">
        <v>17</v>
      </c>
      <c r="J32" s="6" t="s">
        <v>19</v>
      </c>
      <c r="K32" s="6" t="s">
        <v>20</v>
      </c>
      <c r="L32" s="6" t="s">
        <v>21</v>
      </c>
      <c r="M32" s="6" t="s">
        <v>22</v>
      </c>
      <c r="N32" s="6" t="s">
        <v>23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 x14ac:dyDescent="0.25">
      <c r="A33" s="62"/>
      <c r="B33" s="74"/>
      <c r="C33" s="27"/>
      <c r="D33" s="27"/>
      <c r="E33" s="27"/>
      <c r="F33" s="27"/>
      <c r="G33" s="27"/>
      <c r="H33" s="34">
        <f t="shared" ref="H33:H36" si="8">SUM(C33:G33)</f>
        <v>0</v>
      </c>
      <c r="I33" s="34"/>
      <c r="J33" s="34">
        <f t="shared" ref="J33:J36" si="9">H33-I33</f>
        <v>0</v>
      </c>
      <c r="K33" s="34">
        <v>0</v>
      </c>
      <c r="L33" s="38">
        <f t="shared" ref="L33:L36" si="10">H33-K33</f>
        <v>0</v>
      </c>
      <c r="M33" s="28" t="s">
        <v>48</v>
      </c>
      <c r="N33" s="39" t="s">
        <v>49</v>
      </c>
      <c r="O33" s="7"/>
      <c r="P33" s="7"/>
      <c r="U33" s="7"/>
      <c r="V33" s="7"/>
      <c r="W33" s="7"/>
      <c r="X33" s="7"/>
      <c r="Y33" s="7"/>
    </row>
    <row r="34" spans="1:25" ht="15.75" customHeight="1" x14ac:dyDescent="0.25">
      <c r="A34" s="62"/>
      <c r="B34" s="64"/>
      <c r="C34" s="27"/>
      <c r="D34" s="27"/>
      <c r="E34" s="27"/>
      <c r="F34" s="27"/>
      <c r="G34" s="27"/>
      <c r="H34" s="34">
        <f t="shared" si="8"/>
        <v>0</v>
      </c>
      <c r="I34" s="34"/>
      <c r="J34" s="34">
        <f t="shared" si="9"/>
        <v>0</v>
      </c>
      <c r="K34" s="34">
        <v>0</v>
      </c>
      <c r="L34" s="38">
        <f t="shared" si="10"/>
        <v>0</v>
      </c>
      <c r="M34" s="28" t="s">
        <v>48</v>
      </c>
      <c r="N34" s="39" t="s">
        <v>49</v>
      </c>
      <c r="O34" s="7"/>
      <c r="P34" s="7"/>
      <c r="U34" s="7"/>
      <c r="V34" s="7"/>
      <c r="W34" s="7"/>
      <c r="X34" s="7"/>
      <c r="Y34" s="7"/>
    </row>
    <row r="35" spans="1:25" ht="15.75" customHeight="1" x14ac:dyDescent="0.25">
      <c r="A35" s="62"/>
      <c r="B35" s="64"/>
      <c r="C35" s="27"/>
      <c r="D35" s="27"/>
      <c r="E35" s="27"/>
      <c r="F35" s="27"/>
      <c r="G35" s="27"/>
      <c r="H35" s="34">
        <f t="shared" si="8"/>
        <v>0</v>
      </c>
      <c r="I35" s="34"/>
      <c r="J35" s="34">
        <f t="shared" si="9"/>
        <v>0</v>
      </c>
      <c r="K35" s="34">
        <v>0</v>
      </c>
      <c r="L35" s="38">
        <f t="shared" si="10"/>
        <v>0</v>
      </c>
      <c r="M35" s="28" t="s">
        <v>48</v>
      </c>
      <c r="N35" s="39" t="s">
        <v>49</v>
      </c>
      <c r="O35" s="7"/>
      <c r="P35" s="7"/>
      <c r="U35" s="7"/>
      <c r="V35" s="7"/>
      <c r="W35" s="7"/>
      <c r="X35" s="7"/>
      <c r="Y35" s="7"/>
    </row>
    <row r="36" spans="1:25" ht="15.75" customHeight="1" x14ac:dyDescent="0.25">
      <c r="A36" s="62"/>
      <c r="B36" s="68"/>
      <c r="C36" s="27"/>
      <c r="D36" s="27"/>
      <c r="E36" s="27"/>
      <c r="F36" s="27"/>
      <c r="G36" s="27"/>
      <c r="H36" s="34">
        <f t="shared" si="8"/>
        <v>0</v>
      </c>
      <c r="I36" s="34"/>
      <c r="J36" s="34">
        <f t="shared" si="9"/>
        <v>0</v>
      </c>
      <c r="K36" s="34">
        <v>0</v>
      </c>
      <c r="L36" s="38">
        <f t="shared" si="10"/>
        <v>0</v>
      </c>
      <c r="M36" s="28" t="s">
        <v>48</v>
      </c>
      <c r="N36" s="39" t="s">
        <v>49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 x14ac:dyDescent="0.25">
      <c r="A37" s="18"/>
      <c r="B37" s="12" t="s">
        <v>97</v>
      </c>
      <c r="C37" s="18"/>
      <c r="D37" s="18"/>
      <c r="E37" s="18"/>
      <c r="F37" s="18"/>
      <c r="G37" s="18"/>
      <c r="H37" s="6"/>
      <c r="I37" s="6"/>
      <c r="J37" s="6"/>
      <c r="K37" s="18"/>
      <c r="L37" s="217"/>
      <c r="M37" s="86"/>
      <c r="N37" s="86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7.25" customHeight="1" x14ac:dyDescent="0.25">
      <c r="A38" s="87"/>
      <c r="B38" s="68"/>
      <c r="C38" s="27"/>
      <c r="D38" s="27"/>
      <c r="E38" s="27"/>
      <c r="F38" s="27"/>
      <c r="G38" s="27"/>
      <c r="H38" s="34">
        <f t="shared" ref="H38:H41" si="11">SUM(C38:G38)</f>
        <v>0</v>
      </c>
      <c r="I38" s="34"/>
      <c r="J38" s="34">
        <f t="shared" ref="J38:J41" si="12">H38-I38</f>
        <v>0</v>
      </c>
      <c r="K38" s="27">
        <v>0</v>
      </c>
      <c r="L38" s="38">
        <f t="shared" ref="L38:L41" si="13">H38-K38</f>
        <v>0</v>
      </c>
      <c r="M38" s="28" t="s">
        <v>48</v>
      </c>
      <c r="N38" s="39" t="s">
        <v>49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7.25" customHeight="1" x14ac:dyDescent="0.25">
      <c r="A39" s="87"/>
      <c r="B39" s="68"/>
      <c r="C39" s="27"/>
      <c r="D39" s="27"/>
      <c r="E39" s="27"/>
      <c r="F39" s="27"/>
      <c r="G39" s="27"/>
      <c r="H39" s="34">
        <f t="shared" si="11"/>
        <v>0</v>
      </c>
      <c r="I39" s="34"/>
      <c r="J39" s="34">
        <f t="shared" si="12"/>
        <v>0</v>
      </c>
      <c r="K39" s="27">
        <v>0</v>
      </c>
      <c r="L39" s="38">
        <f t="shared" si="13"/>
        <v>0</v>
      </c>
      <c r="M39" s="28" t="s">
        <v>48</v>
      </c>
      <c r="N39" s="39" t="s">
        <v>49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7.25" customHeight="1" x14ac:dyDescent="0.25">
      <c r="A40" s="87"/>
      <c r="B40" s="68"/>
      <c r="C40" s="27"/>
      <c r="D40" s="27"/>
      <c r="E40" s="27"/>
      <c r="F40" s="27"/>
      <c r="G40" s="27"/>
      <c r="H40" s="34">
        <f t="shared" si="11"/>
        <v>0</v>
      </c>
      <c r="I40" s="34"/>
      <c r="J40" s="34">
        <f t="shared" si="12"/>
        <v>0</v>
      </c>
      <c r="K40" s="27">
        <v>0</v>
      </c>
      <c r="L40" s="38">
        <f t="shared" si="13"/>
        <v>0</v>
      </c>
      <c r="M40" s="28" t="s">
        <v>48</v>
      </c>
      <c r="N40" s="39" t="s">
        <v>49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7.25" customHeight="1" x14ac:dyDescent="0.25">
      <c r="A41" s="87"/>
      <c r="B41" s="218"/>
      <c r="C41" s="42"/>
      <c r="D41" s="42"/>
      <c r="E41" s="42"/>
      <c r="F41" s="42"/>
      <c r="G41" s="42"/>
      <c r="H41" s="34">
        <f t="shared" si="11"/>
        <v>0</v>
      </c>
      <c r="I41" s="45"/>
      <c r="J41" s="45">
        <f t="shared" si="12"/>
        <v>0</v>
      </c>
      <c r="K41" s="42">
        <v>0</v>
      </c>
      <c r="L41" s="210">
        <f t="shared" si="13"/>
        <v>0</v>
      </c>
      <c r="M41" s="112" t="s">
        <v>48</v>
      </c>
      <c r="N41" s="39" t="s">
        <v>49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 x14ac:dyDescent="0.25">
      <c r="A42" s="178"/>
      <c r="B42" s="180" t="s">
        <v>74</v>
      </c>
      <c r="C42" s="181">
        <f t="shared" ref="C42:K42" si="14">+SUM(C17,C30)</f>
        <v>0</v>
      </c>
      <c r="D42" s="181">
        <f t="shared" si="14"/>
        <v>0</v>
      </c>
      <c r="E42" s="181">
        <f t="shared" si="14"/>
        <v>0</v>
      </c>
      <c r="F42" s="181">
        <f t="shared" si="14"/>
        <v>0</v>
      </c>
      <c r="G42" s="181">
        <f t="shared" si="14"/>
        <v>0</v>
      </c>
      <c r="H42" s="181">
        <f t="shared" si="14"/>
        <v>0</v>
      </c>
      <c r="I42" s="181">
        <f t="shared" si="14"/>
        <v>0</v>
      </c>
      <c r="J42" s="181">
        <f t="shared" si="14"/>
        <v>0</v>
      </c>
      <c r="K42" s="182">
        <f t="shared" si="14"/>
        <v>0</v>
      </c>
      <c r="L42" s="219">
        <v>0</v>
      </c>
      <c r="M42" s="220"/>
      <c r="N42" s="221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 x14ac:dyDescent="0.25">
      <c r="A43" s="28"/>
      <c r="B43" s="222" t="s">
        <v>20</v>
      </c>
      <c r="C43" s="189">
        <v>0</v>
      </c>
      <c r="D43" s="189">
        <v>0</v>
      </c>
      <c r="E43" s="196">
        <v>0</v>
      </c>
      <c r="F43" s="189">
        <v>0</v>
      </c>
      <c r="G43" s="189">
        <v>0</v>
      </c>
      <c r="H43" s="189">
        <v>0</v>
      </c>
      <c r="I43" s="89"/>
      <c r="J43" s="89"/>
      <c r="K43" s="89"/>
      <c r="L43" s="90"/>
      <c r="M43" s="90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 x14ac:dyDescent="0.25">
      <c r="A44" s="89"/>
      <c r="B44" s="41" t="s">
        <v>21</v>
      </c>
      <c r="C44" s="28">
        <f t="shared" ref="C44:H44" si="15">C42-C43</f>
        <v>0</v>
      </c>
      <c r="D44" s="28">
        <f t="shared" si="15"/>
        <v>0</v>
      </c>
      <c r="E44" s="28">
        <f t="shared" si="15"/>
        <v>0</v>
      </c>
      <c r="F44" s="28">
        <f t="shared" si="15"/>
        <v>0</v>
      </c>
      <c r="G44" s="28">
        <f t="shared" si="15"/>
        <v>0</v>
      </c>
      <c r="H44" s="28">
        <f t="shared" si="15"/>
        <v>0</v>
      </c>
      <c r="I44" s="89"/>
      <c r="J44" s="89"/>
      <c r="K44" s="7"/>
      <c r="L44" s="89"/>
      <c r="M44" s="89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 x14ac:dyDescent="0.25">
      <c r="F45" s="89"/>
    </row>
    <row r="46" spans="1:25" ht="15.75" customHeight="1" x14ac:dyDescent="0.25">
      <c r="F46" s="89"/>
      <c r="W46" s="7" t="s">
        <v>126</v>
      </c>
    </row>
    <row r="47" spans="1:25" ht="15.75" customHeight="1" x14ac:dyDescent="0.25">
      <c r="F47" s="89"/>
    </row>
    <row r="48" spans="1:25" ht="15.75" customHeight="1" x14ac:dyDescent="0.25">
      <c r="F48" s="89"/>
    </row>
    <row r="49" spans="6:6" ht="15.75" customHeight="1" x14ac:dyDescent="0.25">
      <c r="F49" s="89"/>
    </row>
    <row r="50" spans="6:6" ht="15.75" customHeight="1" x14ac:dyDescent="0.25">
      <c r="F50" s="89"/>
    </row>
    <row r="51" spans="6:6" ht="15.75" customHeight="1" x14ac:dyDescent="0.25">
      <c r="F51" s="89"/>
    </row>
    <row r="52" spans="6:6" ht="15.75" customHeight="1" x14ac:dyDescent="0.25">
      <c r="F52" s="89"/>
    </row>
    <row r="53" spans="6:6" ht="15.75" customHeight="1" x14ac:dyDescent="0.25">
      <c r="F53" s="89"/>
    </row>
    <row r="54" spans="6:6" ht="15.75" customHeight="1" x14ac:dyDescent="0.25">
      <c r="F54" s="89"/>
    </row>
    <row r="55" spans="6:6" ht="15.75" customHeight="1" x14ac:dyDescent="0.25">
      <c r="F55" s="89"/>
    </row>
    <row r="56" spans="6:6" ht="15.75" customHeight="1" x14ac:dyDescent="0.25">
      <c r="F56" s="89"/>
    </row>
    <row r="57" spans="6:6" ht="15.75" customHeight="1" x14ac:dyDescent="0.25">
      <c r="F57" s="89"/>
    </row>
    <row r="58" spans="6:6" ht="15.75" customHeight="1" x14ac:dyDescent="0.25">
      <c r="F58" s="89"/>
    </row>
    <row r="59" spans="6:6" ht="15.75" customHeight="1" x14ac:dyDescent="0.25">
      <c r="F59" s="89"/>
    </row>
    <row r="60" spans="6:6" ht="15.75" customHeight="1" x14ac:dyDescent="0.25">
      <c r="F60" s="89"/>
    </row>
    <row r="61" spans="6:6" ht="15.75" customHeight="1" x14ac:dyDescent="0.25">
      <c r="F61" s="89"/>
    </row>
    <row r="62" spans="6:6" ht="15.75" customHeight="1" x14ac:dyDescent="0.25">
      <c r="F62" s="89"/>
    </row>
    <row r="63" spans="6:6" ht="15.75" customHeight="1" x14ac:dyDescent="0.25">
      <c r="F63" s="89"/>
    </row>
    <row r="64" spans="6:6" ht="15.75" customHeight="1" x14ac:dyDescent="0.25">
      <c r="F64" s="89"/>
    </row>
    <row r="65" spans="6:6" ht="15.75" customHeight="1" x14ac:dyDescent="0.25">
      <c r="F65" s="89"/>
    </row>
    <row r="66" spans="6:6" ht="15.75" customHeight="1" x14ac:dyDescent="0.25">
      <c r="F66" s="89"/>
    </row>
    <row r="67" spans="6:6" ht="15.75" customHeight="1" x14ac:dyDescent="0.25">
      <c r="F67" s="89"/>
    </row>
    <row r="68" spans="6:6" ht="15.75" customHeight="1" x14ac:dyDescent="0.25">
      <c r="F68" s="89"/>
    </row>
    <row r="69" spans="6:6" ht="15.75" customHeight="1" x14ac:dyDescent="0.25">
      <c r="F69" s="89"/>
    </row>
    <row r="70" spans="6:6" ht="15.75" customHeight="1" x14ac:dyDescent="0.25">
      <c r="F70" s="89"/>
    </row>
    <row r="71" spans="6:6" ht="15.75" customHeight="1" x14ac:dyDescent="0.25">
      <c r="F71" s="89"/>
    </row>
    <row r="72" spans="6:6" ht="15.75" customHeight="1" x14ac:dyDescent="0.25">
      <c r="F72" s="89"/>
    </row>
    <row r="73" spans="6:6" ht="15.75" customHeight="1" x14ac:dyDescent="0.25">
      <c r="F73" s="89"/>
    </row>
    <row r="74" spans="6:6" ht="15.75" customHeight="1" x14ac:dyDescent="0.25">
      <c r="F74" s="89"/>
    </row>
    <row r="75" spans="6:6" ht="15.75" customHeight="1" x14ac:dyDescent="0.25">
      <c r="F75" s="89"/>
    </row>
    <row r="76" spans="6:6" ht="15.75" customHeight="1" x14ac:dyDescent="0.25">
      <c r="F76" s="89"/>
    </row>
    <row r="77" spans="6:6" ht="15.75" customHeight="1" x14ac:dyDescent="0.25">
      <c r="F77" s="89"/>
    </row>
    <row r="78" spans="6:6" ht="15.75" customHeight="1" x14ac:dyDescent="0.25">
      <c r="F78" s="89"/>
    </row>
    <row r="79" spans="6:6" ht="15.75" customHeight="1" x14ac:dyDescent="0.25">
      <c r="F79" s="89"/>
    </row>
    <row r="80" spans="6:6" ht="15.75" customHeight="1" x14ac:dyDescent="0.25">
      <c r="F80" s="89"/>
    </row>
    <row r="81" spans="6:6" ht="15.75" customHeight="1" x14ac:dyDescent="0.25">
      <c r="F81" s="89"/>
    </row>
    <row r="82" spans="6:6" ht="15.75" customHeight="1" x14ac:dyDescent="0.25">
      <c r="F82" s="89"/>
    </row>
    <row r="83" spans="6:6" ht="15.75" customHeight="1" x14ac:dyDescent="0.25">
      <c r="F83" s="89"/>
    </row>
    <row r="84" spans="6:6" ht="15.75" customHeight="1" x14ac:dyDescent="0.25">
      <c r="F84" s="89"/>
    </row>
    <row r="85" spans="6:6" ht="15.75" customHeight="1" x14ac:dyDescent="0.25">
      <c r="F85" s="89"/>
    </row>
    <row r="86" spans="6:6" ht="15.75" customHeight="1" x14ac:dyDescent="0.25">
      <c r="F86" s="89"/>
    </row>
    <row r="87" spans="6:6" ht="15.75" customHeight="1" x14ac:dyDescent="0.25">
      <c r="F87" s="89"/>
    </row>
    <row r="88" spans="6:6" ht="15.75" customHeight="1" x14ac:dyDescent="0.25">
      <c r="F88" s="89"/>
    </row>
    <row r="89" spans="6:6" ht="15.75" customHeight="1" x14ac:dyDescent="0.25">
      <c r="F89" s="89"/>
    </row>
    <row r="90" spans="6:6" ht="15.75" customHeight="1" x14ac:dyDescent="0.25">
      <c r="F90" s="89"/>
    </row>
    <row r="91" spans="6:6" ht="15.75" customHeight="1" x14ac:dyDescent="0.25">
      <c r="F91" s="89"/>
    </row>
    <row r="92" spans="6:6" ht="15.75" customHeight="1" x14ac:dyDescent="0.25">
      <c r="F92" s="89"/>
    </row>
    <row r="93" spans="6:6" ht="15.75" customHeight="1" x14ac:dyDescent="0.25">
      <c r="F93" s="89"/>
    </row>
    <row r="94" spans="6:6" ht="15.75" customHeight="1" x14ac:dyDescent="0.25">
      <c r="F94" s="89"/>
    </row>
    <row r="95" spans="6:6" ht="15.75" customHeight="1" x14ac:dyDescent="0.25">
      <c r="F95" s="89"/>
    </row>
    <row r="96" spans="6:6" ht="15.75" customHeight="1" x14ac:dyDescent="0.25">
      <c r="F96" s="89"/>
    </row>
    <row r="97" spans="6:6" ht="15.75" customHeight="1" x14ac:dyDescent="0.25">
      <c r="F97" s="89"/>
    </row>
    <row r="98" spans="6:6" ht="15.75" customHeight="1" x14ac:dyDescent="0.25">
      <c r="F98" s="89"/>
    </row>
    <row r="99" spans="6:6" ht="15.75" customHeight="1" x14ac:dyDescent="0.25">
      <c r="F99" s="89"/>
    </row>
    <row r="100" spans="6:6" ht="15.75" customHeight="1" x14ac:dyDescent="0.25">
      <c r="F100" s="89"/>
    </row>
    <row r="101" spans="6:6" ht="15.75" customHeight="1" x14ac:dyDescent="0.25">
      <c r="F101" s="89"/>
    </row>
    <row r="102" spans="6:6" ht="15.75" customHeight="1" x14ac:dyDescent="0.25">
      <c r="F102" s="89"/>
    </row>
    <row r="103" spans="6:6" ht="15.75" customHeight="1" x14ac:dyDescent="0.25">
      <c r="F103" s="89"/>
    </row>
    <row r="104" spans="6:6" ht="15.75" customHeight="1" x14ac:dyDescent="0.25">
      <c r="F104" s="89"/>
    </row>
    <row r="105" spans="6:6" ht="15.75" customHeight="1" x14ac:dyDescent="0.25">
      <c r="F105" s="89"/>
    </row>
    <row r="106" spans="6:6" ht="15.75" customHeight="1" x14ac:dyDescent="0.25">
      <c r="F106" s="89"/>
    </row>
    <row r="107" spans="6:6" ht="15.75" customHeight="1" x14ac:dyDescent="0.25">
      <c r="F107" s="89"/>
    </row>
    <row r="108" spans="6:6" ht="15.75" customHeight="1" x14ac:dyDescent="0.25">
      <c r="F108" s="89"/>
    </row>
    <row r="109" spans="6:6" ht="15.75" customHeight="1" x14ac:dyDescent="0.25">
      <c r="F109" s="89"/>
    </row>
    <row r="110" spans="6:6" ht="15.75" customHeight="1" x14ac:dyDescent="0.25">
      <c r="F110" s="89"/>
    </row>
    <row r="111" spans="6:6" ht="15.75" customHeight="1" x14ac:dyDescent="0.25">
      <c r="F111" s="89"/>
    </row>
    <row r="112" spans="6:6" ht="15.75" customHeight="1" x14ac:dyDescent="0.25">
      <c r="F112" s="89"/>
    </row>
    <row r="113" spans="6:6" ht="15.75" customHeight="1" x14ac:dyDescent="0.25">
      <c r="F113" s="89"/>
    </row>
    <row r="114" spans="6:6" ht="15.75" customHeight="1" x14ac:dyDescent="0.25">
      <c r="F114" s="89"/>
    </row>
    <row r="115" spans="6:6" ht="15.75" customHeight="1" x14ac:dyDescent="0.25">
      <c r="F115" s="89"/>
    </row>
    <row r="116" spans="6:6" ht="15.75" customHeight="1" x14ac:dyDescent="0.25">
      <c r="F116" s="89"/>
    </row>
    <row r="117" spans="6:6" ht="15.75" customHeight="1" x14ac:dyDescent="0.25">
      <c r="F117" s="89"/>
    </row>
    <row r="118" spans="6:6" ht="15.75" customHeight="1" x14ac:dyDescent="0.25">
      <c r="F118" s="89"/>
    </row>
    <row r="119" spans="6:6" ht="15.75" customHeight="1" x14ac:dyDescent="0.25">
      <c r="F119" s="89"/>
    </row>
    <row r="120" spans="6:6" ht="15.75" customHeight="1" x14ac:dyDescent="0.25">
      <c r="F120" s="89"/>
    </row>
    <row r="121" spans="6:6" ht="15.75" customHeight="1" x14ac:dyDescent="0.25">
      <c r="F121" s="89"/>
    </row>
    <row r="122" spans="6:6" ht="15.75" customHeight="1" x14ac:dyDescent="0.25">
      <c r="F122" s="89"/>
    </row>
    <row r="123" spans="6:6" ht="15.75" customHeight="1" x14ac:dyDescent="0.25">
      <c r="F123" s="89"/>
    </row>
    <row r="124" spans="6:6" ht="15.75" customHeight="1" x14ac:dyDescent="0.25">
      <c r="F124" s="89"/>
    </row>
    <row r="125" spans="6:6" ht="15.75" customHeight="1" x14ac:dyDescent="0.25">
      <c r="F125" s="89"/>
    </row>
    <row r="126" spans="6:6" ht="15.75" customHeight="1" x14ac:dyDescent="0.25">
      <c r="F126" s="89"/>
    </row>
    <row r="127" spans="6:6" ht="15.75" customHeight="1" x14ac:dyDescent="0.25">
      <c r="F127" s="89"/>
    </row>
    <row r="128" spans="6:6" ht="15.75" customHeight="1" x14ac:dyDescent="0.25">
      <c r="F128" s="89"/>
    </row>
    <row r="129" spans="6:6" ht="15.75" customHeight="1" x14ac:dyDescent="0.25">
      <c r="F129" s="89"/>
    </row>
    <row r="130" spans="6:6" ht="15.75" customHeight="1" x14ac:dyDescent="0.25">
      <c r="F130" s="89"/>
    </row>
    <row r="131" spans="6:6" ht="15.75" customHeight="1" x14ac:dyDescent="0.25">
      <c r="F131" s="89"/>
    </row>
    <row r="132" spans="6:6" ht="15.75" customHeight="1" x14ac:dyDescent="0.25">
      <c r="F132" s="89"/>
    </row>
    <row r="133" spans="6:6" ht="15.75" customHeight="1" x14ac:dyDescent="0.25">
      <c r="F133" s="89"/>
    </row>
    <row r="134" spans="6:6" ht="15.75" customHeight="1" x14ac:dyDescent="0.25">
      <c r="F134" s="89"/>
    </row>
    <row r="135" spans="6:6" ht="15.75" customHeight="1" x14ac:dyDescent="0.25">
      <c r="F135" s="89"/>
    </row>
    <row r="136" spans="6:6" ht="15.75" customHeight="1" x14ac:dyDescent="0.25">
      <c r="F136" s="89"/>
    </row>
    <row r="137" spans="6:6" ht="15.75" customHeight="1" x14ac:dyDescent="0.25">
      <c r="F137" s="89"/>
    </row>
    <row r="138" spans="6:6" ht="15.75" customHeight="1" x14ac:dyDescent="0.25">
      <c r="F138" s="89"/>
    </row>
    <row r="139" spans="6:6" ht="15.75" customHeight="1" x14ac:dyDescent="0.25">
      <c r="F139" s="89"/>
    </row>
    <row r="140" spans="6:6" ht="15.75" customHeight="1" x14ac:dyDescent="0.25">
      <c r="F140" s="89"/>
    </row>
    <row r="141" spans="6:6" ht="15.75" customHeight="1" x14ac:dyDescent="0.25">
      <c r="F141" s="89"/>
    </row>
    <row r="142" spans="6:6" ht="15.75" customHeight="1" x14ac:dyDescent="0.25">
      <c r="F142" s="89"/>
    </row>
    <row r="143" spans="6:6" ht="15.75" customHeight="1" x14ac:dyDescent="0.25">
      <c r="F143" s="89"/>
    </row>
    <row r="144" spans="6:6" ht="15.75" customHeight="1" x14ac:dyDescent="0.25">
      <c r="F144" s="89"/>
    </row>
    <row r="145" spans="6:6" ht="15.75" customHeight="1" x14ac:dyDescent="0.25">
      <c r="F145" s="89"/>
    </row>
    <row r="146" spans="6:6" ht="15.75" customHeight="1" x14ac:dyDescent="0.25">
      <c r="F146" s="89"/>
    </row>
    <row r="147" spans="6:6" ht="15.75" customHeight="1" x14ac:dyDescent="0.25">
      <c r="F147" s="89"/>
    </row>
    <row r="148" spans="6:6" ht="15.75" customHeight="1" x14ac:dyDescent="0.25">
      <c r="F148" s="89"/>
    </row>
    <row r="149" spans="6:6" ht="15.75" customHeight="1" x14ac:dyDescent="0.25">
      <c r="F149" s="89"/>
    </row>
    <row r="150" spans="6:6" ht="15.75" customHeight="1" x14ac:dyDescent="0.25">
      <c r="F150" s="89"/>
    </row>
    <row r="151" spans="6:6" ht="15.75" customHeight="1" x14ac:dyDescent="0.25">
      <c r="F151" s="89"/>
    </row>
    <row r="152" spans="6:6" ht="15.75" customHeight="1" x14ac:dyDescent="0.25">
      <c r="F152" s="89"/>
    </row>
    <row r="153" spans="6:6" ht="15.75" customHeight="1" x14ac:dyDescent="0.25">
      <c r="F153" s="89"/>
    </row>
    <row r="154" spans="6:6" ht="15.75" customHeight="1" x14ac:dyDescent="0.25">
      <c r="F154" s="89"/>
    </row>
    <row r="155" spans="6:6" ht="15.75" customHeight="1" x14ac:dyDescent="0.25">
      <c r="F155" s="89"/>
    </row>
    <row r="156" spans="6:6" ht="15.75" customHeight="1" x14ac:dyDescent="0.25">
      <c r="F156" s="89"/>
    </row>
    <row r="157" spans="6:6" ht="15.75" customHeight="1" x14ac:dyDescent="0.25">
      <c r="F157" s="89"/>
    </row>
    <row r="158" spans="6:6" ht="15.75" customHeight="1" x14ac:dyDescent="0.25">
      <c r="F158" s="89"/>
    </row>
    <row r="159" spans="6:6" ht="15.75" customHeight="1" x14ac:dyDescent="0.25">
      <c r="F159" s="89"/>
    </row>
    <row r="160" spans="6:6" ht="15.75" customHeight="1" x14ac:dyDescent="0.25">
      <c r="F160" s="89"/>
    </row>
    <row r="161" spans="6:6" ht="15.75" customHeight="1" x14ac:dyDescent="0.25">
      <c r="F161" s="89"/>
    </row>
    <row r="162" spans="6:6" ht="15.75" customHeight="1" x14ac:dyDescent="0.25">
      <c r="F162" s="89"/>
    </row>
    <row r="163" spans="6:6" ht="15.75" customHeight="1" x14ac:dyDescent="0.25">
      <c r="F163" s="89"/>
    </row>
    <row r="164" spans="6:6" ht="15.75" customHeight="1" x14ac:dyDescent="0.25">
      <c r="F164" s="89"/>
    </row>
    <row r="165" spans="6:6" ht="15.75" customHeight="1" x14ac:dyDescent="0.25">
      <c r="F165" s="89"/>
    </row>
    <row r="166" spans="6:6" ht="15.75" customHeight="1" x14ac:dyDescent="0.25">
      <c r="F166" s="89"/>
    </row>
    <row r="167" spans="6:6" ht="15.75" customHeight="1" x14ac:dyDescent="0.25">
      <c r="F167" s="89"/>
    </row>
    <row r="168" spans="6:6" ht="15.75" customHeight="1" x14ac:dyDescent="0.25">
      <c r="F168" s="89"/>
    </row>
    <row r="169" spans="6:6" ht="15.75" customHeight="1" x14ac:dyDescent="0.25">
      <c r="F169" s="89"/>
    </row>
    <row r="170" spans="6:6" ht="15.75" customHeight="1" x14ac:dyDescent="0.25">
      <c r="F170" s="89"/>
    </row>
    <row r="171" spans="6:6" ht="15.75" customHeight="1" x14ac:dyDescent="0.25">
      <c r="F171" s="89"/>
    </row>
    <row r="172" spans="6:6" ht="15.75" customHeight="1" x14ac:dyDescent="0.25">
      <c r="F172" s="89"/>
    </row>
    <row r="173" spans="6:6" ht="15.75" customHeight="1" x14ac:dyDescent="0.25">
      <c r="F173" s="89"/>
    </row>
    <row r="174" spans="6:6" ht="15.75" customHeight="1" x14ac:dyDescent="0.25">
      <c r="F174" s="89"/>
    </row>
    <row r="175" spans="6:6" ht="15.75" customHeight="1" x14ac:dyDescent="0.25">
      <c r="F175" s="89"/>
    </row>
    <row r="176" spans="6:6" ht="15.75" customHeight="1" x14ac:dyDescent="0.25">
      <c r="F176" s="89"/>
    </row>
    <row r="177" spans="6:6" ht="15.75" customHeight="1" x14ac:dyDescent="0.25">
      <c r="F177" s="89"/>
    </row>
    <row r="178" spans="6:6" ht="15.75" customHeight="1" x14ac:dyDescent="0.25">
      <c r="F178" s="89"/>
    </row>
    <row r="179" spans="6:6" ht="15.75" customHeight="1" x14ac:dyDescent="0.25">
      <c r="F179" s="89"/>
    </row>
    <row r="180" spans="6:6" ht="15.75" customHeight="1" x14ac:dyDescent="0.25">
      <c r="F180" s="89"/>
    </row>
    <row r="181" spans="6:6" ht="15.75" customHeight="1" x14ac:dyDescent="0.25">
      <c r="F181" s="89"/>
    </row>
    <row r="182" spans="6:6" ht="15.75" customHeight="1" x14ac:dyDescent="0.25">
      <c r="F182" s="89"/>
    </row>
    <row r="183" spans="6:6" ht="15.75" customHeight="1" x14ac:dyDescent="0.25">
      <c r="F183" s="89"/>
    </row>
    <row r="184" spans="6:6" ht="15.75" customHeight="1" x14ac:dyDescent="0.25">
      <c r="F184" s="89"/>
    </row>
    <row r="185" spans="6:6" ht="15.75" customHeight="1" x14ac:dyDescent="0.25">
      <c r="F185" s="89"/>
    </row>
    <row r="186" spans="6:6" ht="15.75" customHeight="1" x14ac:dyDescent="0.25">
      <c r="F186" s="89"/>
    </row>
    <row r="187" spans="6:6" ht="15.75" customHeight="1" x14ac:dyDescent="0.25">
      <c r="F187" s="89"/>
    </row>
    <row r="188" spans="6:6" ht="15.75" customHeight="1" x14ac:dyDescent="0.25">
      <c r="F188" s="89"/>
    </row>
    <row r="189" spans="6:6" ht="15.75" customHeight="1" x14ac:dyDescent="0.25">
      <c r="F189" s="89"/>
    </row>
    <row r="190" spans="6:6" ht="15.75" customHeight="1" x14ac:dyDescent="0.25">
      <c r="F190" s="89"/>
    </row>
    <row r="191" spans="6:6" ht="15.75" customHeight="1" x14ac:dyDescent="0.25">
      <c r="F191" s="89"/>
    </row>
    <row r="192" spans="6:6" ht="15.75" customHeight="1" x14ac:dyDescent="0.25">
      <c r="F192" s="89"/>
    </row>
    <row r="193" spans="6:6" ht="15.75" customHeight="1" x14ac:dyDescent="0.25">
      <c r="F193" s="89"/>
    </row>
    <row r="194" spans="6:6" ht="15.75" customHeight="1" x14ac:dyDescent="0.25">
      <c r="F194" s="89"/>
    </row>
    <row r="195" spans="6:6" ht="15.75" customHeight="1" x14ac:dyDescent="0.25">
      <c r="F195" s="89"/>
    </row>
    <row r="196" spans="6:6" ht="15.75" customHeight="1" x14ac:dyDescent="0.25">
      <c r="F196" s="89"/>
    </row>
    <row r="197" spans="6:6" ht="15.75" customHeight="1" x14ac:dyDescent="0.25">
      <c r="F197" s="89"/>
    </row>
    <row r="198" spans="6:6" ht="15.75" customHeight="1" x14ac:dyDescent="0.25">
      <c r="F198" s="89"/>
    </row>
    <row r="199" spans="6:6" ht="15.75" customHeight="1" x14ac:dyDescent="0.25">
      <c r="F199" s="89"/>
    </row>
    <row r="200" spans="6:6" ht="15.75" customHeight="1" x14ac:dyDescent="0.25">
      <c r="F200" s="89"/>
    </row>
    <row r="201" spans="6:6" ht="15.75" customHeight="1" x14ac:dyDescent="0.25">
      <c r="F201" s="89"/>
    </row>
    <row r="202" spans="6:6" ht="15.75" customHeight="1" x14ac:dyDescent="0.25">
      <c r="F202" s="89"/>
    </row>
    <row r="203" spans="6:6" ht="15.75" customHeight="1" x14ac:dyDescent="0.25">
      <c r="F203" s="89"/>
    </row>
    <row r="204" spans="6:6" ht="15.75" customHeight="1" x14ac:dyDescent="0.25">
      <c r="F204" s="89"/>
    </row>
    <row r="205" spans="6:6" ht="15.75" customHeight="1" x14ac:dyDescent="0.25">
      <c r="F205" s="89"/>
    </row>
    <row r="206" spans="6:6" ht="15.75" customHeight="1" x14ac:dyDescent="0.25">
      <c r="F206" s="89"/>
    </row>
    <row r="207" spans="6:6" ht="15.75" customHeight="1" x14ac:dyDescent="0.25">
      <c r="F207" s="89"/>
    </row>
    <row r="208" spans="6:6" ht="15.75" customHeight="1" x14ac:dyDescent="0.25">
      <c r="F208" s="89"/>
    </row>
    <row r="209" spans="6:6" ht="15.75" customHeight="1" x14ac:dyDescent="0.25">
      <c r="F209" s="89"/>
    </row>
    <row r="210" spans="6:6" ht="15.75" customHeight="1" x14ac:dyDescent="0.25">
      <c r="F210" s="89"/>
    </row>
    <row r="211" spans="6:6" ht="15.75" customHeight="1" x14ac:dyDescent="0.25">
      <c r="F211" s="89"/>
    </row>
    <row r="212" spans="6:6" ht="15.75" customHeight="1" x14ac:dyDescent="0.25">
      <c r="F212" s="89"/>
    </row>
    <row r="213" spans="6:6" ht="15.75" customHeight="1" x14ac:dyDescent="0.25">
      <c r="F213" s="89"/>
    </row>
    <row r="214" spans="6:6" ht="15.75" customHeight="1" x14ac:dyDescent="0.25">
      <c r="F214" s="89"/>
    </row>
    <row r="215" spans="6:6" ht="15.75" customHeight="1" x14ac:dyDescent="0.25">
      <c r="F215" s="89"/>
    </row>
    <row r="216" spans="6:6" ht="15.75" customHeight="1" x14ac:dyDescent="0.25">
      <c r="F216" s="89"/>
    </row>
    <row r="217" spans="6:6" ht="15.75" customHeight="1" x14ac:dyDescent="0.25">
      <c r="F217" s="89"/>
    </row>
    <row r="218" spans="6:6" ht="15.75" customHeight="1" x14ac:dyDescent="0.25">
      <c r="F218" s="89"/>
    </row>
    <row r="219" spans="6:6" ht="15.75" customHeight="1" x14ac:dyDescent="0.25">
      <c r="F219" s="89"/>
    </row>
    <row r="220" spans="6:6" ht="15.75" customHeight="1" x14ac:dyDescent="0.25">
      <c r="F220" s="89"/>
    </row>
    <row r="221" spans="6:6" ht="15.75" customHeight="1" x14ac:dyDescent="0.25">
      <c r="F221" s="89"/>
    </row>
    <row r="222" spans="6:6" ht="15.75" customHeight="1" x14ac:dyDescent="0.25">
      <c r="F222" s="89"/>
    </row>
    <row r="223" spans="6:6" ht="15.75" customHeight="1" x14ac:dyDescent="0.25">
      <c r="F223" s="89"/>
    </row>
    <row r="224" spans="6:6" ht="15.75" customHeight="1" x14ac:dyDescent="0.25">
      <c r="F224" s="89"/>
    </row>
    <row r="225" spans="6:6" ht="15.75" customHeight="1" x14ac:dyDescent="0.25">
      <c r="F225" s="89"/>
    </row>
    <row r="226" spans="6:6" ht="15.75" customHeight="1" x14ac:dyDescent="0.25">
      <c r="F226" s="89"/>
    </row>
    <row r="227" spans="6:6" ht="15.75" customHeight="1" x14ac:dyDescent="0.25">
      <c r="F227" s="89"/>
    </row>
    <row r="228" spans="6:6" ht="15.75" customHeight="1" x14ac:dyDescent="0.25">
      <c r="F228" s="89"/>
    </row>
    <row r="229" spans="6:6" ht="15.75" customHeight="1" x14ac:dyDescent="0.25">
      <c r="F229" s="89"/>
    </row>
    <row r="230" spans="6:6" ht="15.75" customHeight="1" x14ac:dyDescent="0.25">
      <c r="F230" s="89"/>
    </row>
    <row r="231" spans="6:6" ht="15.75" customHeight="1" x14ac:dyDescent="0.25">
      <c r="F231" s="89"/>
    </row>
    <row r="232" spans="6:6" ht="15.75" customHeight="1" x14ac:dyDescent="0.25">
      <c r="F232" s="89"/>
    </row>
    <row r="233" spans="6:6" ht="15.75" customHeight="1" x14ac:dyDescent="0.25">
      <c r="F233" s="89"/>
    </row>
    <row r="234" spans="6:6" ht="15.75" customHeight="1" x14ac:dyDescent="0.25">
      <c r="F234" s="89"/>
    </row>
    <row r="235" spans="6:6" ht="15.75" customHeight="1" x14ac:dyDescent="0.25">
      <c r="F235" s="89"/>
    </row>
    <row r="236" spans="6:6" ht="15.75" customHeight="1" x14ac:dyDescent="0.25">
      <c r="F236" s="89"/>
    </row>
    <row r="237" spans="6:6" ht="15.75" customHeight="1" x14ac:dyDescent="0.25">
      <c r="F237" s="89"/>
    </row>
    <row r="238" spans="6:6" ht="15.75" customHeight="1" x14ac:dyDescent="0.25">
      <c r="F238" s="89"/>
    </row>
    <row r="239" spans="6:6" ht="15.75" customHeight="1" x14ac:dyDescent="0.25">
      <c r="F239" s="89"/>
    </row>
    <row r="240" spans="6:6" ht="15.75" customHeight="1" x14ac:dyDescent="0.25">
      <c r="F240" s="89"/>
    </row>
    <row r="241" spans="6:6" ht="15.75" customHeight="1" x14ac:dyDescent="0.25">
      <c r="F241" s="89"/>
    </row>
    <row r="242" spans="6:6" ht="15.75" customHeight="1" x14ac:dyDescent="0.25">
      <c r="F242" s="89"/>
    </row>
    <row r="243" spans="6:6" ht="15.75" customHeight="1" x14ac:dyDescent="0.25">
      <c r="F243" s="89"/>
    </row>
    <row r="244" spans="6:6" ht="15.75" customHeight="1" x14ac:dyDescent="0.25">
      <c r="F244" s="89"/>
    </row>
    <row r="245" spans="6:6" ht="15.75" customHeight="1" x14ac:dyDescent="0.25">
      <c r="F245" s="89"/>
    </row>
    <row r="246" spans="6:6" ht="15.75" customHeight="1" x14ac:dyDescent="0.25">
      <c r="F246" s="89"/>
    </row>
    <row r="247" spans="6:6" ht="15.75" customHeight="1" x14ac:dyDescent="0.25"/>
    <row r="248" spans="6:6" ht="15.75" customHeight="1" x14ac:dyDescent="0.25"/>
    <row r="249" spans="6:6" ht="15.75" customHeight="1" x14ac:dyDescent="0.25"/>
    <row r="250" spans="6:6" ht="15.75" customHeight="1" x14ac:dyDescent="0.25"/>
    <row r="251" spans="6:6" ht="15.75" customHeight="1" x14ac:dyDescent="0.25"/>
    <row r="252" spans="6:6" ht="15.75" customHeight="1" x14ac:dyDescent="0.25"/>
    <row r="253" spans="6:6" ht="15.75" customHeight="1" x14ac:dyDescent="0.25"/>
    <row r="254" spans="6:6" ht="15.75" customHeight="1" x14ac:dyDescent="0.25"/>
    <row r="255" spans="6:6" ht="15.75" customHeight="1" x14ac:dyDescent="0.25"/>
    <row r="256" spans="6: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M2"/>
  </mergeCells>
  <conditionalFormatting sqref="L2:L18 L20:L31 L33:L41 C44:J44">
    <cfRule type="cellIs" dxfId="4" priority="1" operator="equal">
      <formula>0</formula>
    </cfRule>
    <cfRule type="cellIs" dxfId="3" priority="2" operator="greaterThan">
      <formula>0</formula>
    </cfRule>
    <cfRule type="cellIs" dxfId="2" priority="3" operator="lessThan">
      <formula>0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4.42578125" defaultRowHeight="15" customHeight="1" x14ac:dyDescent="0.25"/>
  <cols>
    <col min="1" max="1" width="5.85546875" customWidth="1"/>
    <col min="2" max="2" width="35.140625" customWidth="1"/>
    <col min="3" max="3" width="5.140625" customWidth="1"/>
    <col min="4" max="4" width="4.28515625" customWidth="1"/>
    <col min="5" max="5" width="5.28515625" customWidth="1"/>
    <col min="6" max="6" width="4.28515625" customWidth="1"/>
    <col min="7" max="7" width="3.28515625" customWidth="1"/>
    <col min="8" max="8" width="5.140625" customWidth="1"/>
    <col min="9" max="9" width="4.28515625" customWidth="1"/>
    <col min="10" max="10" width="5.28515625" customWidth="1"/>
    <col min="11" max="11" width="4.28515625" customWidth="1"/>
    <col min="12" max="12" width="3.28515625" customWidth="1"/>
    <col min="13" max="13" width="5.140625" customWidth="1"/>
    <col min="14" max="14" width="4.28515625" customWidth="1"/>
    <col min="15" max="15" width="5.28515625" customWidth="1"/>
    <col min="16" max="16" width="4.28515625" customWidth="1"/>
    <col min="17" max="17" width="3.28515625" customWidth="1"/>
    <col min="18" max="18" width="5.140625" customWidth="1"/>
    <col min="19" max="19" width="4.28515625" customWidth="1"/>
    <col min="20" max="20" width="5.28515625" customWidth="1"/>
    <col min="21" max="21" width="4.28515625" customWidth="1"/>
    <col min="22" max="22" width="3.28515625" customWidth="1"/>
    <col min="23" max="23" width="11.28515625" customWidth="1"/>
  </cols>
  <sheetData>
    <row r="1" spans="1:23" ht="15.75" customHeight="1" x14ac:dyDescent="0.25">
      <c r="A1" s="147" t="s">
        <v>1</v>
      </c>
      <c r="B1" s="147" t="s">
        <v>3</v>
      </c>
      <c r="C1" s="258" t="s">
        <v>118</v>
      </c>
      <c r="D1" s="259"/>
      <c r="E1" s="259"/>
      <c r="F1" s="259"/>
      <c r="G1" s="260"/>
      <c r="H1" s="261" t="s">
        <v>119</v>
      </c>
      <c r="I1" s="259"/>
      <c r="J1" s="259"/>
      <c r="K1" s="259"/>
      <c r="L1" s="260"/>
      <c r="M1" s="262" t="s">
        <v>120</v>
      </c>
      <c r="N1" s="259"/>
      <c r="O1" s="259"/>
      <c r="P1" s="259"/>
      <c r="Q1" s="260"/>
      <c r="R1" s="263" t="s">
        <v>121</v>
      </c>
      <c r="S1" s="259"/>
      <c r="T1" s="259"/>
      <c r="U1" s="259"/>
      <c r="V1" s="260"/>
      <c r="W1" s="148" t="s">
        <v>122</v>
      </c>
    </row>
    <row r="2" spans="1:23" ht="15.75" customHeight="1" x14ac:dyDescent="0.25">
      <c r="A2" s="149"/>
      <c r="B2" s="149" t="s">
        <v>123</v>
      </c>
      <c r="C2" s="150" t="s">
        <v>25</v>
      </c>
      <c r="D2" s="150" t="s">
        <v>26</v>
      </c>
      <c r="E2" s="150" t="s">
        <v>27</v>
      </c>
      <c r="F2" s="150" t="s">
        <v>28</v>
      </c>
      <c r="G2" s="150" t="s">
        <v>29</v>
      </c>
      <c r="H2" s="152" t="s">
        <v>25</v>
      </c>
      <c r="I2" s="152" t="s">
        <v>26</v>
      </c>
      <c r="J2" s="152" t="s">
        <v>27</v>
      </c>
      <c r="K2" s="152" t="s">
        <v>28</v>
      </c>
      <c r="L2" s="152" t="s">
        <v>29</v>
      </c>
      <c r="M2" s="154" t="s">
        <v>25</v>
      </c>
      <c r="N2" s="154" t="s">
        <v>26</v>
      </c>
      <c r="O2" s="154" t="s">
        <v>27</v>
      </c>
      <c r="P2" s="154" t="s">
        <v>28</v>
      </c>
      <c r="Q2" s="154" t="s">
        <v>29</v>
      </c>
      <c r="R2" s="155" t="s">
        <v>25</v>
      </c>
      <c r="S2" s="155" t="s">
        <v>26</v>
      </c>
      <c r="T2" s="155" t="s">
        <v>27</v>
      </c>
      <c r="U2" s="155" t="s">
        <v>28</v>
      </c>
      <c r="V2" s="155" t="s">
        <v>29</v>
      </c>
      <c r="W2" s="156"/>
    </row>
    <row r="3" spans="1:23" ht="15.75" customHeight="1" x14ac:dyDescent="0.25">
      <c r="A3" s="161">
        <f>Commercial!A3</f>
        <v>1291</v>
      </c>
      <c r="B3" s="164" t="str">
        <f t="array" ref="B3">IFERROR(INDEX(Commercial!B:B,MATCH(A3,Commercial!A:A,0)),"")</f>
        <v>Raven Mitchell (Commercial)</v>
      </c>
      <c r="C3" s="169">
        <f>IFERROR(SUMIF('COM Winbacks'!$A:$A,$A3,'COM Winbacks'!C:C),0)</f>
        <v>0</v>
      </c>
      <c r="D3" s="170">
        <f>IFERROR(SUMIF('COM Winbacks'!$A:$A,$A3,'COM Winbacks'!D:D),0)</f>
        <v>0</v>
      </c>
      <c r="E3" s="170">
        <f>IFERROR(SUMIF('COM Winbacks'!$A:$A,$A3,'COM Winbacks'!E:E),0)</f>
        <v>0</v>
      </c>
      <c r="F3" s="170">
        <f>IFERROR(SUMIF('COM Winbacks'!$A:$A,$A3,'COM Winbacks'!F:F),0)</f>
        <v>0</v>
      </c>
      <c r="G3" s="171">
        <f>IFERROR(SUMIF('COM Winbacks'!$A:$A,$A3,'COM Winbacks'!G:G),0)</f>
        <v>0</v>
      </c>
      <c r="H3" s="172">
        <f>IFERROR(SUMIF(Residential!$A:$A,$A3,Residential!C:C),0)</f>
        <v>0</v>
      </c>
      <c r="I3" s="170">
        <f>IFERROR(SUMIF(Residential!$A:$A,$A3,Residential!D:D),0)</f>
        <v>0</v>
      </c>
      <c r="J3" s="170">
        <f>IFERROR(SUMIF(Residential!$A:$A,$A3,Residential!E:E),0)</f>
        <v>0</v>
      </c>
      <c r="K3" s="170">
        <f>IFERROR(SUMIF(Residential!$A:$A,$A3,Residential!F:F),0)</f>
        <v>0</v>
      </c>
      <c r="L3" s="171">
        <f>IFERROR(SUMIF(Residential!$A:$A,$A3,Residential!G:G),0)</f>
        <v>0</v>
      </c>
      <c r="M3" s="172">
        <f>IFERROR(SUMIF(Commercial!$A$3:$A$11,$A3,Commercial!Q$3:Q$11),0)</f>
        <v>3</v>
      </c>
      <c r="N3" s="170">
        <f>IFERROR(SUMIF(Commercial!$A$3:$A$11,$A3,Commercial!V$3:V$11),0)</f>
        <v>2</v>
      </c>
      <c r="O3" s="170">
        <f>IFERROR(SUMIF(Commercial!$A$3:$A$11,$A3,Commercial!W$3:W$11),0)</f>
        <v>0</v>
      </c>
      <c r="P3" s="170">
        <f>IFERROR(SUMIF(Commercial!$A$3:$A$11,$A3,Commercial!AB$3:AB$11),0)</f>
        <v>1</v>
      </c>
      <c r="Q3" s="171">
        <f>IFERROR(SUMIF(Commercial!$A$3:$A$11,$A3,Commercial!AC$3:AC$11),0)</f>
        <v>0</v>
      </c>
      <c r="R3" s="186">
        <f t="shared" ref="R3:V3" si="0">C3+H3+M3</f>
        <v>3</v>
      </c>
      <c r="S3" s="190">
        <f t="shared" si="0"/>
        <v>2</v>
      </c>
      <c r="T3" s="190">
        <f t="shared" si="0"/>
        <v>0</v>
      </c>
      <c r="U3" s="192">
        <f t="shared" si="0"/>
        <v>1</v>
      </c>
      <c r="V3" s="195">
        <f t="shared" si="0"/>
        <v>0</v>
      </c>
      <c r="W3" s="197">
        <f t="shared" ref="W3:W13" si="1">SUM(R3:V3)</f>
        <v>6</v>
      </c>
    </row>
    <row r="4" spans="1:23" ht="15.75" customHeight="1" x14ac:dyDescent="0.25">
      <c r="A4" s="161">
        <f>Commercial!A4</f>
        <v>1292</v>
      </c>
      <c r="B4" s="164" t="str">
        <f t="array" ref="B4">IFERROR(INDEX(Commercial!B:B,MATCH(A4,Commercial!A:A,0)),"")</f>
        <v>Jakarta Hunter (Commercial)</v>
      </c>
      <c r="C4" s="169">
        <f>IFERROR(SUMIF('COM Winbacks'!$A:$A,$A4,'COM Winbacks'!C:C),0)</f>
        <v>0</v>
      </c>
      <c r="D4" s="170">
        <f>IFERROR(SUMIF('COM Winbacks'!$A:$A,$A4,'COM Winbacks'!D:D),0)</f>
        <v>0</v>
      </c>
      <c r="E4" s="170">
        <f>IFERROR(SUMIF('COM Winbacks'!$A:$A,$A4,'COM Winbacks'!E:E),0)</f>
        <v>0</v>
      </c>
      <c r="F4" s="170">
        <f>IFERROR(SUMIF('COM Winbacks'!$A:$A,$A4,'COM Winbacks'!F:F),0)</f>
        <v>0</v>
      </c>
      <c r="G4" s="171">
        <f>IFERROR(SUMIF('COM Winbacks'!$A:$A,$A4,'COM Winbacks'!G:G),0)</f>
        <v>0</v>
      </c>
      <c r="H4" s="172">
        <f>IFERROR(SUMIF(Residential!$A:$A,$A4,Residential!C:C),0)</f>
        <v>0</v>
      </c>
      <c r="I4" s="170">
        <f>IFERROR(SUMIF(Residential!$A:$A,$A4,Residential!D:D),0)</f>
        <v>0</v>
      </c>
      <c r="J4" s="170">
        <f>IFERROR(SUMIF(Residential!$A:$A,$A4,Residential!E:E),0)</f>
        <v>0</v>
      </c>
      <c r="K4" s="170">
        <f>IFERROR(SUMIF(Residential!$A:$A,$A4,Residential!F:F),0)</f>
        <v>0</v>
      </c>
      <c r="L4" s="171">
        <f>IFERROR(SUMIF(Residential!$A:$A,$A4,Residential!G:G),0)</f>
        <v>0</v>
      </c>
      <c r="M4" s="172">
        <f>IFERROR(SUMIF(Commercial!$A$3:$A$11,$A4,Commercial!Q$3:Q$11),0)</f>
        <v>0</v>
      </c>
      <c r="N4" s="170">
        <f>IFERROR(SUMIF(Commercial!$A$3:$A$11,$A4,Commercial!V$3:V$11),0)</f>
        <v>0</v>
      </c>
      <c r="O4" s="170">
        <f>IFERROR(SUMIF(Commercial!$A$3:$A$11,$A4,Commercial!W$3:W$11),0)</f>
        <v>0</v>
      </c>
      <c r="P4" s="170">
        <f>IFERROR(SUMIF(Commercial!$A$3:$A$11,$A4,Commercial!AB$3:AB$11),0)</f>
        <v>0</v>
      </c>
      <c r="Q4" s="171">
        <f>IFERROR(SUMIF(Commercial!$A$3:$A$11,$A4,Commercial!AC$3:AC$11),0)</f>
        <v>0</v>
      </c>
      <c r="R4" s="186">
        <f t="shared" ref="R4:V4" si="2">C4+H4+M4</f>
        <v>0</v>
      </c>
      <c r="S4" s="190">
        <f t="shared" si="2"/>
        <v>0</v>
      </c>
      <c r="T4" s="190">
        <f t="shared" si="2"/>
        <v>0</v>
      </c>
      <c r="U4" s="192">
        <f t="shared" si="2"/>
        <v>0</v>
      </c>
      <c r="V4" s="195">
        <f t="shared" si="2"/>
        <v>0</v>
      </c>
      <c r="W4" s="197">
        <f t="shared" si="1"/>
        <v>0</v>
      </c>
    </row>
    <row r="5" spans="1:23" ht="15.75" customHeight="1" x14ac:dyDescent="0.25">
      <c r="A5" s="161">
        <f>Commercial!A5</f>
        <v>1295</v>
      </c>
      <c r="B5" s="164" t="str">
        <f t="array" ref="B5">IFERROR(INDEX(Commercial!B:B,MATCH(A5,Commercial!A:A,0)),"")</f>
        <v>Luis Buitrago (Commercial)</v>
      </c>
      <c r="C5" s="169">
        <f>IFERROR(SUMIF('COM Winbacks'!$A:$A,$A5,'COM Winbacks'!C:C),0)</f>
        <v>0</v>
      </c>
      <c r="D5" s="170">
        <f>IFERROR(SUMIF('COM Winbacks'!$A:$A,$A5,'COM Winbacks'!D:D),0)</f>
        <v>0</v>
      </c>
      <c r="E5" s="170">
        <f>IFERROR(SUMIF('COM Winbacks'!$A:$A,$A5,'COM Winbacks'!E:E),0)</f>
        <v>0</v>
      </c>
      <c r="F5" s="170">
        <f>IFERROR(SUMIF('COM Winbacks'!$A:$A,$A5,'COM Winbacks'!F:F),0)</f>
        <v>0</v>
      </c>
      <c r="G5" s="171">
        <f>IFERROR(SUMIF('COM Winbacks'!$A:$A,$A5,'COM Winbacks'!G:G),0)</f>
        <v>0</v>
      </c>
      <c r="H5" s="172">
        <f>IFERROR(SUMIF(Residential!$A:$A,$A5,Residential!C:C),0)</f>
        <v>0</v>
      </c>
      <c r="I5" s="170">
        <f>IFERROR(SUMIF(Residential!$A:$A,$A5,Residential!D:D),0)</f>
        <v>0</v>
      </c>
      <c r="J5" s="170">
        <f>IFERROR(SUMIF(Residential!$A:$A,$A5,Residential!E:E),0)</f>
        <v>0</v>
      </c>
      <c r="K5" s="170">
        <f>IFERROR(SUMIF(Residential!$A:$A,$A5,Residential!F:F),0)</f>
        <v>0</v>
      </c>
      <c r="L5" s="171">
        <f>IFERROR(SUMIF(Residential!$A:$A,$A5,Residential!G:G),0)</f>
        <v>0</v>
      </c>
      <c r="M5" s="172">
        <f>IFERROR(SUMIF(Commercial!$A$3:$A$11,$A5,Commercial!Q$3:Q$11),0)</f>
        <v>0</v>
      </c>
      <c r="N5" s="170">
        <f>IFERROR(SUMIF(Commercial!$A$3:$A$11,$A5,Commercial!V$3:V$11),0)</f>
        <v>0</v>
      </c>
      <c r="O5" s="170">
        <f>IFERROR(SUMIF(Commercial!$A$3:$A$11,$A5,Commercial!W$3:W$11),0)</f>
        <v>0</v>
      </c>
      <c r="P5" s="170">
        <f>IFERROR(SUMIF(Commercial!$A$3:$A$11,$A5,Commercial!AB$3:AB$11),0)</f>
        <v>0</v>
      </c>
      <c r="Q5" s="171">
        <f>IFERROR(SUMIF(Commercial!$A$3:$A$11,$A5,Commercial!AC$3:AC$11),0)</f>
        <v>0</v>
      </c>
      <c r="R5" s="186">
        <f t="shared" ref="R5:V5" si="3">C5+H5+M5</f>
        <v>0</v>
      </c>
      <c r="S5" s="190">
        <f t="shared" si="3"/>
        <v>0</v>
      </c>
      <c r="T5" s="190">
        <f t="shared" si="3"/>
        <v>0</v>
      </c>
      <c r="U5" s="192">
        <f t="shared" si="3"/>
        <v>0</v>
      </c>
      <c r="V5" s="195">
        <f t="shared" si="3"/>
        <v>0</v>
      </c>
      <c r="W5" s="197">
        <f t="shared" si="1"/>
        <v>0</v>
      </c>
    </row>
    <row r="6" spans="1:23" ht="15.75" customHeight="1" x14ac:dyDescent="0.25">
      <c r="A6" s="161" t="e">
        <f>Commercial!#REF!</f>
        <v>#REF!</v>
      </c>
      <c r="B6" s="164" t="str">
        <f t="array" ref="B6">IFERROR(INDEX(Commercial!B:B,MATCH(A6,Commercial!A:A,0)),"")</f>
        <v/>
      </c>
      <c r="C6" s="169">
        <f>IFERROR(SUMIF('COM Winbacks'!$A:$A,$A6,'COM Winbacks'!C:C),0)</f>
        <v>0</v>
      </c>
      <c r="D6" s="170">
        <f>IFERROR(SUMIF('COM Winbacks'!$A:$A,$A6,'COM Winbacks'!D:D),0)</f>
        <v>0</v>
      </c>
      <c r="E6" s="170">
        <f>IFERROR(SUMIF('COM Winbacks'!$A:$A,$A6,'COM Winbacks'!E:E),0)</f>
        <v>0</v>
      </c>
      <c r="F6" s="170">
        <f>IFERROR(SUMIF('COM Winbacks'!$A:$A,$A6,'COM Winbacks'!F:F),0)</f>
        <v>0</v>
      </c>
      <c r="G6" s="171">
        <f>IFERROR(SUMIF('COM Winbacks'!$A:$A,$A6,'COM Winbacks'!G:G),0)</f>
        <v>0</v>
      </c>
      <c r="H6" s="172">
        <f>IFERROR(SUMIF(Residential!$A:$A,$A6,Residential!C:C),0)</f>
        <v>0</v>
      </c>
      <c r="I6" s="170">
        <f>IFERROR(SUMIF(Residential!$A:$A,$A6,Residential!D:D),0)</f>
        <v>0</v>
      </c>
      <c r="J6" s="170">
        <f>IFERROR(SUMIF(Residential!$A:$A,$A6,Residential!E:E),0)</f>
        <v>0</v>
      </c>
      <c r="K6" s="170">
        <f>IFERROR(SUMIF(Residential!$A:$A,$A6,Residential!F:F),0)</f>
        <v>0</v>
      </c>
      <c r="L6" s="171">
        <f>IFERROR(SUMIF(Residential!$A:$A,$A6,Residential!G:G),0)</f>
        <v>0</v>
      </c>
      <c r="M6" s="172">
        <f>IFERROR(SUMIF(Commercial!$A$3:$A$11,$A6,Commercial!Q$3:Q$11),0)</f>
        <v>0</v>
      </c>
      <c r="N6" s="170">
        <f>IFERROR(SUMIF(Commercial!$A$3:$A$11,$A6,Commercial!V$3:V$11),0)</f>
        <v>0</v>
      </c>
      <c r="O6" s="170">
        <f>IFERROR(SUMIF(Commercial!$A$3:$A$11,$A6,Commercial!W$3:W$11),0)</f>
        <v>0</v>
      </c>
      <c r="P6" s="170">
        <f>IFERROR(SUMIF(Commercial!$A$3:$A$11,$A6,Commercial!AB$3:AB$11),0)</f>
        <v>0</v>
      </c>
      <c r="Q6" s="171">
        <f>IFERROR(SUMIF(Commercial!$A$3:$A$11,$A6,Commercial!AC$3:AC$11),0)</f>
        <v>0</v>
      </c>
      <c r="R6" s="186">
        <f t="shared" ref="R6:V6" si="4">C6+H6+M6</f>
        <v>0</v>
      </c>
      <c r="S6" s="190">
        <f t="shared" si="4"/>
        <v>0</v>
      </c>
      <c r="T6" s="190">
        <f t="shared" si="4"/>
        <v>0</v>
      </c>
      <c r="U6" s="192">
        <f t="shared" si="4"/>
        <v>0</v>
      </c>
      <c r="V6" s="195">
        <f t="shared" si="4"/>
        <v>0</v>
      </c>
      <c r="W6" s="197">
        <f t="shared" si="1"/>
        <v>0</v>
      </c>
    </row>
    <row r="7" spans="1:23" ht="15.75" customHeight="1" x14ac:dyDescent="0.25">
      <c r="A7" s="161">
        <f>Commercial!A6</f>
        <v>1288</v>
      </c>
      <c r="B7" s="164" t="str">
        <f t="array" ref="B7">IFERROR(INDEX(Commercial!B:B,MATCH(A7,Commercial!A:A,0)),"")</f>
        <v>Allen Alberts(Commercial-Closer)</v>
      </c>
      <c r="C7" s="169">
        <f>IFERROR(SUMIF('COM Winbacks'!$A:$A,$A7,'COM Winbacks'!C:C),0)</f>
        <v>0</v>
      </c>
      <c r="D7" s="170">
        <f>IFERROR(SUMIF('COM Winbacks'!$A:$A,$A7,'COM Winbacks'!D:D),0)</f>
        <v>0</v>
      </c>
      <c r="E7" s="170">
        <f>IFERROR(SUMIF('COM Winbacks'!$A:$A,$A7,'COM Winbacks'!E:E),0)</f>
        <v>0</v>
      </c>
      <c r="F7" s="170">
        <f>IFERROR(SUMIF('COM Winbacks'!$A:$A,$A7,'COM Winbacks'!F:F),0)</f>
        <v>0</v>
      </c>
      <c r="G7" s="171">
        <f>IFERROR(SUMIF('COM Winbacks'!$A:$A,$A7,'COM Winbacks'!G:G),0)</f>
        <v>0</v>
      </c>
      <c r="H7" s="172">
        <f>IFERROR(SUMIF(Residential!$A:$A,$A7,Residential!C:C),0)</f>
        <v>0</v>
      </c>
      <c r="I7" s="170">
        <f>IFERROR(SUMIF(Residential!$A:$A,$A7,Residential!D:D),0)</f>
        <v>0</v>
      </c>
      <c r="J7" s="170">
        <f>IFERROR(SUMIF(Residential!$A:$A,$A7,Residential!E:E),0)</f>
        <v>0</v>
      </c>
      <c r="K7" s="170">
        <f>IFERROR(SUMIF(Residential!$A:$A,$A7,Residential!F:F),0)</f>
        <v>0</v>
      </c>
      <c r="L7" s="171">
        <f>IFERROR(SUMIF(Residential!$A:$A,$A7,Residential!G:G),0)</f>
        <v>0</v>
      </c>
      <c r="M7" s="172">
        <f>IFERROR(SUMIF(Commercial!$A$3:$A$11,$A7,Commercial!Q$3:Q$11),0)</f>
        <v>0</v>
      </c>
      <c r="N7" s="170">
        <f>IFERROR(SUMIF(Commercial!$A$3:$A$11,$A7,Commercial!V$3:V$11),0)</f>
        <v>0</v>
      </c>
      <c r="O7" s="170">
        <f>IFERROR(SUMIF(Commercial!$A$3:$A$11,$A7,Commercial!W$3:W$11),0)</f>
        <v>0</v>
      </c>
      <c r="P7" s="170">
        <f>IFERROR(SUMIF(Commercial!$A$3:$A$11,$A7,Commercial!AB$3:AB$11),0)</f>
        <v>0</v>
      </c>
      <c r="Q7" s="171">
        <f>IFERROR(SUMIF(Commercial!$A$3:$A$11,$A7,Commercial!AC$3:AC$11),0)</f>
        <v>0</v>
      </c>
      <c r="R7" s="186">
        <f t="shared" ref="R7:V7" si="5">C7+H7+M7</f>
        <v>0</v>
      </c>
      <c r="S7" s="190">
        <f t="shared" si="5"/>
        <v>0</v>
      </c>
      <c r="T7" s="190">
        <f t="shared" si="5"/>
        <v>0</v>
      </c>
      <c r="U7" s="192">
        <f t="shared" si="5"/>
        <v>0</v>
      </c>
      <c r="V7" s="195">
        <f t="shared" si="5"/>
        <v>0</v>
      </c>
      <c r="W7" s="197">
        <f t="shared" si="1"/>
        <v>0</v>
      </c>
    </row>
    <row r="8" spans="1:23" ht="15.75" customHeight="1" x14ac:dyDescent="0.25">
      <c r="A8" s="161">
        <f>Commercial!A7</f>
        <v>1175</v>
      </c>
      <c r="B8" s="164" t="str">
        <f t="array" ref="B8">IFERROR(INDEX(Commercial!B:B,MATCH(A8,Commercial!A:A,0)),"")</f>
        <v>Kenticka Tate (Remote)(Commercial)</v>
      </c>
      <c r="C8" s="169">
        <f>IFERROR(SUMIF('COM Winbacks'!$A:$A,$A8,'COM Winbacks'!C:C),0)</f>
        <v>0</v>
      </c>
      <c r="D8" s="170">
        <f>IFERROR(SUMIF('COM Winbacks'!$A:$A,$A8,'COM Winbacks'!D:D),0)</f>
        <v>0</v>
      </c>
      <c r="E8" s="170">
        <f>IFERROR(SUMIF('COM Winbacks'!$A:$A,$A8,'COM Winbacks'!E:E),0)</f>
        <v>0</v>
      </c>
      <c r="F8" s="170">
        <f>IFERROR(SUMIF('COM Winbacks'!$A:$A,$A8,'COM Winbacks'!F:F),0)</f>
        <v>0</v>
      </c>
      <c r="G8" s="171">
        <f>IFERROR(SUMIF('COM Winbacks'!$A:$A,$A8,'COM Winbacks'!G:G),0)</f>
        <v>0</v>
      </c>
      <c r="H8" s="172">
        <f>IFERROR(SUMIF(Residential!$A:$A,$A8,Residential!C:C),0)</f>
        <v>0</v>
      </c>
      <c r="I8" s="170">
        <f>IFERROR(SUMIF(Residential!$A:$A,$A8,Residential!D:D),0)</f>
        <v>0</v>
      </c>
      <c r="J8" s="170">
        <f>IFERROR(SUMIF(Residential!$A:$A,$A8,Residential!E:E),0)</f>
        <v>0</v>
      </c>
      <c r="K8" s="170">
        <f>IFERROR(SUMIF(Residential!$A:$A,$A8,Residential!F:F),0)</f>
        <v>0</v>
      </c>
      <c r="L8" s="171">
        <f>IFERROR(SUMIF(Residential!$A:$A,$A8,Residential!G:G),0)</f>
        <v>0</v>
      </c>
      <c r="M8" s="172">
        <f>IFERROR(SUMIF(Commercial!$A$3:$A$11,$A8,Commercial!Q$3:Q$11),0)</f>
        <v>0</v>
      </c>
      <c r="N8" s="170">
        <f>IFERROR(SUMIF(Commercial!$A$3:$A$11,$A8,Commercial!V$3:V$11),0)</f>
        <v>1</v>
      </c>
      <c r="O8" s="170">
        <f>IFERROR(SUMIF(Commercial!$A$3:$A$11,$A8,Commercial!W$3:W$11),0)</f>
        <v>1</v>
      </c>
      <c r="P8" s="170">
        <f>IFERROR(SUMIF(Commercial!$A$3:$A$11,$A8,Commercial!AB$3:AB$11),0)</f>
        <v>2</v>
      </c>
      <c r="Q8" s="171">
        <f>IFERROR(SUMIF(Commercial!$A$3:$A$11,$A8,Commercial!AC$3:AC$11),0)</f>
        <v>1</v>
      </c>
      <c r="R8" s="186">
        <f t="shared" ref="R8:V8" si="6">C8+H8+M8</f>
        <v>0</v>
      </c>
      <c r="S8" s="190">
        <f t="shared" si="6"/>
        <v>1</v>
      </c>
      <c r="T8" s="190">
        <f t="shared" si="6"/>
        <v>1</v>
      </c>
      <c r="U8" s="192">
        <f t="shared" si="6"/>
        <v>2</v>
      </c>
      <c r="V8" s="195">
        <f t="shared" si="6"/>
        <v>1</v>
      </c>
      <c r="W8" s="197">
        <f t="shared" si="1"/>
        <v>5</v>
      </c>
    </row>
    <row r="9" spans="1:23" ht="15.75" customHeight="1" x14ac:dyDescent="0.25">
      <c r="A9" s="161">
        <f>Commercial!A8</f>
        <v>1294</v>
      </c>
      <c r="B9" s="164" t="str">
        <f t="array" ref="B9">IFERROR(INDEX(Commercial!B:B,MATCH(A9,Commercial!A:A,0)),"")</f>
        <v>Brandy Paton (Commercial)</v>
      </c>
      <c r="C9" s="169">
        <f>IFERROR(SUMIF('COM Winbacks'!$A:$A,$A9,'COM Winbacks'!C:C),0)</f>
        <v>0</v>
      </c>
      <c r="D9" s="170">
        <f>IFERROR(SUMIF('COM Winbacks'!$A:$A,$A9,'COM Winbacks'!D:D),0)</f>
        <v>0</v>
      </c>
      <c r="E9" s="170">
        <f>IFERROR(SUMIF('COM Winbacks'!$A:$A,$A9,'COM Winbacks'!E:E),0)</f>
        <v>0</v>
      </c>
      <c r="F9" s="170">
        <f>IFERROR(SUMIF('COM Winbacks'!$A:$A,$A9,'COM Winbacks'!F:F),0)</f>
        <v>0</v>
      </c>
      <c r="G9" s="171">
        <f>IFERROR(SUMIF('COM Winbacks'!$A:$A,$A9,'COM Winbacks'!G:G),0)</f>
        <v>0</v>
      </c>
      <c r="H9" s="172">
        <f>IFERROR(SUMIF(Residential!$A:$A,$A9,Residential!C:C),0)</f>
        <v>0</v>
      </c>
      <c r="I9" s="170">
        <f>IFERROR(SUMIF(Residential!$A:$A,$A9,Residential!D:D),0)</f>
        <v>0</v>
      </c>
      <c r="J9" s="170">
        <f>IFERROR(SUMIF(Residential!$A:$A,$A9,Residential!E:E),0)</f>
        <v>0</v>
      </c>
      <c r="K9" s="170">
        <f>IFERROR(SUMIF(Residential!$A:$A,$A9,Residential!F:F),0)</f>
        <v>0</v>
      </c>
      <c r="L9" s="171">
        <f>IFERROR(SUMIF(Residential!$A:$A,$A9,Residential!G:G),0)</f>
        <v>0</v>
      </c>
      <c r="M9" s="172">
        <f>IFERROR(SUMIF(Commercial!$A$3:$A$11,$A9,Commercial!Q$3:Q$11),0)</f>
        <v>0</v>
      </c>
      <c r="N9" s="170">
        <f>IFERROR(SUMIF(Commercial!$A$3:$A$11,$A9,Commercial!V$3:V$11),0)</f>
        <v>0</v>
      </c>
      <c r="O9" s="170">
        <f>IFERROR(SUMIF(Commercial!$A$3:$A$11,$A9,Commercial!W$3:W$11),0)</f>
        <v>0</v>
      </c>
      <c r="P9" s="170">
        <f>IFERROR(SUMIF(Commercial!$A$3:$A$11,$A9,Commercial!AB$3:AB$11),0)</f>
        <v>0</v>
      </c>
      <c r="Q9" s="171">
        <f>IFERROR(SUMIF(Commercial!$A$3:$A$11,$A9,Commercial!AC$3:AC$11),0)</f>
        <v>0</v>
      </c>
      <c r="R9" s="186">
        <f t="shared" ref="R9:V9" si="7">C9+H9+M9</f>
        <v>0</v>
      </c>
      <c r="S9" s="190">
        <f t="shared" si="7"/>
        <v>0</v>
      </c>
      <c r="T9" s="190">
        <f t="shared" si="7"/>
        <v>0</v>
      </c>
      <c r="U9" s="192">
        <f t="shared" si="7"/>
        <v>0</v>
      </c>
      <c r="V9" s="195">
        <f t="shared" si="7"/>
        <v>0</v>
      </c>
      <c r="W9" s="197">
        <f t="shared" si="1"/>
        <v>0</v>
      </c>
    </row>
    <row r="10" spans="1:23" ht="15.75" customHeight="1" x14ac:dyDescent="0.25">
      <c r="A10" s="161">
        <f>Commercial!A9</f>
        <v>1280</v>
      </c>
      <c r="B10" s="164" t="str">
        <f t="array" ref="B10">IFERROR(INDEX(Commercial!B:B,MATCH(A10,Commercial!A:A,0)),"")</f>
        <v>Ashlee Franks (Commercial)</v>
      </c>
      <c r="C10" s="169">
        <f>IFERROR(SUMIF('COM Winbacks'!$A:$A,$A10,'COM Winbacks'!C:C),0)</f>
        <v>0</v>
      </c>
      <c r="D10" s="170">
        <f>IFERROR(SUMIF('COM Winbacks'!$A:$A,$A10,'COM Winbacks'!D:D),0)</f>
        <v>0</v>
      </c>
      <c r="E10" s="170">
        <f>IFERROR(SUMIF('COM Winbacks'!$A:$A,$A10,'COM Winbacks'!E:E),0)</f>
        <v>0</v>
      </c>
      <c r="F10" s="170">
        <f>IFERROR(SUMIF('COM Winbacks'!$A:$A,$A10,'COM Winbacks'!F:F),0)</f>
        <v>0</v>
      </c>
      <c r="G10" s="171">
        <f>IFERROR(SUMIF('COM Winbacks'!$A:$A,$A10,'COM Winbacks'!G:G),0)</f>
        <v>0</v>
      </c>
      <c r="H10" s="172">
        <f>IFERROR(SUMIF(Residential!$A:$A,$A10,Residential!C:C),0)</f>
        <v>0</v>
      </c>
      <c r="I10" s="170">
        <f>IFERROR(SUMIF(Residential!$A:$A,$A10,Residential!D:D),0)</f>
        <v>0</v>
      </c>
      <c r="J10" s="170">
        <f>IFERROR(SUMIF(Residential!$A:$A,$A10,Residential!E:E),0)</f>
        <v>0</v>
      </c>
      <c r="K10" s="170">
        <f>IFERROR(SUMIF(Residential!$A:$A,$A10,Residential!F:F),0)</f>
        <v>0</v>
      </c>
      <c r="L10" s="171">
        <f>IFERROR(SUMIF(Residential!$A:$A,$A10,Residential!G:G),0)</f>
        <v>0</v>
      </c>
      <c r="M10" s="172">
        <f>IFERROR(SUMIF(Commercial!$A$3:$A$11,$A10,Commercial!Q$3:Q$11),0)</f>
        <v>4</v>
      </c>
      <c r="N10" s="170">
        <f>IFERROR(SUMIF(Commercial!$A$3:$A$11,$A10,Commercial!V$3:V$11),0)</f>
        <v>0</v>
      </c>
      <c r="O10" s="170">
        <f>IFERROR(SUMIF(Commercial!$A$3:$A$11,$A10,Commercial!W$3:W$11),0)</f>
        <v>0</v>
      </c>
      <c r="P10" s="170">
        <f>IFERROR(SUMIF(Commercial!$A$3:$A$11,$A10,Commercial!AB$3:AB$11),0)</f>
        <v>0</v>
      </c>
      <c r="Q10" s="171">
        <f>IFERROR(SUMIF(Commercial!$A$3:$A$11,$A10,Commercial!AC$3:AC$11),0)</f>
        <v>1</v>
      </c>
      <c r="R10" s="186">
        <f t="shared" ref="R10:V10" si="8">C10+H10+M10</f>
        <v>4</v>
      </c>
      <c r="S10" s="190">
        <f t="shared" si="8"/>
        <v>0</v>
      </c>
      <c r="T10" s="190">
        <f t="shared" si="8"/>
        <v>0</v>
      </c>
      <c r="U10" s="192">
        <f t="shared" si="8"/>
        <v>0</v>
      </c>
      <c r="V10" s="195">
        <f t="shared" si="8"/>
        <v>1</v>
      </c>
      <c r="W10" s="197">
        <f t="shared" si="1"/>
        <v>5</v>
      </c>
    </row>
    <row r="11" spans="1:23" ht="15.75" customHeight="1" x14ac:dyDescent="0.25">
      <c r="A11" s="161">
        <f>Commercial!A10</f>
        <v>1298</v>
      </c>
      <c r="B11" s="164" t="str">
        <f t="array" ref="B11">IFERROR(INDEX(Commercial!B:B,MATCH(A11,Commercial!A:A,0)),"")</f>
        <v>Shelby Lewis (Commercial)</v>
      </c>
      <c r="C11" s="169">
        <f>IFERROR(SUMIF('COM Winbacks'!$A:$A,$A11,'COM Winbacks'!C:C),0)</f>
        <v>0</v>
      </c>
      <c r="D11" s="170">
        <f>IFERROR(SUMIF('COM Winbacks'!$A:$A,$A11,'COM Winbacks'!D:D),0)</f>
        <v>0</v>
      </c>
      <c r="E11" s="170">
        <f>IFERROR(SUMIF('COM Winbacks'!$A:$A,$A11,'COM Winbacks'!E:E),0)</f>
        <v>0</v>
      </c>
      <c r="F11" s="170">
        <f>IFERROR(SUMIF('COM Winbacks'!$A:$A,$A11,'COM Winbacks'!F:F),0)</f>
        <v>0</v>
      </c>
      <c r="G11" s="171">
        <f>IFERROR(SUMIF('COM Winbacks'!$A:$A,$A11,'COM Winbacks'!G:G),0)</f>
        <v>0</v>
      </c>
      <c r="H11" s="172">
        <f>IFERROR(SUMIF(Residential!$A:$A,$A11,Residential!C:C),0)</f>
        <v>0</v>
      </c>
      <c r="I11" s="170">
        <f>IFERROR(SUMIF(Residential!$A:$A,$A11,Residential!D:D),0)</f>
        <v>0</v>
      </c>
      <c r="J11" s="170">
        <f>IFERROR(SUMIF(Residential!$A:$A,$A11,Residential!E:E),0)</f>
        <v>0</v>
      </c>
      <c r="K11" s="170">
        <f>IFERROR(SUMIF(Residential!$A:$A,$A11,Residential!F:F),0)</f>
        <v>0</v>
      </c>
      <c r="L11" s="171">
        <f>IFERROR(SUMIF(Residential!$A:$A,$A11,Residential!G:G),0)</f>
        <v>0</v>
      </c>
      <c r="M11" s="172">
        <f>IFERROR(SUMIF(Commercial!$A$3:$A$11,$A11,Commercial!Q$3:Q$11),0)</f>
        <v>0</v>
      </c>
      <c r="N11" s="170">
        <f>IFERROR(SUMIF(Commercial!$A$3:$A$11,$A11,Commercial!V$3:V$11),0)</f>
        <v>1</v>
      </c>
      <c r="O11" s="170">
        <f>IFERROR(SUMIF(Commercial!$A$3:$A$11,$A11,Commercial!W$3:W$11),0)</f>
        <v>1</v>
      </c>
      <c r="P11" s="170">
        <f>IFERROR(SUMIF(Commercial!$A$3:$A$11,$A11,Commercial!AB$3:AB$11),0)</f>
        <v>1</v>
      </c>
      <c r="Q11" s="171">
        <f>IFERROR(SUMIF(Commercial!$A$3:$A$11,$A11,Commercial!AC$3:AC$11),0)</f>
        <v>0</v>
      </c>
      <c r="R11" s="186">
        <f t="shared" ref="R11:V11" si="9">C11+H11+M11</f>
        <v>0</v>
      </c>
      <c r="S11" s="190">
        <f t="shared" si="9"/>
        <v>1</v>
      </c>
      <c r="T11" s="190">
        <f t="shared" si="9"/>
        <v>1</v>
      </c>
      <c r="U11" s="192">
        <f t="shared" si="9"/>
        <v>1</v>
      </c>
      <c r="V11" s="195">
        <f t="shared" si="9"/>
        <v>0</v>
      </c>
      <c r="W11" s="197">
        <f t="shared" si="1"/>
        <v>3</v>
      </c>
    </row>
    <row r="12" spans="1:23" ht="15.75" customHeight="1" x14ac:dyDescent="0.25">
      <c r="A12" s="161" t="e">
        <f>Commercial!#REF!</f>
        <v>#REF!</v>
      </c>
      <c r="B12" s="164" t="str">
        <f t="array" ref="B12">IFERROR(INDEX(Commercial!B:B,MATCH(A12,Commercial!A:A,0)),"")</f>
        <v/>
      </c>
      <c r="C12" s="169">
        <f>IFERROR(SUMIF('COM Winbacks'!$A:$A,$A12,'COM Winbacks'!C:C),0)</f>
        <v>0</v>
      </c>
      <c r="D12" s="170">
        <f>IFERROR(SUMIF('COM Winbacks'!$A:$A,$A12,'COM Winbacks'!D:D),0)</f>
        <v>0</v>
      </c>
      <c r="E12" s="170">
        <f>IFERROR(SUMIF('COM Winbacks'!$A:$A,$A12,'COM Winbacks'!E:E),0)</f>
        <v>0</v>
      </c>
      <c r="F12" s="170">
        <f>IFERROR(SUMIF('COM Winbacks'!$A:$A,$A12,'COM Winbacks'!F:F),0)</f>
        <v>0</v>
      </c>
      <c r="G12" s="171">
        <f>IFERROR(SUMIF('COM Winbacks'!$A:$A,$A12,'COM Winbacks'!G:G),0)</f>
        <v>0</v>
      </c>
      <c r="H12" s="172">
        <f>IFERROR(SUMIF(Residential!$A:$A,$A12,Residential!C:C),0)</f>
        <v>0</v>
      </c>
      <c r="I12" s="170">
        <f>IFERROR(SUMIF(Residential!$A:$A,$A12,Residential!D:D),0)</f>
        <v>0</v>
      </c>
      <c r="J12" s="170">
        <f>IFERROR(SUMIF(Residential!$A:$A,$A12,Residential!E:E),0)</f>
        <v>0</v>
      </c>
      <c r="K12" s="170">
        <f>IFERROR(SUMIF(Residential!$A:$A,$A12,Residential!F:F),0)</f>
        <v>0</v>
      </c>
      <c r="L12" s="171">
        <f>IFERROR(SUMIF(Residential!$A:$A,$A12,Residential!G:G),0)</f>
        <v>0</v>
      </c>
      <c r="M12" s="172">
        <f>IFERROR(SUMIF(Commercial!$A$3:$A$11,$A12,Commercial!Q$3:Q$11),0)</f>
        <v>0</v>
      </c>
      <c r="N12" s="170">
        <f>IFERROR(SUMIF(Commercial!$A$3:$A$11,$A12,Commercial!V$3:V$11),0)</f>
        <v>0</v>
      </c>
      <c r="O12" s="170">
        <f>IFERROR(SUMIF(Commercial!$A$3:$A$11,$A12,Commercial!W$3:W$11),0)</f>
        <v>0</v>
      </c>
      <c r="P12" s="170">
        <f>IFERROR(SUMIF(Commercial!$A$3:$A$11,$A12,Commercial!AB$3:AB$11),0)</f>
        <v>0</v>
      </c>
      <c r="Q12" s="171">
        <f>IFERROR(SUMIF(Commercial!$A$3:$A$11,$A12,Commercial!AC$3:AC$11),0)</f>
        <v>0</v>
      </c>
      <c r="R12" s="186">
        <f t="shared" ref="R12:V12" si="10">C12+H12+M12</f>
        <v>0</v>
      </c>
      <c r="S12" s="190">
        <f t="shared" si="10"/>
        <v>0</v>
      </c>
      <c r="T12" s="190">
        <f t="shared" si="10"/>
        <v>0</v>
      </c>
      <c r="U12" s="192">
        <f t="shared" si="10"/>
        <v>0</v>
      </c>
      <c r="V12" s="195">
        <f t="shared" si="10"/>
        <v>0</v>
      </c>
      <c r="W12" s="197">
        <f t="shared" si="1"/>
        <v>0</v>
      </c>
    </row>
    <row r="13" spans="1:23" ht="15.75" customHeight="1" x14ac:dyDescent="0.25">
      <c r="A13" s="161">
        <f>Commercial!A11</f>
        <v>1301</v>
      </c>
      <c r="B13" s="164" t="str">
        <f t="array" ref="B13">IFERROR(INDEX(Commercial!B:B,MATCH(A13,Commercial!A:A,0)),"")</f>
        <v>Albert Williams (Commercial)</v>
      </c>
      <c r="C13" s="169">
        <f>IFERROR(SUMIF('COM Winbacks'!$A:$A,$A13,'COM Winbacks'!C:C),0)</f>
        <v>0</v>
      </c>
      <c r="D13" s="170">
        <f>IFERROR(SUMIF('COM Winbacks'!$A:$A,$A13,'COM Winbacks'!D:D),0)</f>
        <v>0</v>
      </c>
      <c r="E13" s="170">
        <f>IFERROR(SUMIF('COM Winbacks'!$A:$A,$A13,'COM Winbacks'!E:E),0)</f>
        <v>0</v>
      </c>
      <c r="F13" s="170">
        <f>IFERROR(SUMIF('COM Winbacks'!$A:$A,$A13,'COM Winbacks'!F:F),0)</f>
        <v>0</v>
      </c>
      <c r="G13" s="171">
        <f>IFERROR(SUMIF('COM Winbacks'!$A:$A,$A13,'COM Winbacks'!G:G),0)</f>
        <v>0</v>
      </c>
      <c r="H13" s="172">
        <f>IFERROR(SUMIF(Residential!$A:$A,$A13,Residential!C:C),0)</f>
        <v>0</v>
      </c>
      <c r="I13" s="170">
        <f>IFERROR(SUMIF(Residential!$A:$A,$A13,Residential!D:D),0)</f>
        <v>0</v>
      </c>
      <c r="J13" s="170">
        <f>IFERROR(SUMIF(Residential!$A:$A,$A13,Residential!E:E),0)</f>
        <v>0</v>
      </c>
      <c r="K13" s="170">
        <f>IFERROR(SUMIF(Residential!$A:$A,$A13,Residential!F:F),0)</f>
        <v>0</v>
      </c>
      <c r="L13" s="171">
        <f>IFERROR(SUMIF(Residential!$A:$A,$A13,Residential!G:G),0)</f>
        <v>0</v>
      </c>
      <c r="M13" s="172">
        <f>IFERROR(SUMIF(Commercial!$A$3:$A$11,$A13,Commercial!Q$3:Q$11),0)</f>
        <v>0</v>
      </c>
      <c r="N13" s="170">
        <f>IFERROR(SUMIF(Commercial!$A$3:$A$11,$A13,Commercial!V$3:V$11),0)</f>
        <v>0</v>
      </c>
      <c r="O13" s="170">
        <f>IFERROR(SUMIF(Commercial!$A$3:$A$11,$A13,Commercial!W$3:W$11),0)</f>
        <v>0</v>
      </c>
      <c r="P13" s="170">
        <f>IFERROR(SUMIF(Commercial!$A$3:$A$11,$A13,Commercial!AB$3:AB$11),0)</f>
        <v>0</v>
      </c>
      <c r="Q13" s="171">
        <f>IFERROR(SUMIF(Commercial!$A$3:$A$11,$A13,Commercial!AC$3:AC$11),0)</f>
        <v>0</v>
      </c>
      <c r="R13" s="186">
        <f t="shared" ref="R13:V13" si="11">C13+H13+M13</f>
        <v>0</v>
      </c>
      <c r="S13" s="190">
        <f t="shared" si="11"/>
        <v>0</v>
      </c>
      <c r="T13" s="190">
        <f t="shared" si="11"/>
        <v>0</v>
      </c>
      <c r="U13" s="192">
        <f t="shared" si="11"/>
        <v>0</v>
      </c>
      <c r="V13" s="195">
        <f t="shared" si="11"/>
        <v>0</v>
      </c>
      <c r="W13" s="197">
        <f t="shared" si="1"/>
        <v>0</v>
      </c>
    </row>
    <row r="14" spans="1:23" ht="15.75" customHeight="1" x14ac:dyDescent="0.25">
      <c r="A14" s="161"/>
      <c r="B14" s="164"/>
      <c r="C14" s="169"/>
      <c r="D14" s="170"/>
      <c r="E14" s="170"/>
      <c r="F14" s="170"/>
      <c r="G14" s="171"/>
      <c r="H14" s="172"/>
      <c r="I14" s="170"/>
      <c r="J14" s="170"/>
      <c r="K14" s="170"/>
      <c r="L14" s="171"/>
      <c r="M14" s="172"/>
      <c r="N14" s="170"/>
      <c r="O14" s="170"/>
      <c r="P14" s="170"/>
      <c r="Q14" s="171"/>
      <c r="R14" s="186"/>
      <c r="S14" s="190"/>
      <c r="T14" s="190"/>
      <c r="U14" s="192"/>
      <c r="V14" s="195"/>
      <c r="W14" s="197"/>
    </row>
    <row r="15" spans="1:23" ht="15.75" customHeight="1" x14ac:dyDescent="0.25">
      <c r="A15" s="223"/>
      <c r="B15" s="224" t="s">
        <v>127</v>
      </c>
      <c r="C15" s="225"/>
      <c r="D15" s="226"/>
      <c r="E15" s="226"/>
      <c r="F15" s="226"/>
      <c r="G15" s="227"/>
      <c r="H15" s="228"/>
      <c r="I15" s="226"/>
      <c r="J15" s="226"/>
      <c r="K15" s="226"/>
      <c r="L15" s="227"/>
      <c r="M15" s="228"/>
      <c r="N15" s="226"/>
      <c r="O15" s="226"/>
      <c r="P15" s="226"/>
      <c r="Q15" s="227"/>
      <c r="R15" s="225"/>
      <c r="S15" s="226"/>
      <c r="T15" s="226"/>
      <c r="U15" s="227"/>
      <c r="V15" s="229"/>
      <c r="W15" s="118">
        <f>SUM(W3:W14)</f>
        <v>19</v>
      </c>
    </row>
    <row r="16" spans="1:23" ht="15.75" customHeight="1" x14ac:dyDescent="0.25">
      <c r="A16" s="161">
        <f>Commercial!A12</f>
        <v>1290</v>
      </c>
      <c r="B16" s="164" t="str">
        <f t="array" ref="B16">IFERROR(INDEX(Commercial!B:B,MATCH(A16,Commercial!A:A,0)),"")</f>
        <v>Abigail Gambino (Commercial-Closer)</v>
      </c>
      <c r="C16" s="169">
        <f>IFERROR(SUMIF('COM Winbacks'!$A:$A,$A16,'COM Winbacks'!C:C),0)</f>
        <v>0</v>
      </c>
      <c r="D16" s="170">
        <f>IFERROR(SUMIF('COM Winbacks'!$A:$A,$A16,'COM Winbacks'!D:D),0)</f>
        <v>0</v>
      </c>
      <c r="E16" s="170">
        <f>IFERROR(SUMIF('COM Winbacks'!$A:$A,$A16,'COM Winbacks'!E:E),0)</f>
        <v>0</v>
      </c>
      <c r="F16" s="170">
        <f>IFERROR(SUMIF('COM Winbacks'!$A:$A,$A16,'COM Winbacks'!F:F),0)</f>
        <v>0</v>
      </c>
      <c r="G16" s="171">
        <f>IFERROR(SUMIF('COM Winbacks'!$A:$A,$A16,'COM Winbacks'!G:G),0)</f>
        <v>0</v>
      </c>
      <c r="H16" s="172">
        <f>IFERROR(SUMIF(Residential!$A:$A,$A16,Residential!C:C),0)</f>
        <v>0</v>
      </c>
      <c r="I16" s="170">
        <f>IFERROR(SUMIF(Residential!$A:$A,$A16,Residential!D:D),0)</f>
        <v>0</v>
      </c>
      <c r="J16" s="170">
        <f>IFERROR(SUMIF(Residential!$A:$A,$A16,Residential!E:E),0)</f>
        <v>0</v>
      </c>
      <c r="K16" s="170">
        <f>IFERROR(SUMIF(Residential!$A:$A,$A16,Residential!F:F),0)</f>
        <v>0</v>
      </c>
      <c r="L16" s="171">
        <f>IFERROR(SUMIF(Residential!$A:$A,$A16,Residential!G:G),0)</f>
        <v>0</v>
      </c>
      <c r="M16" s="172">
        <f>IFERROR(SUMIF(Commercial!$A$12:$A$15,$A16,Commercial!Q$12:Q$15),0)</f>
        <v>0</v>
      </c>
      <c r="N16" s="170">
        <f>IFERROR(SUMIF(Commercial!$A$12:$A$15,$A16,Commercial!V$12:V$15),0)</f>
        <v>0</v>
      </c>
      <c r="O16" s="170">
        <f>IFERROR(SUMIF(Commercial!$A$12:$A$15,$A16,Commercial!W$12:W$15),0)</f>
        <v>0</v>
      </c>
      <c r="P16" s="170">
        <f>IFERROR(SUMIF(Commercial!$A$12:$A$15,$A16,Commercial!AB$12:AB$15),0)</f>
        <v>0</v>
      </c>
      <c r="Q16" s="171">
        <f>IFERROR(SUMIF(Commercial!$A$12:$A$15,$A16,Commercial!AC$12:AC$15),0)</f>
        <v>0</v>
      </c>
      <c r="R16" s="186">
        <f t="shared" ref="R16:V16" si="12">C16+H16+M16</f>
        <v>0</v>
      </c>
      <c r="S16" s="190">
        <f t="shared" si="12"/>
        <v>0</v>
      </c>
      <c r="T16" s="190">
        <f t="shared" si="12"/>
        <v>0</v>
      </c>
      <c r="U16" s="192">
        <f t="shared" si="12"/>
        <v>0</v>
      </c>
      <c r="V16" s="195">
        <f t="shared" si="12"/>
        <v>0</v>
      </c>
      <c r="W16" s="197">
        <f t="shared" ref="W16:W20" si="13">SUM(R16:V16)</f>
        <v>0</v>
      </c>
    </row>
    <row r="17" spans="1:23" ht="15.75" customHeight="1" x14ac:dyDescent="0.25">
      <c r="A17" s="161" t="e">
        <f>Commercial!#REF!</f>
        <v>#REF!</v>
      </c>
      <c r="B17" s="164" t="str">
        <f t="array" ref="B17">IFERROR(INDEX(Commercial!B:B,MATCH(A17,Commercial!A:A,0)),"")</f>
        <v/>
      </c>
      <c r="C17" s="169">
        <f>IFERROR(SUMIF('COM Winbacks'!$A:$A,$A17,'COM Winbacks'!C:C),0)</f>
        <v>0</v>
      </c>
      <c r="D17" s="170">
        <f>IFERROR(SUMIF('COM Winbacks'!$A:$A,$A17,'COM Winbacks'!D:D),0)</f>
        <v>0</v>
      </c>
      <c r="E17" s="170">
        <f>IFERROR(SUMIF('COM Winbacks'!$A:$A,$A17,'COM Winbacks'!E:E),0)</f>
        <v>0</v>
      </c>
      <c r="F17" s="170">
        <f>IFERROR(SUMIF('COM Winbacks'!$A:$A,$A17,'COM Winbacks'!F:F),0)</f>
        <v>0</v>
      </c>
      <c r="G17" s="171">
        <f>IFERROR(SUMIF('COM Winbacks'!$A:$A,$A17,'COM Winbacks'!G:G),0)</f>
        <v>0</v>
      </c>
      <c r="H17" s="172">
        <f>IFERROR(SUMIF(Residential!$A:$A,$A17,Residential!C:C),0)</f>
        <v>0</v>
      </c>
      <c r="I17" s="170">
        <f>IFERROR(SUMIF(Residential!$A:$A,$A17,Residential!D:D),0)</f>
        <v>0</v>
      </c>
      <c r="J17" s="170">
        <f>IFERROR(SUMIF(Residential!$A:$A,$A17,Residential!E:E),0)</f>
        <v>0</v>
      </c>
      <c r="K17" s="170">
        <f>IFERROR(SUMIF(Residential!$A:$A,$A17,Residential!F:F),0)</f>
        <v>0</v>
      </c>
      <c r="L17" s="171">
        <f>IFERROR(SUMIF(Residential!$A:$A,$A17,Residential!G:G),0)</f>
        <v>0</v>
      </c>
      <c r="M17" s="172">
        <f>IFERROR(SUMIF(Commercial!$A$12:$A$15,$A17,Commercial!Q$12:Q$15),0)</f>
        <v>0</v>
      </c>
      <c r="N17" s="170">
        <f>IFERROR(SUMIF(Commercial!$A$12:$A$15,$A17,Commercial!V$12:V$15),0)</f>
        <v>0</v>
      </c>
      <c r="O17" s="170">
        <f>IFERROR(SUMIF(Commercial!$A$12:$A$15,$A17,Commercial!W$12:W$15),0)</f>
        <v>0</v>
      </c>
      <c r="P17" s="170">
        <f>IFERROR(SUMIF(Commercial!$A$12:$A$15,$A17,Commercial!AB$12:AB$15),0)</f>
        <v>0</v>
      </c>
      <c r="Q17" s="171">
        <f>IFERROR(SUMIF(Commercial!$A$12:$A$15,$A17,Commercial!AC$12:AC$15),0)</f>
        <v>0</v>
      </c>
      <c r="R17" s="186">
        <f t="shared" ref="R17:V17" si="14">C17+H17+M17</f>
        <v>0</v>
      </c>
      <c r="S17" s="190">
        <f t="shared" si="14"/>
        <v>0</v>
      </c>
      <c r="T17" s="190">
        <f t="shared" si="14"/>
        <v>0</v>
      </c>
      <c r="U17" s="192">
        <f t="shared" si="14"/>
        <v>0</v>
      </c>
      <c r="V17" s="195">
        <f t="shared" si="14"/>
        <v>0</v>
      </c>
      <c r="W17" s="197">
        <f t="shared" si="13"/>
        <v>0</v>
      </c>
    </row>
    <row r="18" spans="1:23" ht="15.75" customHeight="1" x14ac:dyDescent="0.25">
      <c r="A18" s="161">
        <f>Commercial!A13</f>
        <v>1151</v>
      </c>
      <c r="B18" s="164" t="str">
        <f t="array" ref="B18">IFERROR(INDEX(Commercial!B:B,MATCH(A18,Commercial!A:A,0)),"")</f>
        <v>CJ Jackson (Manager/Closer)</v>
      </c>
      <c r="C18" s="169">
        <f>IFERROR(SUMIF('COM Winbacks'!$A:$A,$A18,'COM Winbacks'!C:C),0)</f>
        <v>0</v>
      </c>
      <c r="D18" s="170">
        <f>IFERROR(SUMIF('COM Winbacks'!$A:$A,$A18,'COM Winbacks'!D:D),0)</f>
        <v>0</v>
      </c>
      <c r="E18" s="170">
        <f>IFERROR(SUMIF('COM Winbacks'!$A:$A,$A18,'COM Winbacks'!E:E),0)</f>
        <v>0</v>
      </c>
      <c r="F18" s="170">
        <f>IFERROR(SUMIF('COM Winbacks'!$A:$A,$A18,'COM Winbacks'!F:F),0)</f>
        <v>0</v>
      </c>
      <c r="G18" s="171">
        <f>IFERROR(SUMIF('COM Winbacks'!$A:$A,$A18,'COM Winbacks'!G:G),0)</f>
        <v>0</v>
      </c>
      <c r="H18" s="172">
        <f>IFERROR(SUMIF(Residential!$A:$A,$A18,Residential!C:C),0)</f>
        <v>0</v>
      </c>
      <c r="I18" s="170">
        <f>IFERROR(SUMIF(Residential!$A:$A,$A18,Residential!D:D),0)</f>
        <v>0</v>
      </c>
      <c r="J18" s="170">
        <f>IFERROR(SUMIF(Residential!$A:$A,$A18,Residential!E:E),0)</f>
        <v>0</v>
      </c>
      <c r="K18" s="170">
        <f>IFERROR(SUMIF(Residential!$A:$A,$A18,Residential!F:F),0)</f>
        <v>0</v>
      </c>
      <c r="L18" s="171">
        <f>IFERROR(SUMIF(Residential!$A:$A,$A18,Residential!G:G),0)</f>
        <v>0</v>
      </c>
      <c r="M18" s="172">
        <f>IFERROR(SUMIF(Commercial!$A$12:$A$15,$A18,Commercial!Q$12:Q$15),0)</f>
        <v>0</v>
      </c>
      <c r="N18" s="170">
        <f>IFERROR(SUMIF(Commercial!$A$12:$A$15,$A18,Commercial!V$12:V$15),0)</f>
        <v>0</v>
      </c>
      <c r="O18" s="170">
        <f>IFERROR(SUMIF(Commercial!$A$12:$A$15,$A18,Commercial!W$12:W$15),0)</f>
        <v>0</v>
      </c>
      <c r="P18" s="170">
        <f>IFERROR(SUMIF(Commercial!$A$12:$A$15,$A18,Commercial!AB$12:AB$15),0)</f>
        <v>0</v>
      </c>
      <c r="Q18" s="171">
        <f>IFERROR(SUMIF(Commercial!$A$12:$A$15,$A18,Commercial!AC$12:AC$15),0)</f>
        <v>0</v>
      </c>
      <c r="R18" s="186">
        <f t="shared" ref="R18:V18" si="15">C18+H18+M18</f>
        <v>0</v>
      </c>
      <c r="S18" s="190">
        <f t="shared" si="15"/>
        <v>0</v>
      </c>
      <c r="T18" s="190">
        <f t="shared" si="15"/>
        <v>0</v>
      </c>
      <c r="U18" s="192">
        <f t="shared" si="15"/>
        <v>0</v>
      </c>
      <c r="V18" s="195">
        <f t="shared" si="15"/>
        <v>0</v>
      </c>
      <c r="W18" s="197">
        <f t="shared" si="13"/>
        <v>0</v>
      </c>
    </row>
    <row r="19" spans="1:23" ht="15.75" customHeight="1" x14ac:dyDescent="0.25">
      <c r="A19" s="161" t="e">
        <f>Commercial!#REF!</f>
        <v>#REF!</v>
      </c>
      <c r="B19" s="164" t="str">
        <f t="array" ref="B19">IFERROR(INDEX(Commercial!B:B,MATCH(A19,Commercial!A:A,0)),"")</f>
        <v/>
      </c>
      <c r="C19" s="169">
        <f>IFERROR(SUMIF('COM Winbacks'!$A:$A,$A19,'COM Winbacks'!C:C),0)</f>
        <v>0</v>
      </c>
      <c r="D19" s="170">
        <f>IFERROR(SUMIF('COM Winbacks'!$A:$A,$A19,'COM Winbacks'!D:D),0)</f>
        <v>0</v>
      </c>
      <c r="E19" s="170">
        <f>IFERROR(SUMIF('COM Winbacks'!$A:$A,$A19,'COM Winbacks'!E:E),0)</f>
        <v>0</v>
      </c>
      <c r="F19" s="170">
        <f>IFERROR(SUMIF('COM Winbacks'!$A:$A,$A19,'COM Winbacks'!F:F),0)</f>
        <v>0</v>
      </c>
      <c r="G19" s="171">
        <f>IFERROR(SUMIF('COM Winbacks'!$A:$A,$A19,'COM Winbacks'!G:G),0)</f>
        <v>0</v>
      </c>
      <c r="H19" s="172">
        <f>IFERROR(SUMIF(Residential!$A:$A,$A19,Residential!C:C),0)</f>
        <v>0</v>
      </c>
      <c r="I19" s="170">
        <f>IFERROR(SUMIF(Residential!$A:$A,$A19,Residential!D:D),0)</f>
        <v>0</v>
      </c>
      <c r="J19" s="170">
        <f>IFERROR(SUMIF(Residential!$A:$A,$A19,Residential!E:E),0)</f>
        <v>0</v>
      </c>
      <c r="K19" s="170">
        <f>IFERROR(SUMIF(Residential!$A:$A,$A19,Residential!F:F),0)</f>
        <v>0</v>
      </c>
      <c r="L19" s="171">
        <f>IFERROR(SUMIF(Residential!$A:$A,$A19,Residential!G:G),0)</f>
        <v>0</v>
      </c>
      <c r="M19" s="172">
        <f>IFERROR(SUMIF(Commercial!$A$12:$A$15,$A19,Commercial!Q$12:Q$15),0)</f>
        <v>0</v>
      </c>
      <c r="N19" s="170">
        <f>IFERROR(SUMIF(Commercial!$A$12:$A$15,$A19,Commercial!V$12:V$15),0)</f>
        <v>0</v>
      </c>
      <c r="O19" s="170">
        <f>IFERROR(SUMIF(Commercial!$A$12:$A$15,$A19,Commercial!W$12:W$15),0)</f>
        <v>0</v>
      </c>
      <c r="P19" s="170">
        <f>IFERROR(SUMIF(Commercial!$A$12:$A$15,$A19,Commercial!AB$12:AB$15),0)</f>
        <v>0</v>
      </c>
      <c r="Q19" s="171">
        <f>IFERROR(SUMIF(Commercial!$A$12:$A$15,$A19,Commercial!AC$12:AC$15),0)</f>
        <v>0</v>
      </c>
      <c r="R19" s="186">
        <f t="shared" ref="R19:V19" si="16">C19+H19+M19</f>
        <v>0</v>
      </c>
      <c r="S19" s="190">
        <f t="shared" si="16"/>
        <v>0</v>
      </c>
      <c r="T19" s="190">
        <f t="shared" si="16"/>
        <v>0</v>
      </c>
      <c r="U19" s="192">
        <f t="shared" si="16"/>
        <v>0</v>
      </c>
      <c r="V19" s="195">
        <f t="shared" si="16"/>
        <v>0</v>
      </c>
      <c r="W19" s="197">
        <f t="shared" si="13"/>
        <v>0</v>
      </c>
    </row>
    <row r="20" spans="1:23" ht="15.75" customHeight="1" x14ac:dyDescent="0.25">
      <c r="A20" s="161">
        <f>Commercial!A14</f>
        <v>1300</v>
      </c>
      <c r="B20" s="164" t="str">
        <f t="array" ref="B20">IFERROR(INDEX(Commercial!B:B,MATCH(A20,Commercial!A:A,0)),"")</f>
        <v>Neil Singhal (Commercial)</v>
      </c>
      <c r="C20" s="169">
        <f>IFERROR(SUMIF('COM Winbacks'!$A:$A,$A20,'COM Winbacks'!C:C),0)</f>
        <v>0</v>
      </c>
      <c r="D20" s="170">
        <f>IFERROR(SUMIF('COM Winbacks'!$A:$A,$A20,'COM Winbacks'!D:D),0)</f>
        <v>0</v>
      </c>
      <c r="E20" s="170">
        <f>IFERROR(SUMIF('COM Winbacks'!$A:$A,$A20,'COM Winbacks'!E:E),0)</f>
        <v>0</v>
      </c>
      <c r="F20" s="170">
        <f>IFERROR(SUMIF('COM Winbacks'!$A:$A,$A20,'COM Winbacks'!F:F),0)</f>
        <v>0</v>
      </c>
      <c r="G20" s="171">
        <f>IFERROR(SUMIF('COM Winbacks'!$A:$A,$A20,'COM Winbacks'!G:G),0)</f>
        <v>0</v>
      </c>
      <c r="H20" s="172">
        <f>IFERROR(SUMIF(Residential!$A:$A,$A20,Residential!C:C),0)</f>
        <v>0</v>
      </c>
      <c r="I20" s="170">
        <f>IFERROR(SUMIF(Residential!$A:$A,$A20,Residential!D:D),0)</f>
        <v>0</v>
      </c>
      <c r="J20" s="170">
        <f>IFERROR(SUMIF(Residential!$A:$A,$A20,Residential!E:E),0)</f>
        <v>0</v>
      </c>
      <c r="K20" s="170">
        <f>IFERROR(SUMIF(Residential!$A:$A,$A20,Residential!F:F),0)</f>
        <v>0</v>
      </c>
      <c r="L20" s="171">
        <f>IFERROR(SUMIF(Residential!$A:$A,$A20,Residential!G:G),0)</f>
        <v>0</v>
      </c>
      <c r="M20" s="172">
        <f>IFERROR(SUMIF(Commercial!$A$12:$A$15,$A20,Commercial!Q$12:Q$15),0)</f>
        <v>14</v>
      </c>
      <c r="N20" s="170">
        <f>IFERROR(SUMIF(Commercial!$A$12:$A$15,$A20,Commercial!V$12:V$15),0)</f>
        <v>0</v>
      </c>
      <c r="O20" s="170">
        <f>IFERROR(SUMIF(Commercial!$A$12:$A$15,$A20,Commercial!W$12:W$15),0)</f>
        <v>0</v>
      </c>
      <c r="P20" s="170">
        <f>IFERROR(SUMIF(Commercial!$A$12:$A$15,$A20,Commercial!AB$12:AB$15),0)</f>
        <v>0</v>
      </c>
      <c r="Q20" s="171">
        <f>IFERROR(SUMIF(Commercial!$A$12:$A$15,$A20,Commercial!AC$12:AC$15),0)</f>
        <v>0</v>
      </c>
      <c r="R20" s="186">
        <f t="shared" ref="R20:V20" si="17">C20+H20+M20</f>
        <v>14</v>
      </c>
      <c r="S20" s="190">
        <f t="shared" si="17"/>
        <v>0</v>
      </c>
      <c r="T20" s="190">
        <f t="shared" si="17"/>
        <v>0</v>
      </c>
      <c r="U20" s="192">
        <f t="shared" si="17"/>
        <v>0</v>
      </c>
      <c r="V20" s="195">
        <f t="shared" si="17"/>
        <v>0</v>
      </c>
      <c r="W20" s="197">
        <f t="shared" si="13"/>
        <v>14</v>
      </c>
    </row>
    <row r="21" spans="1:23" ht="15.75" customHeight="1" x14ac:dyDescent="0.25">
      <c r="A21" s="230"/>
      <c r="B21" s="231" t="s">
        <v>18</v>
      </c>
      <c r="C21" s="232">
        <f t="shared" ref="C21:V21" si="18">SUM(C3:C20)</f>
        <v>0</v>
      </c>
      <c r="D21" s="233">
        <f t="shared" si="18"/>
        <v>0</v>
      </c>
      <c r="E21" s="233">
        <f t="shared" si="18"/>
        <v>0</v>
      </c>
      <c r="F21" s="233">
        <f t="shared" si="18"/>
        <v>0</v>
      </c>
      <c r="G21" s="234">
        <f t="shared" si="18"/>
        <v>0</v>
      </c>
      <c r="H21" s="235">
        <f t="shared" si="18"/>
        <v>0</v>
      </c>
      <c r="I21" s="233">
        <f t="shared" si="18"/>
        <v>0</v>
      </c>
      <c r="J21" s="233">
        <f t="shared" si="18"/>
        <v>0</v>
      </c>
      <c r="K21" s="233">
        <f t="shared" si="18"/>
        <v>0</v>
      </c>
      <c r="L21" s="234">
        <f t="shared" si="18"/>
        <v>0</v>
      </c>
      <c r="M21" s="235">
        <f t="shared" si="18"/>
        <v>21</v>
      </c>
      <c r="N21" s="233">
        <f t="shared" si="18"/>
        <v>4</v>
      </c>
      <c r="O21" s="233">
        <f t="shared" si="18"/>
        <v>2</v>
      </c>
      <c r="P21" s="233">
        <f t="shared" si="18"/>
        <v>4</v>
      </c>
      <c r="Q21" s="234">
        <f t="shared" si="18"/>
        <v>2</v>
      </c>
      <c r="R21" s="232">
        <f t="shared" si="18"/>
        <v>21</v>
      </c>
      <c r="S21" s="233">
        <f t="shared" si="18"/>
        <v>4</v>
      </c>
      <c r="T21" s="233">
        <f t="shared" si="18"/>
        <v>2</v>
      </c>
      <c r="U21" s="234">
        <f t="shared" si="18"/>
        <v>4</v>
      </c>
      <c r="V21" s="236">
        <f t="shared" si="18"/>
        <v>2</v>
      </c>
      <c r="W21" s="118">
        <f>SUM(W16:W20)</f>
        <v>14</v>
      </c>
    </row>
    <row r="22" spans="1:23" ht="15.75" customHeight="1" x14ac:dyDescent="0.25"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</row>
    <row r="23" spans="1:23" ht="15.75" customHeight="1" x14ac:dyDescent="0.25"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</row>
    <row r="24" spans="1:23" ht="15.75" customHeight="1" x14ac:dyDescent="0.25"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</row>
    <row r="25" spans="1:23" ht="15.75" customHeight="1" x14ac:dyDescent="0.25"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</row>
    <row r="26" spans="1:23" ht="15.75" customHeight="1" x14ac:dyDescent="0.25"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</row>
    <row r="27" spans="1:23" ht="15.75" customHeight="1" x14ac:dyDescent="0.25"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</row>
    <row r="28" spans="1:23" ht="15.75" customHeight="1" x14ac:dyDescent="0.25"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</row>
    <row r="29" spans="1:23" ht="15.75" customHeight="1" x14ac:dyDescent="0.25"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</row>
    <row r="30" spans="1:23" ht="15.75" customHeight="1" x14ac:dyDescent="0.25"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</row>
    <row r="31" spans="1:23" ht="15.75" customHeight="1" x14ac:dyDescent="0.25"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</row>
    <row r="32" spans="1:23" ht="15.75" customHeight="1" x14ac:dyDescent="0.25"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</row>
    <row r="33" spans="3:22" ht="15.75" customHeight="1" x14ac:dyDescent="0.25"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</row>
    <row r="34" spans="3:22" ht="15.75" customHeight="1" x14ac:dyDescent="0.25"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</row>
    <row r="35" spans="3:22" ht="15.75" customHeight="1" x14ac:dyDescent="0.25"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</row>
    <row r="36" spans="3:22" ht="15.75" customHeight="1" x14ac:dyDescent="0.25"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</row>
    <row r="37" spans="3:22" ht="15.75" customHeight="1" x14ac:dyDescent="0.25"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</row>
    <row r="38" spans="3:22" ht="15.75" customHeight="1" x14ac:dyDescent="0.25"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</row>
    <row r="39" spans="3:22" ht="15.75" customHeight="1" x14ac:dyDescent="0.25"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</row>
    <row r="40" spans="3:22" ht="15.75" customHeight="1" x14ac:dyDescent="0.25"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</row>
    <row r="41" spans="3:22" ht="15.75" customHeight="1" x14ac:dyDescent="0.25"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</row>
    <row r="42" spans="3:22" ht="15.75" customHeight="1" x14ac:dyDescent="0.25"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</row>
    <row r="43" spans="3:22" ht="15.75" customHeight="1" x14ac:dyDescent="0.25"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</row>
    <row r="44" spans="3:22" ht="15.75" customHeight="1" x14ac:dyDescent="0.25"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</row>
    <row r="45" spans="3:22" ht="15.75" customHeight="1" x14ac:dyDescent="0.25"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</row>
    <row r="46" spans="3:22" ht="15.75" customHeight="1" x14ac:dyDescent="0.25"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</row>
    <row r="47" spans="3:22" ht="15.75" customHeight="1" x14ac:dyDescent="0.25"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</row>
    <row r="48" spans="3:22" ht="15.75" customHeight="1" x14ac:dyDescent="0.25"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</row>
    <row r="49" spans="3:22" ht="15.75" customHeight="1" x14ac:dyDescent="0.25"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</row>
    <row r="50" spans="3:22" ht="15.75" customHeight="1" x14ac:dyDescent="0.25"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</row>
    <row r="51" spans="3:22" ht="15.75" customHeight="1" x14ac:dyDescent="0.25"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</row>
    <row r="52" spans="3:22" ht="15.75" customHeight="1" x14ac:dyDescent="0.25"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</row>
    <row r="53" spans="3:22" ht="15.75" customHeight="1" x14ac:dyDescent="0.25"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</row>
    <row r="54" spans="3:22" ht="15.75" customHeight="1" x14ac:dyDescent="0.25"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</row>
    <row r="55" spans="3:22" ht="15.75" customHeight="1" x14ac:dyDescent="0.25"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</row>
    <row r="56" spans="3:22" ht="15.75" customHeight="1" x14ac:dyDescent="0.25"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</row>
    <row r="57" spans="3:22" ht="15.75" customHeight="1" x14ac:dyDescent="0.25"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</row>
    <row r="58" spans="3:22" ht="15.75" customHeight="1" x14ac:dyDescent="0.25"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</row>
    <row r="59" spans="3:22" ht="15.75" customHeight="1" x14ac:dyDescent="0.25"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</row>
    <row r="60" spans="3:22" ht="15.75" customHeight="1" x14ac:dyDescent="0.25"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</row>
    <row r="61" spans="3:22" ht="15.75" customHeight="1" x14ac:dyDescent="0.25"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</row>
    <row r="62" spans="3:22" ht="15.75" customHeight="1" x14ac:dyDescent="0.25"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</row>
    <row r="63" spans="3:22" ht="15.75" customHeight="1" x14ac:dyDescent="0.25"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</row>
    <row r="64" spans="3:22" ht="15.75" customHeight="1" x14ac:dyDescent="0.25"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</row>
    <row r="65" spans="3:22" ht="15.75" customHeight="1" x14ac:dyDescent="0.25"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</row>
    <row r="66" spans="3:22" ht="15.75" customHeight="1" x14ac:dyDescent="0.25"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</row>
    <row r="67" spans="3:22" ht="15.75" customHeight="1" x14ac:dyDescent="0.25"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</row>
    <row r="68" spans="3:22" ht="15.75" customHeight="1" x14ac:dyDescent="0.25"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</row>
    <row r="69" spans="3:22" ht="15.75" customHeight="1" x14ac:dyDescent="0.25"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</row>
    <row r="70" spans="3:22" ht="15.75" customHeight="1" x14ac:dyDescent="0.25"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</row>
    <row r="71" spans="3:22" ht="15.75" customHeight="1" x14ac:dyDescent="0.25"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</row>
    <row r="72" spans="3:22" ht="15.75" customHeight="1" x14ac:dyDescent="0.25"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</row>
    <row r="73" spans="3:22" ht="15.75" customHeight="1" x14ac:dyDescent="0.25"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</row>
    <row r="74" spans="3:22" ht="15.75" customHeight="1" x14ac:dyDescent="0.25"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</row>
    <row r="75" spans="3:22" ht="15.75" customHeight="1" x14ac:dyDescent="0.25"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</row>
    <row r="76" spans="3:22" ht="15.75" customHeight="1" x14ac:dyDescent="0.25"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</row>
    <row r="77" spans="3:22" ht="15.75" customHeight="1" x14ac:dyDescent="0.25"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</row>
    <row r="78" spans="3:22" ht="15.75" customHeight="1" x14ac:dyDescent="0.25"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</row>
    <row r="79" spans="3:22" ht="15.75" customHeight="1" x14ac:dyDescent="0.25"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</row>
    <row r="80" spans="3:22" ht="15.75" customHeight="1" x14ac:dyDescent="0.25"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</row>
    <row r="81" spans="3:22" ht="15.75" customHeight="1" x14ac:dyDescent="0.25"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</row>
    <row r="82" spans="3:22" ht="15.75" customHeight="1" x14ac:dyDescent="0.25"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</row>
    <row r="83" spans="3:22" ht="15.75" customHeight="1" x14ac:dyDescent="0.25"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</row>
    <row r="84" spans="3:22" ht="15.75" customHeight="1" x14ac:dyDescent="0.25"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</row>
    <row r="85" spans="3:22" ht="15.75" customHeight="1" x14ac:dyDescent="0.25"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</row>
    <row r="86" spans="3:22" ht="15.75" customHeight="1" x14ac:dyDescent="0.25"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</row>
    <row r="87" spans="3:22" ht="15.75" customHeight="1" x14ac:dyDescent="0.25"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</row>
    <row r="88" spans="3:22" ht="15.75" customHeight="1" x14ac:dyDescent="0.25"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</row>
    <row r="89" spans="3:22" ht="15.75" customHeight="1" x14ac:dyDescent="0.25"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</row>
    <row r="90" spans="3:22" ht="15.75" customHeight="1" x14ac:dyDescent="0.25"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</row>
    <row r="91" spans="3:22" ht="15.75" customHeight="1" x14ac:dyDescent="0.25"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</row>
    <row r="92" spans="3:22" ht="15.75" customHeight="1" x14ac:dyDescent="0.25"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</row>
    <row r="93" spans="3:22" ht="15.75" customHeight="1" x14ac:dyDescent="0.25"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</row>
    <row r="94" spans="3:22" ht="15.75" customHeight="1" x14ac:dyDescent="0.25"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</row>
    <row r="95" spans="3:22" ht="15.75" customHeight="1" x14ac:dyDescent="0.25"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</row>
    <row r="96" spans="3:22" ht="15.75" customHeight="1" x14ac:dyDescent="0.25"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</row>
    <row r="97" spans="3:22" ht="15.75" customHeight="1" x14ac:dyDescent="0.25"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</row>
    <row r="98" spans="3:22" ht="15.75" customHeight="1" x14ac:dyDescent="0.25"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</row>
    <row r="99" spans="3:22" ht="15.75" customHeight="1" x14ac:dyDescent="0.25"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</row>
    <row r="100" spans="3:22" ht="15.75" customHeight="1" x14ac:dyDescent="0.25"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</row>
    <row r="101" spans="3:22" ht="15.75" customHeight="1" x14ac:dyDescent="0.25"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</row>
    <row r="102" spans="3:22" ht="15.75" customHeight="1" x14ac:dyDescent="0.25"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</row>
    <row r="103" spans="3:22" ht="15.75" customHeight="1" x14ac:dyDescent="0.25"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</row>
    <row r="104" spans="3:22" ht="15.75" customHeight="1" x14ac:dyDescent="0.25"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</row>
    <row r="105" spans="3:22" ht="15.75" customHeight="1" x14ac:dyDescent="0.25"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</row>
    <row r="106" spans="3:22" ht="15.75" customHeight="1" x14ac:dyDescent="0.25"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</row>
    <row r="107" spans="3:22" ht="15.75" customHeight="1" x14ac:dyDescent="0.25"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</row>
    <row r="108" spans="3:22" ht="15.75" customHeight="1" x14ac:dyDescent="0.25"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</row>
    <row r="109" spans="3:22" ht="15.75" customHeight="1" x14ac:dyDescent="0.25"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</row>
    <row r="110" spans="3:22" ht="15.75" customHeight="1" x14ac:dyDescent="0.25"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</row>
    <row r="111" spans="3:22" ht="15.75" customHeight="1" x14ac:dyDescent="0.25"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</row>
    <row r="112" spans="3:22" ht="15.75" customHeight="1" x14ac:dyDescent="0.25"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</row>
    <row r="113" spans="3:22" ht="15.75" customHeight="1" x14ac:dyDescent="0.25"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</row>
    <row r="114" spans="3:22" ht="15.75" customHeight="1" x14ac:dyDescent="0.25"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</row>
    <row r="115" spans="3:22" ht="15.75" customHeight="1" x14ac:dyDescent="0.25"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</row>
    <row r="116" spans="3:22" ht="15.75" customHeight="1" x14ac:dyDescent="0.25"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</row>
    <row r="117" spans="3:22" ht="15.75" customHeight="1" x14ac:dyDescent="0.25"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</row>
    <row r="118" spans="3:22" ht="15.75" customHeight="1" x14ac:dyDescent="0.25"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</row>
    <row r="119" spans="3:22" ht="15.75" customHeight="1" x14ac:dyDescent="0.25"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</row>
    <row r="120" spans="3:22" ht="15.75" customHeight="1" x14ac:dyDescent="0.25"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</row>
    <row r="121" spans="3:22" ht="15.75" customHeight="1" x14ac:dyDescent="0.25"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</row>
    <row r="122" spans="3:22" ht="15.75" customHeight="1" x14ac:dyDescent="0.25"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</row>
    <row r="123" spans="3:22" ht="15.75" customHeight="1" x14ac:dyDescent="0.25"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</row>
    <row r="124" spans="3:22" ht="15.75" customHeight="1" x14ac:dyDescent="0.25"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</row>
    <row r="125" spans="3:22" ht="15.75" customHeight="1" x14ac:dyDescent="0.25"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</row>
    <row r="126" spans="3:22" ht="15.75" customHeight="1" x14ac:dyDescent="0.25"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</row>
    <row r="127" spans="3:22" ht="15.75" customHeight="1" x14ac:dyDescent="0.25"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</row>
    <row r="128" spans="3:22" ht="15.75" customHeight="1" x14ac:dyDescent="0.25"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</row>
    <row r="129" spans="3:22" ht="15.75" customHeight="1" x14ac:dyDescent="0.25"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</row>
    <row r="130" spans="3:22" ht="15.75" customHeight="1" x14ac:dyDescent="0.25"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</row>
    <row r="131" spans="3:22" ht="15.75" customHeight="1" x14ac:dyDescent="0.25"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</row>
    <row r="132" spans="3:22" ht="15.75" customHeight="1" x14ac:dyDescent="0.25"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</row>
    <row r="133" spans="3:22" ht="15.75" customHeight="1" x14ac:dyDescent="0.25"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</row>
    <row r="134" spans="3:22" ht="15.75" customHeight="1" x14ac:dyDescent="0.25"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</row>
    <row r="135" spans="3:22" ht="15.75" customHeight="1" x14ac:dyDescent="0.25"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</row>
    <row r="136" spans="3:22" ht="15.75" customHeight="1" x14ac:dyDescent="0.25"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</row>
    <row r="137" spans="3:22" ht="15.75" customHeight="1" x14ac:dyDescent="0.25"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</row>
    <row r="138" spans="3:22" ht="15.75" customHeight="1" x14ac:dyDescent="0.25"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</row>
    <row r="139" spans="3:22" ht="15.75" customHeight="1" x14ac:dyDescent="0.25"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</row>
    <row r="140" spans="3:22" ht="15.75" customHeight="1" x14ac:dyDescent="0.25"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</row>
    <row r="141" spans="3:22" ht="15.75" customHeight="1" x14ac:dyDescent="0.25"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</row>
    <row r="142" spans="3:22" ht="15.75" customHeight="1" x14ac:dyDescent="0.25"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</row>
    <row r="143" spans="3:22" ht="15.75" customHeight="1" x14ac:dyDescent="0.25"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</row>
    <row r="144" spans="3:22" ht="15.75" customHeight="1" x14ac:dyDescent="0.25"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</row>
    <row r="145" spans="3:22" ht="15.75" customHeight="1" x14ac:dyDescent="0.25"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</row>
    <row r="146" spans="3:22" ht="15.75" customHeight="1" x14ac:dyDescent="0.25"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</row>
    <row r="147" spans="3:22" ht="15.75" customHeight="1" x14ac:dyDescent="0.25"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</row>
    <row r="148" spans="3:22" ht="15.75" customHeight="1" x14ac:dyDescent="0.25"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</row>
    <row r="149" spans="3:22" ht="15.75" customHeight="1" x14ac:dyDescent="0.25"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</row>
    <row r="150" spans="3:22" ht="15.75" customHeight="1" x14ac:dyDescent="0.25"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</row>
    <row r="151" spans="3:22" ht="15.75" customHeight="1" x14ac:dyDescent="0.25"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</row>
    <row r="152" spans="3:22" ht="15.75" customHeight="1" x14ac:dyDescent="0.25"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</row>
    <row r="153" spans="3:22" ht="15.75" customHeight="1" x14ac:dyDescent="0.25"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</row>
    <row r="154" spans="3:22" ht="15.75" customHeight="1" x14ac:dyDescent="0.25"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</row>
    <row r="155" spans="3:22" ht="15.75" customHeight="1" x14ac:dyDescent="0.25"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</row>
    <row r="156" spans="3:22" ht="15.75" customHeight="1" x14ac:dyDescent="0.25"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</row>
    <row r="157" spans="3:22" ht="15.75" customHeight="1" x14ac:dyDescent="0.25"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</row>
    <row r="158" spans="3:22" ht="15.75" customHeight="1" x14ac:dyDescent="0.25"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</row>
    <row r="159" spans="3:22" ht="15.75" customHeight="1" x14ac:dyDescent="0.25"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</row>
    <row r="160" spans="3:22" ht="15.75" customHeight="1" x14ac:dyDescent="0.25"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</row>
    <row r="161" spans="3:22" ht="15.75" customHeight="1" x14ac:dyDescent="0.25"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</row>
    <row r="162" spans="3:22" ht="15.75" customHeight="1" x14ac:dyDescent="0.25"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</row>
    <row r="163" spans="3:22" ht="15.75" customHeight="1" x14ac:dyDescent="0.25"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</row>
    <row r="164" spans="3:22" ht="15.75" customHeight="1" x14ac:dyDescent="0.25"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</row>
    <row r="165" spans="3:22" ht="15.75" customHeight="1" x14ac:dyDescent="0.25"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</row>
    <row r="166" spans="3:22" ht="15.75" customHeight="1" x14ac:dyDescent="0.25"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</row>
    <row r="167" spans="3:22" ht="15.75" customHeight="1" x14ac:dyDescent="0.25"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</row>
    <row r="168" spans="3:22" ht="15.75" customHeight="1" x14ac:dyDescent="0.25"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</row>
    <row r="169" spans="3:22" ht="15.75" customHeight="1" x14ac:dyDescent="0.25"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</row>
    <row r="170" spans="3:22" ht="15.75" customHeight="1" x14ac:dyDescent="0.25"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</row>
    <row r="171" spans="3:22" ht="15.75" customHeight="1" x14ac:dyDescent="0.25"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</row>
    <row r="172" spans="3:22" ht="15.75" customHeight="1" x14ac:dyDescent="0.25"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</row>
    <row r="173" spans="3:22" ht="15.75" customHeight="1" x14ac:dyDescent="0.25"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</row>
    <row r="174" spans="3:22" ht="15.75" customHeight="1" x14ac:dyDescent="0.25"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</row>
    <row r="175" spans="3:22" ht="15.75" customHeight="1" x14ac:dyDescent="0.25"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</row>
    <row r="176" spans="3:22" ht="15.75" customHeight="1" x14ac:dyDescent="0.25"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</row>
    <row r="177" spans="3:22" ht="15.75" customHeight="1" x14ac:dyDescent="0.25"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</row>
    <row r="178" spans="3:22" ht="15.75" customHeight="1" x14ac:dyDescent="0.25"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</row>
    <row r="179" spans="3:22" ht="15.75" customHeight="1" x14ac:dyDescent="0.25"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</row>
    <row r="180" spans="3:22" ht="15.75" customHeight="1" x14ac:dyDescent="0.25"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</row>
    <row r="181" spans="3:22" ht="15.75" customHeight="1" x14ac:dyDescent="0.25"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</row>
    <row r="182" spans="3:22" ht="15.75" customHeight="1" x14ac:dyDescent="0.25"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</row>
    <row r="183" spans="3:22" ht="15.75" customHeight="1" x14ac:dyDescent="0.25"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</row>
    <row r="184" spans="3:22" ht="15.75" customHeight="1" x14ac:dyDescent="0.25"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</row>
    <row r="185" spans="3:22" ht="15.75" customHeight="1" x14ac:dyDescent="0.25"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</row>
    <row r="186" spans="3:22" ht="15.75" customHeight="1" x14ac:dyDescent="0.25"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</row>
    <row r="187" spans="3:22" ht="15.75" customHeight="1" x14ac:dyDescent="0.25"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</row>
    <row r="188" spans="3:22" ht="15.75" customHeight="1" x14ac:dyDescent="0.25"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</row>
    <row r="189" spans="3:22" ht="15.75" customHeight="1" x14ac:dyDescent="0.25"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</row>
    <row r="190" spans="3:22" ht="15.75" customHeight="1" x14ac:dyDescent="0.25"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</row>
    <row r="191" spans="3:22" ht="15.75" customHeight="1" x14ac:dyDescent="0.25"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</row>
    <row r="192" spans="3:22" ht="15.75" customHeight="1" x14ac:dyDescent="0.25"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</row>
    <row r="193" spans="3:22" ht="15.75" customHeight="1" x14ac:dyDescent="0.25"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</row>
    <row r="194" spans="3:22" ht="15.75" customHeight="1" x14ac:dyDescent="0.25"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</row>
    <row r="195" spans="3:22" ht="15.75" customHeight="1" x14ac:dyDescent="0.25"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</row>
    <row r="196" spans="3:22" ht="15.75" customHeight="1" x14ac:dyDescent="0.25"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</row>
    <row r="197" spans="3:22" ht="15.75" customHeight="1" x14ac:dyDescent="0.25"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</row>
    <row r="198" spans="3:22" ht="15.75" customHeight="1" x14ac:dyDescent="0.25"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</row>
    <row r="199" spans="3:22" ht="15.75" customHeight="1" x14ac:dyDescent="0.25"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</row>
    <row r="200" spans="3:22" ht="15.75" customHeight="1" x14ac:dyDescent="0.25"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</row>
    <row r="201" spans="3:22" ht="15.75" customHeight="1" x14ac:dyDescent="0.25"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</row>
    <row r="202" spans="3:22" ht="15.75" customHeight="1" x14ac:dyDescent="0.25"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</row>
    <row r="203" spans="3:22" ht="15.75" customHeight="1" x14ac:dyDescent="0.25"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</row>
    <row r="204" spans="3:22" ht="15.75" customHeight="1" x14ac:dyDescent="0.25"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</row>
    <row r="205" spans="3:22" ht="15.75" customHeight="1" x14ac:dyDescent="0.25"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</row>
    <row r="206" spans="3:22" ht="15.75" customHeight="1" x14ac:dyDescent="0.25"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</row>
    <row r="207" spans="3:22" ht="15.75" customHeight="1" x14ac:dyDescent="0.25"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</row>
    <row r="208" spans="3:22" ht="15.75" customHeight="1" x14ac:dyDescent="0.25"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</row>
    <row r="209" spans="3:22" ht="15.75" customHeight="1" x14ac:dyDescent="0.25"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</row>
    <row r="210" spans="3:22" ht="15.75" customHeight="1" x14ac:dyDescent="0.25"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</row>
    <row r="211" spans="3:22" ht="15.75" customHeight="1" x14ac:dyDescent="0.25"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</row>
    <row r="212" spans="3:22" ht="15.75" customHeight="1" x14ac:dyDescent="0.25"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</row>
    <row r="213" spans="3:22" ht="15.75" customHeight="1" x14ac:dyDescent="0.25"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</row>
    <row r="214" spans="3:22" ht="15.75" customHeight="1" x14ac:dyDescent="0.25"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</row>
    <row r="215" spans="3:22" ht="15.75" customHeight="1" x14ac:dyDescent="0.25"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</row>
    <row r="216" spans="3:22" ht="15.75" customHeight="1" x14ac:dyDescent="0.25"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</row>
    <row r="217" spans="3:22" ht="15.75" customHeight="1" x14ac:dyDescent="0.25"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</row>
    <row r="218" spans="3:22" ht="15.75" customHeight="1" x14ac:dyDescent="0.25"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</row>
    <row r="219" spans="3:22" ht="15.75" customHeight="1" x14ac:dyDescent="0.25"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</row>
    <row r="220" spans="3:22" ht="15.75" customHeight="1" x14ac:dyDescent="0.25"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</row>
    <row r="221" spans="3:22" ht="15.75" customHeight="1" x14ac:dyDescent="0.25"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</row>
    <row r="222" spans="3:22" ht="15.75" customHeight="1" x14ac:dyDescent="0.25"/>
    <row r="223" spans="3:22" ht="15.75" customHeight="1" x14ac:dyDescent="0.25"/>
    <row r="224" spans="3:2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C1:G1"/>
    <mergeCell ref="H1:L1"/>
    <mergeCell ref="M1:Q1"/>
    <mergeCell ref="R1:V1"/>
  </mergeCells>
  <conditionalFormatting sqref="C3:Q20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Commercial</vt:lpstr>
      <vt:lpstr>Agents Hrs</vt:lpstr>
      <vt:lpstr>Commercial Agent-Day</vt:lpstr>
      <vt:lpstr>COM Winbacks</vt:lpstr>
      <vt:lpstr>Residential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Ford</dc:creator>
  <cp:lastModifiedBy>Cristhian Mondragon</cp:lastModifiedBy>
  <dcterms:created xsi:type="dcterms:W3CDTF">2019-04-02T20:53:37Z</dcterms:created>
  <dcterms:modified xsi:type="dcterms:W3CDTF">2026-09-21T17:21:37Z</dcterms:modified>
</cp:coreProperties>
</file>