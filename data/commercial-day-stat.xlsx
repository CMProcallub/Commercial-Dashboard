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rcial" sheetId="1" r:id="rId4"/>
    <sheet state="visible" name="Agents Hrs" sheetId="2" r:id="rId5"/>
    <sheet state="visible" name="Commercial Agent-Day" sheetId="3" r:id="rId6"/>
    <sheet state="visible" name="COM Winbacks" sheetId="4" r:id="rId7"/>
    <sheet state="visible" name="Residential" sheetId="5" r:id="rId8"/>
    <sheet state="visible" name="Dashboard" sheetId="6" r:id="rId9"/>
  </sheets>
  <definedNames/>
  <calcPr/>
  <extLst>
    <ext uri="GoogleSheetsCustomDataVersion2">
      <go:sheetsCustomData xmlns:go="http://customooxmlschemas.google.com/" r:id="rId10" roundtripDataChecksum="6xCgxIGz3XriAAbsN20yBjL5sJ/Wb4T4X+9sgtcvmsQ="/>
    </ext>
  </extLst>
</workbook>
</file>

<file path=xl/sharedStrings.xml><?xml version="1.0" encoding="utf-8"?>
<sst xmlns="http://schemas.openxmlformats.org/spreadsheetml/2006/main" count="468" uniqueCount="107">
  <si>
    <t>Commercial — Sales &amp; Fronts by Agent, by Day</t>
  </si>
  <si>
    <t>Rep #</t>
  </si>
  <si>
    <t>Eligo Energy Hours Commercial</t>
  </si>
  <si>
    <t>Rep Name</t>
  </si>
  <si>
    <t>Monday</t>
  </si>
  <si>
    <t>Tuesday</t>
  </si>
  <si>
    <t>Wednesday</t>
  </si>
  <si>
    <t>Thursday</t>
  </si>
  <si>
    <t>Friday</t>
  </si>
  <si>
    <t>Nights</t>
  </si>
  <si>
    <t>Saturday</t>
  </si>
  <si>
    <t>Total COMP</t>
  </si>
  <si>
    <t>BAD TPV</t>
  </si>
  <si>
    <t>TOTAL WK</t>
  </si>
  <si>
    <t>Last Week</t>
  </si>
  <si>
    <t>Difference</t>
  </si>
  <si>
    <t>Program</t>
  </si>
  <si>
    <t>Manager</t>
  </si>
  <si>
    <t>IN HOUSE AGENTS</t>
  </si>
  <si>
    <t>FRONTS</t>
  </si>
  <si>
    <t>Name</t>
  </si>
  <si>
    <t>Hrs</t>
  </si>
  <si>
    <t xml:space="preserve">Thursday </t>
  </si>
  <si>
    <t>TOTAL</t>
  </si>
  <si>
    <t>SALES (CLOSES)</t>
  </si>
  <si>
    <t>Mon</t>
  </si>
  <si>
    <t>Tue</t>
  </si>
  <si>
    <t>Wed</t>
  </si>
  <si>
    <t>Abigail Gambino (Commercial)</t>
  </si>
  <si>
    <t>Thu</t>
  </si>
  <si>
    <t>Fri</t>
  </si>
  <si>
    <t>TOR</t>
  </si>
  <si>
    <t>Front Total</t>
  </si>
  <si>
    <t>TOTAL RESI</t>
  </si>
  <si>
    <t>Total Hrs</t>
  </si>
  <si>
    <t>Sales Total</t>
  </si>
  <si>
    <t>SPH</t>
  </si>
  <si>
    <t>Grand Total (Fronts + Sales)</t>
  </si>
  <si>
    <t>MWH Total</t>
  </si>
  <si>
    <t>Raven Mitchell</t>
  </si>
  <si>
    <t>Commercial Agents</t>
  </si>
  <si>
    <t>Front</t>
  </si>
  <si>
    <t>ELIGO</t>
  </si>
  <si>
    <t>Sales</t>
  </si>
  <si>
    <t>CJ</t>
  </si>
  <si>
    <t>Resi</t>
  </si>
  <si>
    <t>MGW</t>
  </si>
  <si>
    <t xml:space="preserve">Brandy Paton </t>
  </si>
  <si>
    <t>830-1130-1145-5</t>
  </si>
  <si>
    <t>OUT</t>
  </si>
  <si>
    <t>Kenticka Tate (Remote)(Commercial)</t>
  </si>
  <si>
    <t>830-1130-1145-220</t>
  </si>
  <si>
    <t>Raven Mitchell (Commercial)</t>
  </si>
  <si>
    <t xml:space="preserve">Luis Buitrago </t>
  </si>
  <si>
    <t>TERM</t>
  </si>
  <si>
    <t>830-345-4-5</t>
  </si>
  <si>
    <t xml:space="preserve">Shelby Lewis </t>
  </si>
  <si>
    <t>830-1130-1145-145-2-5</t>
  </si>
  <si>
    <t>900-1130--1145-5</t>
  </si>
  <si>
    <t>Total</t>
  </si>
  <si>
    <t xml:space="preserve">Neil Singhal </t>
  </si>
  <si>
    <t>830-5</t>
  </si>
  <si>
    <t>830-230-245-5</t>
  </si>
  <si>
    <t>Albert Williams (Commercial)</t>
  </si>
  <si>
    <t>850-1130-1145-5</t>
  </si>
  <si>
    <t>830-1130-1145-230-245-5</t>
  </si>
  <si>
    <t>1030-1130-1145-5</t>
  </si>
  <si>
    <t>Ashlee Franks</t>
  </si>
  <si>
    <t>830-1130-1145-2-215-5</t>
  </si>
  <si>
    <t>850-1130-1145-230-245-440</t>
  </si>
  <si>
    <t>900-945-1015-1145-12-5</t>
  </si>
  <si>
    <t>Night Shift</t>
  </si>
  <si>
    <t>HOURS</t>
  </si>
  <si>
    <t>Remote Agents</t>
  </si>
  <si>
    <t>TRAINING (in house)</t>
  </si>
  <si>
    <t>Luis Buitrago (Commercial)</t>
  </si>
  <si>
    <t>Admin Staff</t>
  </si>
  <si>
    <t>Jakarta Hunter</t>
  </si>
  <si>
    <t>Trainees</t>
  </si>
  <si>
    <t>Night Reps</t>
  </si>
  <si>
    <t>Brandy Paton (Commercial)</t>
  </si>
  <si>
    <t xml:space="preserve">DEALS </t>
  </si>
  <si>
    <t>Luis Buitrago</t>
  </si>
  <si>
    <t>TOTAL DEALS</t>
  </si>
  <si>
    <t>Ashlee Franks (Commercial)</t>
  </si>
  <si>
    <t>Shelby Lewis (Commercial)</t>
  </si>
  <si>
    <t>Abigail Gambino</t>
  </si>
  <si>
    <t>Abigail Gambino (Commercial-Closer)</t>
  </si>
  <si>
    <t>Allen Alberts</t>
  </si>
  <si>
    <t>CJ Jackson (Manager/Closer)</t>
  </si>
  <si>
    <t>Neil Singhal (Commercial)</t>
  </si>
  <si>
    <t>Kenticka Tate (Remote)</t>
  </si>
  <si>
    <t>Brandy Paton</t>
  </si>
  <si>
    <t>Shelby Lewis</t>
  </si>
  <si>
    <t>Neil Singhal</t>
  </si>
  <si>
    <t>Albert Williams</t>
  </si>
  <si>
    <t>CJ Jackson (Manager)</t>
  </si>
  <si>
    <t>a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</si>
  <si>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</si>
  <si>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 xml:space="preserve"> </t>
  </si>
  <si>
    <t>COM Winbacks</t>
  </si>
  <si>
    <t>Residential</t>
  </si>
  <si>
    <t>Commercial</t>
  </si>
  <si>
    <t>DAILY TOTALS</t>
  </si>
  <si>
    <t>Grand Total</t>
  </si>
  <si>
    <t>FRONTERS</t>
  </si>
  <si>
    <t>CLOSERS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</si>
</sst>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sz val="11.0"/>
      <color rgb="FF000000"/>
      <name val="Calibri"/>
    </font>
    <font>
      <b/>
      <sz val="11.0"/>
      <color theme="1"/>
      <name val="Calibri"/>
    </font>
    <font>
      <b/>
      <u/>
      <sz val="11.0"/>
      <color rgb="FF000000"/>
      <name val="Calibri"/>
    </font>
    <font>
      <b/>
      <sz val="13.0"/>
      <color theme="1"/>
      <name val="Calibri"/>
    </font>
    <font>
      <sz val="11.0"/>
      <color theme="1"/>
      <name val="Calibri"/>
    </font>
    <font/>
    <font>
      <b/>
      <sz val="11.0"/>
      <color rgb="FF000000"/>
      <name val="Calibri"/>
    </font>
    <font>
      <b/>
      <u/>
      <sz val="11.0"/>
      <color theme="1"/>
      <name val="Calibri"/>
    </font>
    <font>
      <color theme="1"/>
      <name val="Calibri"/>
      <scheme val="minor"/>
    </font>
    <font>
      <i/>
      <sz val="9.0"/>
      <color theme="1"/>
      <name val="Calibri"/>
    </font>
    <font>
      <b/>
      <sz val="11.0"/>
      <color rgb="FFFFFFFF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 style="thick">
        <color rgb="FF000000"/>
      </right>
      <top/>
      <bottom style="medium">
        <color rgb="FF000000"/>
      </bottom>
    </border>
    <border>
      <left/>
      <right/>
      <top/>
      <bottom/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/>
    </border>
    <border>
      <left/>
      <right style="thin">
        <color rgb="FF000000"/>
      </right>
      <top/>
      <bottom/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/>
      <top style="thick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/>
      <top style="thin">
        <color rgb="FF7F7F7F"/>
      </top>
      <bottom style="thin">
        <color rgb="FF7F7F7F"/>
      </bottom>
    </border>
    <border>
      <left/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27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0" fillId="0" fontId="3" numFmtId="0" xfId="0" applyFont="1"/>
    <xf borderId="1" fillId="3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left"/>
    </xf>
    <xf borderId="1" fillId="3" fontId="2" numFmtId="0" xfId="0" applyAlignment="1" applyBorder="1" applyFill="1" applyFont="1">
      <alignment horizontal="left"/>
    </xf>
    <xf borderId="0" fillId="0" fontId="4" numFmtId="0" xfId="0" applyAlignment="1" applyFont="1">
      <alignment horizontal="left" vertical="center"/>
    </xf>
    <xf borderId="3" fillId="2" fontId="5" numFmtId="0" xfId="0" applyAlignment="1" applyBorder="1" applyFill="1" applyFont="1">
      <alignment horizontal="center"/>
    </xf>
    <xf borderId="4" fillId="0" fontId="6" numFmtId="0" xfId="0" applyBorder="1" applyFont="1"/>
    <xf borderId="0" fillId="0" fontId="5" numFmtId="0" xfId="0" applyFont="1"/>
    <xf borderId="5" fillId="0" fontId="6" numFmtId="0" xfId="0" applyBorder="1" applyFont="1"/>
    <xf borderId="0" fillId="0" fontId="5" numFmtId="0" xfId="0" applyAlignment="1" applyFont="1">
      <alignment horizontal="center" vertical="center"/>
    </xf>
    <xf borderId="6" fillId="2" fontId="5" numFmtId="0" xfId="0" applyAlignment="1" applyBorder="1" applyFill="1" applyFont="1">
      <alignment horizontal="center"/>
    </xf>
    <xf borderId="7" fillId="2" fontId="2" numFmtId="0" xfId="0" applyAlignment="1" applyBorder="1" applyFill="1" applyFont="1">
      <alignment horizontal="center"/>
    </xf>
    <xf borderId="8" fillId="0" fontId="6" numFmtId="0" xfId="0" applyBorder="1" applyFont="1"/>
    <xf borderId="9" fillId="2" fontId="5" numFmtId="0" xfId="0" applyAlignment="1" applyBorder="1" applyFill="1" applyFont="1">
      <alignment horizontal="center" shrinkToFit="0" vertical="center" wrapText="1"/>
    </xf>
    <xf borderId="10" fillId="0" fontId="7" numFmtId="0" xfId="0" applyAlignment="1" applyBorder="1" applyFont="1">
      <alignment horizontal="center"/>
    </xf>
    <xf borderId="11" fillId="0" fontId="6" numFmtId="0" xfId="0" applyBorder="1" applyFont="1"/>
    <xf borderId="9" fillId="2" fontId="2" numFmtId="0" xfId="0" applyAlignment="1" applyBorder="1" applyFill="1" applyFont="1">
      <alignment horizontal="center" vertical="center"/>
    </xf>
    <xf borderId="12" fillId="2" fontId="5" numFmtId="0" xfId="0" applyAlignment="1" applyBorder="1" applyFill="1" applyFont="1">
      <alignment horizontal="center"/>
    </xf>
    <xf borderId="13" fillId="0" fontId="6" numFmtId="0" xfId="0" applyBorder="1" applyFont="1"/>
    <xf borderId="14" fillId="0" fontId="6" numFmtId="0" xfId="0" applyBorder="1" applyFont="1"/>
    <xf borderId="15" fillId="4" fontId="7" numFmtId="2" xfId="0" applyAlignment="1" applyBorder="1" applyFill="1" applyFont="1" applyNumberFormat="1">
      <alignment horizontal="center"/>
    </xf>
    <xf borderId="16" fillId="2" fontId="2" numFmtId="0" xfId="0" applyAlignment="1" applyBorder="1" applyFill="1" applyFont="1">
      <alignment horizontal="center"/>
    </xf>
    <xf borderId="17" fillId="0" fontId="6" numFmtId="0" xfId="0" applyBorder="1" applyFont="1"/>
    <xf borderId="18" fillId="0" fontId="6" numFmtId="0" xfId="0" applyBorder="1" applyFont="1"/>
    <xf borderId="19" fillId="0" fontId="6" numFmtId="0" xfId="0" applyBorder="1" applyFont="1"/>
    <xf borderId="1" fillId="3" fontId="5" numFmtId="0" xfId="0" applyAlignment="1" applyBorder="1" applyFill="1" applyFont="1">
      <alignment horizontal="center"/>
    </xf>
    <xf borderId="20" fillId="0" fontId="6" numFmtId="0" xfId="0" applyBorder="1" applyFont="1"/>
    <xf borderId="21" fillId="0" fontId="6" numFmtId="0" xfId="0" applyBorder="1" applyFont="1"/>
    <xf borderId="1" fillId="0" fontId="5" numFmtId="0" xfId="0" applyAlignment="1" applyBorder="1" applyFont="1">
      <alignment horizontal="center" shrinkToFit="0" wrapText="1"/>
    </xf>
    <xf borderId="1" fillId="3" fontId="2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shrinkToFit="0" wrapText="1"/>
    </xf>
    <xf borderId="1" fillId="0" fontId="1" numFmtId="0" xfId="0" applyAlignment="1" applyBorder="1" applyFont="1">
      <alignment horizontal="center" shrinkToFit="0" wrapText="1"/>
    </xf>
    <xf borderId="1" fillId="5" fontId="5" numFmtId="0" xfId="0" applyAlignment="1" applyBorder="1" applyFill="1" applyFont="1">
      <alignment horizontal="center"/>
    </xf>
    <xf borderId="22" fillId="2" fontId="2" numFmtId="0" xfId="0" applyAlignment="1" applyBorder="1" applyFill="1" applyFont="1">
      <alignment horizontal="center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horizontal="left" readingOrder="0" vertical="center"/>
    </xf>
    <xf borderId="2" fillId="2" fontId="2" numFmtId="0" xfId="0" applyAlignment="1" applyBorder="1" applyFill="1" applyFont="1">
      <alignment horizontal="center"/>
    </xf>
    <xf borderId="6" fillId="3" fontId="2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center" readingOrder="0"/>
    </xf>
    <xf borderId="23" fillId="6" fontId="2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center" readingOrder="0"/>
    </xf>
    <xf borderId="1" fillId="2" fontId="2" numFmtId="2" xfId="0" applyAlignment="1" applyBorder="1" applyFill="1" applyFont="1" applyNumberFormat="1">
      <alignment horizontal="center"/>
    </xf>
    <xf borderId="1" fillId="0" fontId="2" numFmtId="0" xfId="0" applyAlignment="1" applyBorder="1" applyFont="1">
      <alignment horizontal="center"/>
    </xf>
    <xf borderId="1" fillId="0" fontId="5" numFmtId="0" xfId="0" applyAlignment="1" applyBorder="1" applyFont="1">
      <alignment horizontal="left" vertical="center"/>
    </xf>
    <xf borderId="6" fillId="2" fontId="5" numFmtId="0" xfId="0" applyBorder="1" applyFill="1" applyFont="1"/>
    <xf borderId="1" fillId="0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 vertical="center"/>
    </xf>
    <xf borderId="24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25" fillId="3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vertical="center"/>
    </xf>
    <xf borderId="26" fillId="2" fontId="2" numFmtId="0" xfId="0" applyAlignment="1" applyBorder="1" applyFill="1" applyFont="1">
      <alignment horizontal="center" shrinkToFit="0" vertical="center" wrapText="1"/>
    </xf>
    <xf borderId="1" fillId="0" fontId="5" numFmtId="0" xfId="0" applyBorder="1" applyFont="1"/>
    <xf borderId="27" fillId="2" fontId="2" numFmtId="0" xfId="0" applyAlignment="1" applyBorder="1" applyFill="1" applyFont="1">
      <alignment horizontal="center" shrinkToFit="0" vertical="center" wrapText="1"/>
    </xf>
    <xf borderId="28" fillId="5" fontId="5" numFmtId="0" xfId="0" applyAlignment="1" applyBorder="1" applyFill="1" applyFont="1">
      <alignment horizontal="center"/>
    </xf>
    <xf borderId="29" fillId="0" fontId="1" numFmtId="2" xfId="0" applyAlignment="1" applyBorder="1" applyFont="1" applyNumberFormat="1">
      <alignment horizontal="center"/>
    </xf>
    <xf borderId="29" fillId="0" fontId="2" numFmtId="0" xfId="0" applyAlignment="1" applyBorder="1" applyFont="1">
      <alignment horizontal="center"/>
    </xf>
    <xf borderId="29" fillId="0" fontId="1" numFmtId="0" xfId="0" applyAlignment="1" applyBorder="1" applyFont="1">
      <alignment shrinkToFit="0" wrapText="1"/>
    </xf>
    <xf borderId="29" fillId="0" fontId="5" numFmtId="0" xfId="0" applyAlignment="1" applyBorder="1" applyFont="1">
      <alignment shrinkToFit="0" wrapText="1"/>
    </xf>
    <xf borderId="1" fillId="0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left" readingOrder="0"/>
    </xf>
    <xf borderId="30" fillId="6" fontId="2" numFmtId="0" xfId="0" applyAlignment="1" applyBorder="1" applyFill="1" applyFont="1">
      <alignment horizontal="center" shrinkToFit="0" vertical="center" wrapText="1"/>
    </xf>
    <xf borderId="1" fillId="3" fontId="5" numFmtId="2" xfId="0" applyAlignment="1" applyBorder="1" applyFill="1" applyFont="1" applyNumberFormat="1">
      <alignment horizontal="center"/>
    </xf>
    <xf borderId="22" fillId="2" fontId="2" numFmtId="0" xfId="0" applyAlignment="1" applyBorder="1" applyFill="1" applyFont="1">
      <alignment horizontal="center" shrinkToFit="0" vertical="center" wrapText="1"/>
    </xf>
    <xf borderId="9" fillId="0" fontId="5" numFmtId="0" xfId="0" applyAlignment="1" applyBorder="1" applyFont="1">
      <alignment shrinkToFit="0" wrapText="1"/>
    </xf>
    <xf borderId="1" fillId="0" fontId="5" numFmtId="0" xfId="0" applyAlignment="1" applyBorder="1" applyFont="1">
      <alignment horizontal="left"/>
    </xf>
    <xf borderId="9" fillId="0" fontId="5" numFmtId="0" xfId="0" applyAlignment="1" applyBorder="1" applyFont="1">
      <alignment horizontal="center" shrinkToFit="0" wrapText="1"/>
    </xf>
    <xf borderId="31" fillId="0" fontId="5" numFmtId="0" xfId="0" applyAlignment="1" applyBorder="1" applyFont="1">
      <alignment horizontal="center" shrinkToFit="0" wrapText="1"/>
    </xf>
    <xf borderId="32" fillId="0" fontId="2" numFmtId="0" xfId="0" applyAlignment="1" applyBorder="1" applyFont="1">
      <alignment horizontal="center" shrinkToFit="0" wrapText="1"/>
    </xf>
    <xf borderId="1" fillId="0" fontId="5" numFmtId="0" xfId="0" applyAlignment="1" applyBorder="1" applyFont="1">
      <alignment horizontal="center" readingOrder="0" shrinkToFit="0" wrapText="1"/>
    </xf>
    <xf borderId="33" fillId="5" fontId="2" numFmtId="0" xfId="0" applyAlignment="1" applyBorder="1" applyFill="1" applyFont="1">
      <alignment horizontal="center"/>
    </xf>
    <xf borderId="1" fillId="0" fontId="5" numFmtId="2" xfId="0" applyAlignment="1" applyBorder="1" applyFont="1" applyNumberFormat="1">
      <alignment horizontal="center" shrinkToFit="0" wrapText="1"/>
    </xf>
    <xf borderId="34" fillId="0" fontId="5" numFmtId="0" xfId="0" applyAlignment="1" applyBorder="1" applyFont="1">
      <alignment horizontal="center" shrinkToFit="0" wrapText="1"/>
    </xf>
    <xf borderId="1" fillId="0" fontId="1" numFmtId="20" xfId="0" applyAlignment="1" applyBorder="1" applyFont="1" applyNumberFormat="1">
      <alignment horizontal="left" vertical="center"/>
    </xf>
    <xf borderId="1" fillId="0" fontId="1" numFmtId="0" xfId="0" applyAlignment="1" applyBorder="1" applyFont="1">
      <alignment horizontal="center"/>
    </xf>
    <xf borderId="1" fillId="0" fontId="1" numFmtId="20" xfId="0" applyAlignment="1" applyBorder="1" applyFont="1" applyNumberFormat="1">
      <alignment horizontal="left"/>
    </xf>
    <xf borderId="35" fillId="5" fontId="2" numFmtId="0" xfId="0" applyAlignment="1" applyBorder="1" applyFill="1" applyFont="1">
      <alignment horizontal="center" vertical="center"/>
    </xf>
    <xf borderId="36" fillId="2" fontId="2" numFmtId="0" xfId="0" applyAlignment="1" applyBorder="1" applyFill="1" applyFont="1">
      <alignment horizontal="left"/>
    </xf>
    <xf borderId="36" fillId="3" fontId="5" numFmtId="0" xfId="0" applyAlignment="1" applyBorder="1" applyFill="1" applyFont="1">
      <alignment horizontal="center"/>
    </xf>
    <xf borderId="10" fillId="7" fontId="7" numFmtId="0" xfId="0" applyAlignment="1" applyBorder="1" applyFill="1" applyFont="1">
      <alignment horizontal="center"/>
    </xf>
    <xf borderId="1" fillId="7" fontId="7" numFmtId="20" xfId="0" applyAlignment="1" applyBorder="1" applyFill="1" applyFont="1" applyNumberFormat="1">
      <alignment horizontal="left" vertical="center"/>
    </xf>
    <xf borderId="1" fillId="5" fontId="5" numFmtId="0" xfId="0" applyAlignment="1" applyBorder="1" applyFill="1" applyFont="1">
      <alignment horizontal="center" readingOrder="0"/>
    </xf>
    <xf borderId="36" fillId="3" fontId="2" numFmtId="0" xfId="0" applyAlignment="1" applyBorder="1" applyFill="1" applyFont="1">
      <alignment horizontal="center"/>
    </xf>
    <xf borderId="37" fillId="7" fontId="7" numFmtId="0" xfId="0" applyAlignment="1" applyBorder="1" applyFill="1" applyFont="1">
      <alignment horizontal="center"/>
    </xf>
    <xf borderId="28" fillId="7" fontId="7" numFmtId="20" xfId="0" applyAlignment="1" applyBorder="1" applyFill="1" applyFont="1" applyNumberFormat="1">
      <alignment horizontal="left"/>
    </xf>
    <xf borderId="1" fillId="0" fontId="2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vertical="center"/>
    </xf>
    <xf borderId="36" fillId="7" fontId="7" numFmtId="20" xfId="0" applyAlignment="1" applyBorder="1" applyFill="1" applyFont="1" applyNumberFormat="1">
      <alignment horizontal="left"/>
    </xf>
    <xf borderId="1" fillId="0" fontId="1" numFmtId="0" xfId="0" applyAlignment="1" applyBorder="1" applyFont="1">
      <alignment horizontal="left" shrinkToFit="0" vertical="center" wrapText="1"/>
    </xf>
    <xf borderId="34" fillId="5" fontId="5" numFmtId="0" xfId="0" applyAlignment="1" applyBorder="1" applyFill="1" applyFont="1">
      <alignment horizontal="center"/>
    </xf>
    <xf borderId="28" fillId="7" fontId="1" numFmtId="2" xfId="0" applyAlignment="1" applyBorder="1" applyFill="1" applyFont="1" applyNumberFormat="1">
      <alignment horizontal="center"/>
    </xf>
    <xf borderId="31" fillId="5" fontId="5" numFmtId="0" xfId="0" applyAlignment="1" applyBorder="1" applyFill="1" applyFont="1">
      <alignment horizontal="center"/>
    </xf>
    <xf borderId="9" fillId="4" fontId="7" numFmtId="2" xfId="0" applyAlignment="1" applyBorder="1" applyFill="1" applyFont="1" applyNumberFormat="1">
      <alignment horizontal="center"/>
    </xf>
    <xf borderId="0" fillId="0" fontId="5" numFmtId="0" xfId="0" applyAlignment="1" applyFont="1">
      <alignment vertical="center"/>
    </xf>
    <xf borderId="1" fillId="5" fontId="1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left" vertical="center"/>
    </xf>
    <xf borderId="29" fillId="0" fontId="1" numFmtId="20" xfId="0" applyAlignment="1" applyBorder="1" applyFont="1" applyNumberFormat="1">
      <alignment horizontal="left"/>
    </xf>
    <xf borderId="38" fillId="0" fontId="1" numFmtId="0" xfId="0" applyAlignment="1" applyBorder="1" applyFont="1">
      <alignment horizontal="center"/>
    </xf>
    <xf borderId="18" fillId="0" fontId="2" numFmtId="0" xfId="0" applyAlignment="1" applyBorder="1" applyFont="1">
      <alignment horizontal="center"/>
    </xf>
    <xf borderId="1" fillId="0" fontId="1" numFmtId="2" xfId="0" applyAlignment="1" applyBorder="1" applyFont="1" applyNumberFormat="1">
      <alignment horizontal="center"/>
    </xf>
    <xf borderId="1" fillId="2" fontId="2" numFmtId="0" xfId="0" applyAlignment="1" applyBorder="1" applyFill="1" applyFont="1">
      <alignment horizontal="left"/>
    </xf>
    <xf borderId="29" fillId="0" fontId="1" numFmtId="0" xfId="0" applyAlignment="1" applyBorder="1" applyFont="1">
      <alignment horizontal="left" vertical="center"/>
    </xf>
    <xf borderId="9" fillId="0" fontId="2" numFmtId="0" xfId="0" applyAlignment="1" applyBorder="1" applyFont="1">
      <alignment horizontal="center"/>
    </xf>
    <xf borderId="29" fillId="0" fontId="1" numFmtId="20" xfId="0" applyAlignment="1" applyBorder="1" applyFont="1" applyNumberFormat="1">
      <alignment horizontal="left" vertical="center"/>
    </xf>
    <xf borderId="30" fillId="6" fontId="2" numFmtId="0" xfId="0" applyAlignment="1" applyBorder="1" applyFill="1" applyFont="1">
      <alignment horizontal="center"/>
    </xf>
    <xf borderId="22" fillId="5" fontId="5" numFmtId="0" xfId="0" applyAlignment="1" applyBorder="1" applyFill="1" applyFont="1">
      <alignment horizontal="center" vertical="center"/>
    </xf>
    <xf borderId="1" fillId="0" fontId="5" numFmtId="2" xfId="0" applyAlignment="1" applyBorder="1" applyFont="1" applyNumberFormat="1">
      <alignment horizontal="center"/>
    </xf>
    <xf borderId="28" fillId="3" fontId="5" numFmtId="0" xfId="0" applyAlignment="1" applyBorder="1" applyFill="1" applyFont="1">
      <alignment horizontal="center"/>
    </xf>
    <xf borderId="9" fillId="0" fontId="1" numFmtId="0" xfId="0" applyAlignment="1" applyBorder="1" applyFont="1">
      <alignment horizontal="center" shrinkToFit="0" vertical="center" wrapText="1"/>
    </xf>
    <xf borderId="1" fillId="2" fontId="5" numFmtId="0" xfId="0" applyAlignment="1" applyBorder="1" applyFill="1" applyFont="1">
      <alignment horizontal="center"/>
    </xf>
    <xf borderId="39" fillId="0" fontId="1" numFmtId="0" xfId="0" applyAlignment="1" applyBorder="1" applyFont="1">
      <alignment horizontal="center"/>
    </xf>
    <xf borderId="40" fillId="0" fontId="1" numFmtId="20" xfId="0" applyAlignment="1" applyBorder="1" applyFont="1" applyNumberFormat="1">
      <alignment horizontal="left"/>
    </xf>
    <xf borderId="29" fillId="0" fontId="1" numFmtId="0" xfId="0" applyAlignment="1" applyBorder="1" applyFont="1">
      <alignment horizontal="center"/>
    </xf>
    <xf borderId="39" fillId="0" fontId="5" numFmtId="0" xfId="0" applyAlignment="1" applyBorder="1" applyFont="1">
      <alignment shrinkToFit="0" wrapText="1"/>
    </xf>
    <xf borderId="0" fillId="0" fontId="5" numFmtId="0" xfId="0" applyAlignment="1" applyFont="1">
      <alignment horizontal="center"/>
    </xf>
    <xf borderId="0" fillId="0" fontId="8" numFmtId="0" xfId="0" applyAlignment="1" applyFont="1">
      <alignment horizontal="center"/>
    </xf>
    <xf borderId="10" fillId="0" fontId="1" numFmtId="2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" numFmtId="0" xfId="0" applyBorder="1" applyFont="1"/>
    <xf borderId="41" fillId="0" fontId="1" numFmtId="0" xfId="0" applyAlignment="1" applyBorder="1" applyFont="1">
      <alignment horizontal="center"/>
    </xf>
    <xf borderId="9" fillId="0" fontId="5" numFmtId="0" xfId="0" applyAlignment="1" applyBorder="1" applyFont="1">
      <alignment vertical="center"/>
    </xf>
    <xf borderId="34" fillId="0" fontId="5" numFmtId="0" xfId="0" applyAlignment="1" applyBorder="1" applyFont="1">
      <alignment horizontal="center" vertical="center"/>
    </xf>
    <xf borderId="39" fillId="0" fontId="5" numFmtId="0" xfId="0" applyAlignment="1" applyBorder="1" applyFont="1">
      <alignment vertical="center"/>
    </xf>
    <xf borderId="42" fillId="0" fontId="5" numFmtId="0" xfId="0" applyAlignment="1" applyBorder="1" applyFont="1">
      <alignment horizontal="center" shrinkToFit="0" wrapText="1"/>
    </xf>
    <xf borderId="29" fillId="0" fontId="5" numFmtId="0" xfId="0" applyAlignment="1" applyBorder="1" applyFont="1">
      <alignment horizontal="center" vertical="center"/>
    </xf>
    <xf borderId="29" fillId="0" fontId="5" numFmtId="2" xfId="0" applyAlignment="1" applyBorder="1" applyFont="1" applyNumberFormat="1">
      <alignment horizontal="center" shrinkToFit="0" wrapText="1"/>
    </xf>
    <xf borderId="43" fillId="0" fontId="5" numFmtId="0" xfId="0" applyAlignment="1" applyBorder="1" applyFont="1">
      <alignment horizontal="center" vertical="center"/>
    </xf>
    <xf borderId="28" fillId="5" fontId="5" numFmtId="0" xfId="0" applyAlignment="1" applyBorder="1" applyFill="1" applyFont="1">
      <alignment horizontal="center" readingOrder="0"/>
    </xf>
    <xf borderId="44" fillId="5" fontId="5" numFmtId="0" xfId="0" applyAlignment="1" applyBorder="1" applyFill="1" applyFont="1">
      <alignment horizontal="center"/>
    </xf>
    <xf borderId="39" fillId="0" fontId="2" numFmtId="0" xfId="0" applyAlignment="1" applyBorder="1" applyFont="1">
      <alignment horizontal="center"/>
    </xf>
    <xf borderId="45" fillId="6" fontId="2" numFmtId="0" xfId="0" applyAlignment="1" applyBorder="1" applyFill="1" applyFont="1">
      <alignment horizontal="center"/>
    </xf>
    <xf borderId="37" fillId="5" fontId="5" numFmtId="0" xfId="0" applyAlignment="1" applyBorder="1" applyFill="1" applyFont="1">
      <alignment horizontal="center" vertical="center"/>
    </xf>
    <xf borderId="29" fillId="0" fontId="5" numFmtId="2" xfId="0" applyAlignment="1" applyBorder="1" applyFont="1" applyNumberFormat="1">
      <alignment horizontal="center"/>
    </xf>
    <xf borderId="29" fillId="0" fontId="5" numFmtId="0" xfId="0" applyAlignment="1" applyBorder="1" applyFont="1">
      <alignment horizontal="center"/>
    </xf>
    <xf borderId="29" fillId="0" fontId="5" numFmtId="0" xfId="0" applyBorder="1" applyFont="1"/>
    <xf borderId="46" fillId="0" fontId="2" numFmtId="0" xfId="0" applyAlignment="1" applyBorder="1" applyFont="1">
      <alignment horizontal="center" shrinkToFit="0" wrapText="1"/>
    </xf>
    <xf borderId="33" fillId="5" fontId="2" numFmtId="0" xfId="0" applyAlignment="1" applyBorder="1" applyFill="1" applyFont="1">
      <alignment horizontal="center" readingOrder="0"/>
    </xf>
    <xf borderId="33" fillId="0" fontId="5" numFmtId="2" xfId="0" applyAlignment="1" applyBorder="1" applyFont="1" applyNumberFormat="1">
      <alignment horizontal="center" shrinkToFit="0" wrapText="1"/>
    </xf>
    <xf borderId="35" fillId="5" fontId="2" numFmtId="0" xfId="0" applyAlignment="1" applyBorder="1" applyFill="1" applyFont="1">
      <alignment horizontal="center"/>
    </xf>
    <xf borderId="32" fillId="5" fontId="2" numFmtId="0" xfId="0" applyAlignment="1" applyBorder="1" applyFill="1" applyFont="1">
      <alignment horizontal="center"/>
    </xf>
    <xf borderId="47" fillId="0" fontId="2" numFmtId="0" xfId="0" applyAlignment="1" applyBorder="1" applyFont="1">
      <alignment horizontal="center"/>
    </xf>
    <xf borderId="48" fillId="5" fontId="2" numFmtId="0" xfId="0" applyAlignment="1" applyBorder="1" applyFill="1" applyFont="1">
      <alignment horizontal="center"/>
    </xf>
    <xf borderId="49" fillId="0" fontId="2" numFmtId="0" xfId="0" applyAlignment="1" applyBorder="1" applyFont="1">
      <alignment horizontal="center"/>
    </xf>
    <xf borderId="10" fillId="6" fontId="2" numFmtId="0" xfId="0" applyAlignment="1" applyBorder="1" applyFill="1" applyFont="1">
      <alignment horizontal="center"/>
    </xf>
    <xf borderId="50" fillId="5" fontId="5" numFmtId="0" xfId="0" applyAlignment="1" applyBorder="1" applyFill="1" applyFont="1">
      <alignment horizontal="center" vertical="center"/>
    </xf>
    <xf borderId="33" fillId="0" fontId="5" numFmtId="0" xfId="0" applyAlignment="1" applyBorder="1" applyFont="1">
      <alignment horizontal="center"/>
    </xf>
    <xf borderId="33" fillId="0" fontId="5" numFmtId="2" xfId="0" applyAlignment="1" applyBorder="1" applyFont="1" applyNumberFormat="1">
      <alignment horizontal="center"/>
    </xf>
    <xf borderId="35" fillId="0" fontId="5" numFmtId="0" xfId="0" applyAlignment="1" applyBorder="1" applyFont="1">
      <alignment horizontal="center"/>
    </xf>
    <xf borderId="33" fillId="0" fontId="5" numFmtId="0" xfId="0" applyBorder="1" applyFont="1"/>
    <xf borderId="51" fillId="2" fontId="2" numFmtId="0" xfId="0" applyAlignment="1" applyBorder="1" applyFill="1" applyFont="1">
      <alignment horizontal="left"/>
    </xf>
    <xf borderId="52" fillId="2" fontId="2" numFmtId="0" xfId="0" applyAlignment="1" applyBorder="1" applyFill="1" applyFont="1">
      <alignment horizontal="center"/>
    </xf>
    <xf borderId="36" fillId="2" fontId="2" numFmtId="0" xfId="0" applyAlignment="1" applyBorder="1" applyFill="1" applyFont="1">
      <alignment horizontal="center"/>
    </xf>
    <xf borderId="53" fillId="2" fontId="2" numFmtId="0" xfId="0" applyAlignment="1" applyBorder="1" applyFill="1" applyFont="1">
      <alignment horizontal="center"/>
    </xf>
    <xf borderId="53" fillId="3" fontId="5" numFmtId="0" xfId="0" applyAlignment="1" applyBorder="1" applyFill="1" applyFont="1">
      <alignment horizontal="center"/>
    </xf>
    <xf borderId="52" fillId="3" fontId="5" numFmtId="0" xfId="0" applyAlignment="1" applyBorder="1" applyFill="1" applyFont="1">
      <alignment horizontal="center"/>
    </xf>
    <xf borderId="54" fillId="3" fontId="2" numFmtId="0" xfId="0" applyAlignment="1" applyBorder="1" applyFill="1" applyFont="1">
      <alignment horizontal="center"/>
    </xf>
    <xf borderId="51" fillId="3" fontId="2" numFmtId="0" xfId="0" applyAlignment="1" applyBorder="1" applyFill="1" applyFont="1">
      <alignment horizontal="center"/>
    </xf>
    <xf borderId="55" fillId="6" fontId="5" numFmtId="0" xfId="0" applyAlignment="1" applyBorder="1" applyFill="1" applyFont="1">
      <alignment horizontal="center"/>
    </xf>
    <xf borderId="54" fillId="3" fontId="5" numFmtId="0" xfId="0" applyAlignment="1" applyBorder="1" applyFill="1" applyFont="1">
      <alignment horizontal="center"/>
    </xf>
    <xf borderId="36" fillId="3" fontId="5" numFmtId="2" xfId="0" applyAlignment="1" applyBorder="1" applyFill="1" applyFont="1" applyNumberFormat="1">
      <alignment horizontal="center"/>
    </xf>
    <xf borderId="2" fillId="3" fontId="2" numFmtId="0" xfId="0" applyAlignment="1" applyBorder="1" applyFill="1" applyFont="1">
      <alignment horizontal="left"/>
    </xf>
    <xf borderId="31" fillId="3" fontId="2" numFmtId="0" xfId="0" applyAlignment="1" applyBorder="1" applyFill="1" applyFont="1">
      <alignment horizontal="center"/>
    </xf>
    <xf borderId="34" fillId="3" fontId="2" numFmtId="0" xfId="0" applyAlignment="1" applyBorder="1" applyFill="1" applyFont="1">
      <alignment horizontal="center"/>
    </xf>
    <xf borderId="2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1" fillId="3" fontId="2" numFmtId="2" xfId="0" applyAlignment="1" applyBorder="1" applyFill="1" applyFont="1" applyNumberFormat="1">
      <alignment horizontal="center"/>
    </xf>
    <xf borderId="31" fillId="0" fontId="5" numFmtId="0" xfId="0" applyAlignment="1" applyBorder="1" applyFont="1">
      <alignment horizontal="center" vertical="center"/>
    </xf>
    <xf borderId="42" fillId="0" fontId="5" numFmtId="0" xfId="0" applyAlignment="1" applyBorder="1" applyFont="1">
      <alignment horizontal="center" vertical="center"/>
    </xf>
    <xf borderId="56" fillId="5" fontId="5" numFmtId="0" xfId="0" applyAlignment="1" applyBorder="1" applyFill="1" applyFont="1">
      <alignment horizontal="center"/>
    </xf>
    <xf borderId="50" fillId="5" fontId="2" numFmtId="0" xfId="0" applyAlignment="1" applyBorder="1" applyFill="1" applyFont="1">
      <alignment horizontal="center"/>
    </xf>
    <xf borderId="57" fillId="5" fontId="2" numFmtId="0" xfId="0" applyAlignment="1" applyBorder="1" applyFill="1" applyFont="1">
      <alignment horizontal="center"/>
    </xf>
    <xf borderId="51" fillId="3" fontId="2" numFmtId="0" xfId="0" applyAlignment="1" applyBorder="1" applyFill="1" applyFont="1">
      <alignment horizontal="center" vertical="center"/>
    </xf>
    <xf borderId="52" fillId="3" fontId="2" numFmtId="0" xfId="0" applyAlignment="1" applyBorder="1" applyFill="1" applyFont="1">
      <alignment horizontal="center" vertical="center"/>
    </xf>
    <xf borderId="36" fillId="3" fontId="2" numFmtId="0" xfId="0" applyAlignment="1" applyBorder="1" applyFill="1" applyFont="1">
      <alignment horizontal="center" vertical="center"/>
    </xf>
    <xf borderId="53" fillId="3" fontId="2" numFmtId="0" xfId="0" applyAlignment="1" applyBorder="1" applyFill="1" applyFont="1">
      <alignment horizontal="center" vertical="center"/>
    </xf>
    <xf borderId="30" fillId="6" fontId="5" numFmtId="0" xfId="0" applyAlignment="1" applyBorder="1" applyFill="1" applyFont="1">
      <alignment horizontal="center"/>
    </xf>
    <xf borderId="22" fillId="3" fontId="5" numFmtId="0" xfId="0" applyAlignment="1" applyBorder="1" applyFill="1" applyFont="1">
      <alignment horizontal="center"/>
    </xf>
    <xf borderId="28" fillId="3" fontId="5" numFmtId="2" xfId="0" applyAlignment="1" applyBorder="1" applyFill="1" applyFont="1" applyNumberFormat="1">
      <alignment horizontal="center"/>
    </xf>
    <xf borderId="9" fillId="0" fontId="1" numFmtId="0" xfId="0" applyAlignment="1" applyBorder="1" applyFont="1">
      <alignment horizontal="left" shrinkToFit="0" vertical="center" wrapText="1"/>
    </xf>
    <xf borderId="31" fillId="0" fontId="1" numFmtId="0" xfId="0" applyAlignment="1" applyBorder="1" applyFont="1">
      <alignment horizontal="center" shrinkToFit="0" vertical="center" wrapText="1"/>
    </xf>
    <xf borderId="34" fillId="0" fontId="1" numFmtId="0" xfId="0" applyAlignment="1" applyBorder="1" applyFont="1">
      <alignment horizontal="center" shrinkToFit="0" vertical="center" wrapText="1"/>
    </xf>
    <xf borderId="39" fillId="0" fontId="1" numFmtId="0" xfId="0" applyAlignment="1" applyBorder="1" applyFont="1">
      <alignment horizontal="left" shrinkToFit="0" vertical="center" wrapText="1"/>
    </xf>
    <xf borderId="42" fillId="0" fontId="1" numFmtId="0" xfId="0" applyAlignment="1" applyBorder="1" applyFont="1">
      <alignment horizontal="center" shrinkToFit="0" vertical="center" wrapText="1"/>
    </xf>
    <xf borderId="29" fillId="0" fontId="1" numFmtId="0" xfId="0" applyAlignment="1" applyBorder="1" applyFont="1">
      <alignment horizontal="center" shrinkToFit="0" vertical="center" wrapText="1"/>
    </xf>
    <xf borderId="43" fillId="0" fontId="1" numFmtId="0" xfId="0" applyAlignment="1" applyBorder="1" applyFont="1">
      <alignment horizontal="center" shrinkToFit="0" vertical="center" wrapText="1"/>
    </xf>
    <xf borderId="38" fillId="0" fontId="2" numFmtId="0" xfId="0" applyAlignment="1" applyBorder="1" applyFont="1">
      <alignment horizontal="center"/>
    </xf>
    <xf borderId="2" fillId="2" fontId="5" numFmtId="0" xfId="0" applyAlignment="1" applyBorder="1" applyFill="1" applyFont="1">
      <alignment horizontal="center"/>
    </xf>
    <xf borderId="58" fillId="3" fontId="2" numFmtId="0" xfId="0" applyAlignment="1" applyBorder="1" applyFill="1" applyFont="1">
      <alignment horizontal="center"/>
    </xf>
    <xf borderId="32" fillId="3" fontId="2" numFmtId="0" xfId="0" applyAlignment="1" applyBorder="1" applyFill="1" applyFont="1">
      <alignment horizontal="center"/>
    </xf>
    <xf borderId="33" fillId="3" fontId="2" numFmtId="0" xfId="0" applyAlignment="1" applyBorder="1" applyFill="1" applyFont="1">
      <alignment horizontal="center"/>
    </xf>
    <xf borderId="35" fillId="3" fontId="2" numFmtId="0" xfId="0" applyAlignment="1" applyBorder="1" applyFill="1" applyFont="1">
      <alignment horizontal="center"/>
    </xf>
    <xf borderId="59" fillId="3" fontId="2" numFmtId="0" xfId="0" applyAlignment="1" applyBorder="1" applyFill="1" applyFont="1">
      <alignment horizontal="center"/>
    </xf>
    <xf borderId="24" fillId="3" fontId="2" numFmtId="0" xfId="0" applyAlignment="1" applyBorder="1" applyFill="1" applyFont="1">
      <alignment horizontal="center"/>
    </xf>
    <xf borderId="60" fillId="6" fontId="2" numFmtId="0" xfId="0" applyAlignment="1" applyBorder="1" applyFill="1" applyFont="1">
      <alignment horizontal="center"/>
    </xf>
    <xf borderId="61" fillId="0" fontId="5" numFmtId="0" xfId="0" applyAlignment="1" applyBorder="1" applyFont="1">
      <alignment horizontal="left"/>
    </xf>
    <xf borderId="62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 readingOrder="0"/>
    </xf>
    <xf borderId="63" fillId="0" fontId="5" numFmtId="0" xfId="0" applyAlignment="1" applyBorder="1" applyFont="1">
      <alignment horizontal="center"/>
    </xf>
    <xf borderId="53" fillId="5" fontId="5" numFmtId="0" xfId="0" applyAlignment="1" applyBorder="1" applyFill="1" applyFont="1">
      <alignment horizontal="center"/>
    </xf>
    <xf borderId="52" fillId="5" fontId="5" numFmtId="0" xfId="0" applyAlignment="1" applyBorder="1" applyFill="1" applyFont="1">
      <alignment horizontal="center"/>
    </xf>
    <xf borderId="36" fillId="5" fontId="5" numFmtId="0" xfId="0" applyAlignment="1" applyBorder="1" applyFill="1" applyFont="1">
      <alignment horizontal="center"/>
    </xf>
    <xf borderId="64" fillId="0" fontId="5" numFmtId="0" xfId="0" applyAlignment="1" applyBorder="1" applyFont="1">
      <alignment horizontal="center" readingOrder="0"/>
    </xf>
    <xf borderId="0" fillId="0" fontId="5" numFmtId="2" xfId="0" applyAlignment="1" applyFont="1" applyNumberFormat="1">
      <alignment horizontal="center"/>
    </xf>
    <xf borderId="9" fillId="0" fontId="5" numFmtId="0" xfId="0" applyAlignment="1" applyBorder="1" applyFont="1">
      <alignment horizontal="left"/>
    </xf>
    <xf borderId="65" fillId="0" fontId="5" numFmtId="0" xfId="0" applyAlignment="1" applyBorder="1" applyFont="1">
      <alignment horizontal="center"/>
    </xf>
    <xf borderId="66" fillId="0" fontId="5" numFmtId="0" xfId="0" applyAlignment="1" applyBorder="1" applyFont="1">
      <alignment horizontal="center"/>
    </xf>
    <xf borderId="67" fillId="0" fontId="5" numFmtId="0" xfId="0" applyAlignment="1" applyBorder="1" applyFont="1">
      <alignment horizontal="center"/>
    </xf>
    <xf borderId="18" fillId="0" fontId="5" numFmtId="0" xfId="0" applyAlignment="1" applyBorder="1" applyFont="1">
      <alignment horizontal="center"/>
    </xf>
    <xf borderId="0" fillId="0" fontId="9" numFmtId="0" xfId="0" applyFont="1"/>
    <xf borderId="68" fillId="0" fontId="5" numFmtId="0" xfId="0" applyAlignment="1" applyBorder="1" applyFont="1">
      <alignment horizontal="center"/>
    </xf>
    <xf borderId="69" fillId="0" fontId="5" numFmtId="0" xfId="0" applyAlignment="1" applyBorder="1" applyFont="1">
      <alignment horizontal="center"/>
    </xf>
    <xf borderId="33" fillId="0" fontId="5" numFmtId="0" xfId="0" applyAlignment="1" applyBorder="1" applyFont="1">
      <alignment horizontal="center" vertical="center"/>
    </xf>
    <xf borderId="33" fillId="0" fontId="2" numFmtId="0" xfId="0" applyAlignment="1" applyBorder="1" applyFont="1">
      <alignment horizontal="center" vertical="center"/>
    </xf>
    <xf borderId="0" fillId="0" fontId="10" numFmtId="0" xfId="0" applyAlignment="1" applyFont="1">
      <alignment horizontal="left" vertical="center"/>
    </xf>
    <xf borderId="33" fillId="2" fontId="2" numFmtId="0" xfId="0" applyAlignment="1" applyBorder="1" applyFill="1" applyFont="1">
      <alignment horizontal="center"/>
    </xf>
    <xf borderId="32" fillId="5" fontId="5" numFmtId="0" xfId="0" applyAlignment="1" applyBorder="1" applyFill="1" applyFont="1">
      <alignment horizontal="center" vertical="center"/>
    </xf>
    <xf borderId="28" fillId="5" fontId="5" numFmtId="0" xfId="0" applyAlignment="1" applyBorder="1" applyFill="1" applyFont="1">
      <alignment horizontal="center" vertical="center"/>
    </xf>
    <xf borderId="70" fillId="3" fontId="2" numFmtId="0" xfId="0" applyAlignment="1" applyBorder="1" applyFill="1" applyFont="1">
      <alignment horizontal="center"/>
    </xf>
    <xf borderId="71" fillId="3" fontId="2" numFmtId="0" xfId="0" applyAlignment="1" applyBorder="1" applyFill="1" applyFont="1">
      <alignment horizontal="center"/>
    </xf>
    <xf borderId="72" fillId="3" fontId="2" numFmtId="0" xfId="0" applyAlignment="1" applyBorder="1" applyFill="1" applyFont="1">
      <alignment horizontal="center"/>
    </xf>
    <xf borderId="70" fillId="5" fontId="5" numFmtId="0" xfId="0" applyAlignment="1" applyBorder="1" applyFill="1" applyFont="1">
      <alignment horizontal="center" vertical="center"/>
    </xf>
    <xf borderId="73" fillId="0" fontId="5" numFmtId="0" xfId="0" applyAlignment="1" applyBorder="1" applyFont="1">
      <alignment horizontal="center"/>
    </xf>
    <xf borderId="36" fillId="7" fontId="5" numFmtId="0" xfId="0" applyAlignment="1" applyBorder="1" applyFill="1" applyFont="1">
      <alignment horizontal="center"/>
    </xf>
    <xf borderId="1" fillId="7" fontId="5" numFmtId="0" xfId="0" applyAlignment="1" applyBorder="1" applyFill="1" applyFont="1">
      <alignment horizontal="center"/>
    </xf>
    <xf borderId="29" fillId="0" fontId="1" numFmtId="0" xfId="0" applyAlignment="1" applyBorder="1" applyFont="1">
      <alignment horizontal="left" shrinkToFit="0" vertical="center" wrapText="1"/>
    </xf>
    <xf borderId="10" fillId="3" fontId="2" numFmtId="0" xfId="0" applyAlignment="1" applyBorder="1" applyFill="1" applyFont="1">
      <alignment horizontal="center"/>
    </xf>
    <xf borderId="32" fillId="0" fontId="5" numFmtId="0" xfId="0" applyAlignment="1" applyBorder="1" applyFont="1">
      <alignment horizontal="center"/>
    </xf>
    <xf borderId="35" fillId="0" fontId="5" numFmtId="0" xfId="0" applyBorder="1" applyFont="1"/>
    <xf borderId="40" fillId="0" fontId="5" numFmtId="0" xfId="0" applyAlignment="1" applyBorder="1" applyFont="1">
      <alignment horizontal="left"/>
    </xf>
    <xf borderId="6" fillId="8" fontId="11" numFmtId="0" xfId="0" applyBorder="1" applyFill="1" applyFont="1"/>
    <xf borderId="74" fillId="8" fontId="11" numFmtId="0" xfId="0" applyAlignment="1" applyBorder="1" applyFill="1" applyFont="1">
      <alignment horizontal="center"/>
    </xf>
    <xf borderId="75" fillId="0" fontId="6" numFmtId="0" xfId="0" applyBorder="1" applyFont="1"/>
    <xf borderId="76" fillId="0" fontId="6" numFmtId="0" xfId="0" applyBorder="1" applyFont="1"/>
    <xf borderId="74" fillId="9" fontId="11" numFmtId="0" xfId="0" applyAlignment="1" applyBorder="1" applyFill="1" applyFont="1">
      <alignment horizontal="center"/>
    </xf>
    <xf borderId="74" fillId="10" fontId="11" numFmtId="0" xfId="0" applyAlignment="1" applyBorder="1" applyFill="1" applyFont="1">
      <alignment horizontal="center"/>
    </xf>
    <xf borderId="74" fillId="11" fontId="11" numFmtId="0" xfId="0" applyAlignment="1" applyBorder="1" applyFill="1" applyFont="1">
      <alignment horizontal="center"/>
    </xf>
    <xf borderId="10" fillId="10" fontId="11" numFmtId="0" xfId="0" applyAlignment="1" applyBorder="1" applyFill="1" applyFont="1">
      <alignment horizontal="center"/>
    </xf>
    <xf borderId="6" fillId="12" fontId="11" numFmtId="0" xfId="0" applyAlignment="1" applyBorder="1" applyFill="1" applyFont="1">
      <alignment horizontal="center"/>
    </xf>
    <xf borderId="6" fillId="8" fontId="11" numFmtId="0" xfId="0" applyAlignment="1" applyBorder="1" applyFill="1" applyFont="1">
      <alignment horizontal="center"/>
    </xf>
    <xf borderId="6" fillId="9" fontId="11" numFmtId="0" xfId="0" applyAlignment="1" applyBorder="1" applyFill="1" applyFont="1">
      <alignment horizontal="center"/>
    </xf>
    <xf borderId="6" fillId="10" fontId="11" numFmtId="0" xfId="0" applyAlignment="1" applyBorder="1" applyFill="1" applyFont="1">
      <alignment horizontal="center"/>
    </xf>
    <xf borderId="6" fillId="11" fontId="11" numFmtId="0" xfId="0" applyAlignment="1" applyBorder="1" applyFill="1" applyFont="1">
      <alignment horizontal="center"/>
    </xf>
    <xf borderId="10" fillId="10" fontId="2" numFmtId="0" xfId="0" applyAlignment="1" applyBorder="1" applyFill="1" applyFont="1">
      <alignment horizontal="center"/>
    </xf>
    <xf borderId="77" fillId="0" fontId="5" numFmtId="0" xfId="0" applyBorder="1" applyFont="1"/>
    <xf borderId="78" fillId="0" fontId="5" numFmtId="0" xfId="0" applyBorder="1" applyFont="1"/>
    <xf borderId="79" fillId="0" fontId="5" numFmtId="0" xfId="0" applyAlignment="1" applyBorder="1" applyFont="1">
      <alignment horizontal="center"/>
    </xf>
    <xf borderId="77" fillId="0" fontId="5" numFmtId="0" xfId="0" applyAlignment="1" applyBorder="1" applyFont="1">
      <alignment horizontal="center"/>
    </xf>
    <xf borderId="78" fillId="0" fontId="5" numFmtId="0" xfId="0" applyAlignment="1" applyBorder="1" applyFont="1">
      <alignment horizontal="center"/>
    </xf>
    <xf borderId="80" fillId="0" fontId="5" numFmtId="0" xfId="0" applyAlignment="1" applyBorder="1" applyFont="1">
      <alignment horizontal="center"/>
    </xf>
    <xf borderId="79" fillId="13" fontId="5" numFmtId="0" xfId="0" applyAlignment="1" applyBorder="1" applyFill="1" applyFont="1">
      <alignment horizontal="center"/>
    </xf>
    <xf borderId="77" fillId="13" fontId="5" numFmtId="0" xfId="0" applyAlignment="1" applyBorder="1" applyFill="1" applyFont="1">
      <alignment horizontal="center"/>
    </xf>
    <xf borderId="81" fillId="13" fontId="5" numFmtId="0" xfId="0" applyAlignment="1" applyBorder="1" applyFill="1" applyFont="1">
      <alignment horizontal="center"/>
    </xf>
    <xf borderId="1" fillId="13" fontId="5" numFmtId="0" xfId="0" applyAlignment="1" applyBorder="1" applyFill="1" applyFont="1">
      <alignment horizontal="center"/>
    </xf>
    <xf borderId="59" fillId="10" fontId="2" numFmtId="0" xfId="0" applyAlignment="1" applyBorder="1" applyFill="1" applyFont="1">
      <alignment horizontal="center"/>
    </xf>
    <xf borderId="77" fillId="12" fontId="5" numFmtId="0" xfId="0" applyBorder="1" applyFill="1" applyFont="1"/>
    <xf borderId="81" fillId="12" fontId="11" numFmtId="0" xfId="0" applyAlignment="1" applyBorder="1" applyFill="1" applyFont="1">
      <alignment horizontal="center"/>
    </xf>
    <xf borderId="79" fillId="12" fontId="5" numFmtId="0" xfId="0" applyAlignment="1" applyBorder="1" applyFill="1" applyFont="1">
      <alignment horizontal="center"/>
    </xf>
    <xf borderId="77" fillId="12" fontId="5" numFmtId="0" xfId="0" applyAlignment="1" applyBorder="1" applyFill="1" applyFont="1">
      <alignment horizontal="center"/>
    </xf>
    <xf borderId="81" fillId="12" fontId="5" numFmtId="0" xfId="0" applyAlignment="1" applyBorder="1" applyFill="1" applyFont="1">
      <alignment horizontal="center"/>
    </xf>
    <xf borderId="82" fillId="12" fontId="5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/>
    </xf>
    <xf borderId="77" fillId="9" fontId="2" numFmtId="0" xfId="0" applyBorder="1" applyFill="1" applyFont="1"/>
    <xf borderId="81" fillId="9" fontId="2" numFmtId="0" xfId="0" applyBorder="1" applyFill="1" applyFont="1"/>
    <xf borderId="79" fillId="9" fontId="2" numFmtId="0" xfId="0" applyAlignment="1" applyBorder="1" applyFill="1" applyFont="1">
      <alignment horizontal="center"/>
    </xf>
    <xf borderId="77" fillId="9" fontId="2" numFmtId="0" xfId="0" applyAlignment="1" applyBorder="1" applyFill="1" applyFont="1">
      <alignment horizontal="center"/>
    </xf>
    <xf borderId="81" fillId="9" fontId="2" numFmtId="0" xfId="0" applyAlignment="1" applyBorder="1" applyFill="1" applyFont="1">
      <alignment horizontal="center"/>
    </xf>
    <xf borderId="82" fillId="9" fontId="2" numFmtId="0" xfId="0" applyAlignment="1" applyBorder="1" applyFill="1" applyFont="1">
      <alignment horizontal="center"/>
    </xf>
    <xf borderId="1" fillId="9" fontId="2" numFmtId="0" xfId="0" applyAlignment="1" applyBorder="1" applyFill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>
        <color rgb="FF008000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C0C0C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7.14"/>
    <col customWidth="1" min="4" max="32" width="7.86"/>
    <col customWidth="1" min="33" max="33" width="11.43"/>
    <col customWidth="1" min="34" max="34" width="8.71"/>
    <col customWidth="1" min="35" max="35" width="10.71"/>
    <col customWidth="1" min="36" max="37" width="10.0"/>
    <col customWidth="1" min="38" max="38" width="10.14"/>
    <col customWidth="1" min="39" max="40" width="9.0"/>
    <col customWidth="1" min="41" max="41" width="17.14"/>
    <col customWidth="1" min="42" max="42" width="8.57"/>
    <col customWidth="1" min="43" max="43" width="9.0"/>
    <col customWidth="1" min="44" max="45" width="8.71"/>
  </cols>
  <sheetData>
    <row r="1" ht="15.0" customHeight="1">
      <c r="A1" s="2" t="s">
        <v>1</v>
      </c>
      <c r="B1" s="5" t="s">
        <v>3</v>
      </c>
      <c r="C1" s="8" t="s">
        <v>4</v>
      </c>
      <c r="D1" s="9"/>
      <c r="E1" s="9"/>
      <c r="F1" s="9"/>
      <c r="G1" s="9"/>
      <c r="H1" s="11"/>
      <c r="I1" s="13"/>
      <c r="J1" s="14" t="s">
        <v>5</v>
      </c>
      <c r="K1" s="15"/>
      <c r="L1" s="15"/>
      <c r="M1" s="15"/>
      <c r="N1" s="18"/>
      <c r="O1" s="20"/>
      <c r="P1" s="14" t="s">
        <v>6</v>
      </c>
      <c r="Q1" s="15"/>
      <c r="R1" s="15"/>
      <c r="S1" s="15"/>
      <c r="T1" s="18"/>
      <c r="U1" s="13"/>
      <c r="V1" s="24" t="s">
        <v>7</v>
      </c>
      <c r="W1" s="27"/>
      <c r="X1" s="27"/>
      <c r="Y1" s="27"/>
      <c r="Z1" s="29"/>
      <c r="AA1" s="13"/>
      <c r="AB1" s="14" t="s">
        <v>8</v>
      </c>
      <c r="AC1" s="15"/>
      <c r="AD1" s="15"/>
      <c r="AE1" s="15"/>
      <c r="AF1" s="18"/>
      <c r="AG1" s="36" t="s">
        <v>11</v>
      </c>
      <c r="AH1" s="2" t="s">
        <v>12</v>
      </c>
      <c r="AI1" s="39" t="s">
        <v>33</v>
      </c>
      <c r="AJ1" s="39" t="s">
        <v>13</v>
      </c>
      <c r="AK1" s="42" t="s">
        <v>14</v>
      </c>
      <c r="AL1" s="36" t="s">
        <v>15</v>
      </c>
      <c r="AM1" s="2" t="s">
        <v>34</v>
      </c>
      <c r="AN1" s="45" t="s">
        <v>36</v>
      </c>
      <c r="AO1" s="2" t="s">
        <v>38</v>
      </c>
      <c r="AP1" s="2" t="s">
        <v>16</v>
      </c>
      <c r="AQ1" s="2" t="s">
        <v>17</v>
      </c>
      <c r="AR1" s="48"/>
      <c r="AS1" s="48"/>
    </row>
    <row r="2" ht="15.0" customHeight="1">
      <c r="A2" s="51"/>
      <c r="B2" s="52" t="s">
        <v>40</v>
      </c>
      <c r="C2" s="53" t="s">
        <v>21</v>
      </c>
      <c r="D2" s="55" t="s">
        <v>41</v>
      </c>
      <c r="E2" s="55" t="s">
        <v>43</v>
      </c>
      <c r="F2" s="55" t="s">
        <v>45</v>
      </c>
      <c r="G2" s="55" t="s">
        <v>36</v>
      </c>
      <c r="H2" s="57" t="s">
        <v>46</v>
      </c>
      <c r="I2" s="53" t="s">
        <v>21</v>
      </c>
      <c r="J2" s="55" t="s">
        <v>41</v>
      </c>
      <c r="K2" s="55" t="s">
        <v>43</v>
      </c>
      <c r="L2" s="55" t="s">
        <v>45</v>
      </c>
      <c r="M2" s="55" t="s">
        <v>36</v>
      </c>
      <c r="N2" s="57" t="s">
        <v>46</v>
      </c>
      <c r="O2" s="53" t="s">
        <v>21</v>
      </c>
      <c r="P2" s="55" t="s">
        <v>41</v>
      </c>
      <c r="Q2" s="55" t="s">
        <v>43</v>
      </c>
      <c r="R2" s="55" t="s">
        <v>45</v>
      </c>
      <c r="S2" s="55" t="s">
        <v>36</v>
      </c>
      <c r="T2" s="57" t="s">
        <v>46</v>
      </c>
      <c r="U2" s="53" t="s">
        <v>21</v>
      </c>
      <c r="V2" s="55" t="s">
        <v>41</v>
      </c>
      <c r="W2" s="55" t="s">
        <v>43</v>
      </c>
      <c r="X2" s="55" t="s">
        <v>45</v>
      </c>
      <c r="Y2" s="55" t="s">
        <v>36</v>
      </c>
      <c r="Z2" s="57" t="s">
        <v>46</v>
      </c>
      <c r="AA2" s="53" t="s">
        <v>21</v>
      </c>
      <c r="AB2" s="55" t="s">
        <v>41</v>
      </c>
      <c r="AC2" s="55" t="s">
        <v>43</v>
      </c>
      <c r="AD2" s="55" t="s">
        <v>45</v>
      </c>
      <c r="AE2" s="55" t="s">
        <v>36</v>
      </c>
      <c r="AF2" s="57" t="s">
        <v>46</v>
      </c>
      <c r="AG2" s="51"/>
      <c r="AH2" s="51"/>
      <c r="AI2" s="51"/>
      <c r="AJ2" s="51"/>
      <c r="AK2" s="65"/>
      <c r="AL2" s="51"/>
      <c r="AM2" s="28"/>
      <c r="AN2" s="66"/>
      <c r="AO2" s="28"/>
      <c r="AP2" s="67"/>
      <c r="AQ2" s="28"/>
    </row>
    <row r="3" ht="15.75" customHeight="1">
      <c r="A3" s="31">
        <v>1291.0</v>
      </c>
      <c r="B3" s="68" t="s">
        <v>52</v>
      </c>
      <c r="C3" s="71">
        <f t="array" ref="C3">_xlfn.XLOOKUP(A3,'Agents Hrs'!A:A,'Agents Hrs'!D:D,0,0)</f>
        <v>7.75</v>
      </c>
      <c r="D3" s="73">
        <v>1.0</v>
      </c>
      <c r="E3" s="73">
        <v>2.0</v>
      </c>
      <c r="F3" s="73">
        <v>1.0</v>
      </c>
      <c r="G3" s="75">
        <f t="shared" ref="G3:G14" si="1">IFERROR(E3/C3, 0)</f>
        <v>0.2580645161</v>
      </c>
      <c r="H3" s="76"/>
      <c r="I3" s="71">
        <f t="array" ref="I3">_xlfn.XLOOKUP(A3,'Agents Hrs'!A:A,'Agents Hrs'!F:F,0,0)</f>
        <v>7.75</v>
      </c>
      <c r="J3" s="73">
        <v>0.0</v>
      </c>
      <c r="K3" s="73">
        <v>2.0</v>
      </c>
      <c r="L3" s="73">
        <v>1.0</v>
      </c>
      <c r="M3" s="75">
        <f t="shared" ref="M3:M14" si="2">IFERROR(K3/I3, 0)</f>
        <v>0.2580645161</v>
      </c>
      <c r="N3" s="76"/>
      <c r="O3" s="71">
        <f t="array" ref="O3">_xlfn.XLOOKUP(A3,'Agents Hrs'!A:A,'Agents Hrs'!H:H,0,0)</f>
        <v>7.75</v>
      </c>
      <c r="P3" s="73">
        <v>1.0</v>
      </c>
      <c r="Q3" s="85">
        <v>1.0</v>
      </c>
      <c r="R3" s="85">
        <v>0.0</v>
      </c>
      <c r="S3" s="75">
        <f t="shared" ref="S3:S14" si="3">IFERROR(Q3/O3, 0)</f>
        <v>0.1290322581</v>
      </c>
      <c r="T3" s="76"/>
      <c r="U3" s="71">
        <f t="array" ref="U3">_xlfn.XLOOKUP(A3,'Agents Hrs'!A:A,'Agents Hrs'!J:J,0,0)</f>
        <v>7.75</v>
      </c>
      <c r="V3" s="85">
        <v>0.0</v>
      </c>
      <c r="W3" s="85">
        <v>6.0</v>
      </c>
      <c r="X3" s="85">
        <v>0.0</v>
      </c>
      <c r="Y3" s="75">
        <f t="shared" ref="Y3:Y14" si="4">IFERROR(W3/U3, 0)</f>
        <v>0.7741935484</v>
      </c>
      <c r="Z3" s="94"/>
      <c r="AA3" s="96" t="str">
        <f t="array" ref="AA3">_xlfn.XLOOKUP(A3,'Agents Hrs'!A:A,'Agents Hrs'!L:L,0,0)</f>
        <v/>
      </c>
      <c r="AB3" s="35"/>
      <c r="AC3" s="35">
        <v>0.0</v>
      </c>
      <c r="AD3" s="85"/>
      <c r="AE3" s="75">
        <f t="shared" ref="AE3:AE14" si="5">IFERROR(AC3/AA3, 0)</f>
        <v>0</v>
      </c>
      <c r="AF3" s="94"/>
      <c r="AG3" s="103">
        <f t="shared" ref="AG3:AG13" si="6">SUM(E3,K3,Q3,W3,AC3)</f>
        <v>11</v>
      </c>
      <c r="AH3" s="46"/>
      <c r="AI3" s="107">
        <f t="shared" ref="AI3:AI13" si="7">SUM(F3,L3,R3,X3,AD3)</f>
        <v>2</v>
      </c>
      <c r="AJ3" s="107">
        <f t="shared" ref="AJ3:AJ14" si="8">AG3-AH3</f>
        <v>11</v>
      </c>
      <c r="AK3" s="109">
        <v>4.0</v>
      </c>
      <c r="AL3" s="110">
        <f t="shared" ref="AL3:AL14" si="9">AG3-AK3</f>
        <v>7</v>
      </c>
      <c r="AM3" s="49">
        <f t="shared" ref="AM3:AM13" si="10">SUM(C3,I3,O3,U3,AA3)</f>
        <v>31</v>
      </c>
      <c r="AN3" s="111">
        <f t="shared" ref="AN3:AN14" si="11">IFERROR(AG3/AM3, 0)</f>
        <v>0.3548387097</v>
      </c>
      <c r="AO3" s="49">
        <f t="shared" ref="AO3:AO13" si="12">SUM(H3,N3,T3,Z3,AF3)</f>
        <v>0</v>
      </c>
      <c r="AP3" s="49" t="s">
        <v>42</v>
      </c>
      <c r="AQ3" s="56" t="s">
        <v>44</v>
      </c>
    </row>
    <row r="4" ht="15.75" customHeight="1">
      <c r="A4" s="31">
        <v>1295.0</v>
      </c>
      <c r="B4" s="68" t="s">
        <v>75</v>
      </c>
      <c r="C4" s="71">
        <f t="array" ref="C4">_xlfn.XLOOKUP(A4,'Agents Hrs'!A:A,'Agents Hrs'!D:D,0,0)</f>
        <v>0</v>
      </c>
      <c r="D4" s="73">
        <v>0.0</v>
      </c>
      <c r="E4" s="73">
        <v>0.0</v>
      </c>
      <c r="F4" s="73">
        <v>0.0</v>
      </c>
      <c r="G4" s="75">
        <f t="shared" si="1"/>
        <v>0</v>
      </c>
      <c r="H4" s="76"/>
      <c r="I4" s="71">
        <f t="array" ref="I4">_xlfn.XLOOKUP(A4,'Agents Hrs'!A:A,'Agents Hrs'!F:F,0,0)</f>
        <v>0</v>
      </c>
      <c r="J4" s="73">
        <v>0.0</v>
      </c>
      <c r="K4" s="73">
        <v>0.0</v>
      </c>
      <c r="L4" s="73">
        <v>0.0</v>
      </c>
      <c r="M4" s="75">
        <f t="shared" si="2"/>
        <v>0</v>
      </c>
      <c r="N4" s="76"/>
      <c r="O4" s="71">
        <f t="array" ref="O4">_xlfn.XLOOKUP(A4,'Agents Hrs'!A:A,'Agents Hrs'!H:H,0,0)</f>
        <v>0</v>
      </c>
      <c r="P4" s="73">
        <v>0.0</v>
      </c>
      <c r="Q4" s="35">
        <v>0.0</v>
      </c>
      <c r="R4" s="85">
        <v>0.0</v>
      </c>
      <c r="S4" s="75">
        <f t="shared" si="3"/>
        <v>0</v>
      </c>
      <c r="T4" s="76"/>
      <c r="U4" s="71">
        <f t="array" ref="U4">_xlfn.XLOOKUP(A4,'Agents Hrs'!A:A,'Agents Hrs'!J:J,0,0)</f>
        <v>0</v>
      </c>
      <c r="V4" s="85">
        <v>0.0</v>
      </c>
      <c r="W4" s="35">
        <v>0.0</v>
      </c>
      <c r="X4" s="85">
        <v>0.0</v>
      </c>
      <c r="Y4" s="75">
        <f t="shared" si="4"/>
        <v>0</v>
      </c>
      <c r="Z4" s="94"/>
      <c r="AA4" s="96" t="str">
        <f t="array" ref="AA4">_xlfn.XLOOKUP(A4,'Agents Hrs'!A:A,'Agents Hrs'!L:L,0,0)</f>
        <v/>
      </c>
      <c r="AB4" s="35">
        <v>0.0</v>
      </c>
      <c r="AC4" s="35">
        <v>0.0</v>
      </c>
      <c r="AD4" s="35"/>
      <c r="AE4" s="75">
        <f t="shared" si="5"/>
        <v>0</v>
      </c>
      <c r="AF4" s="94"/>
      <c r="AG4" s="103">
        <f t="shared" si="6"/>
        <v>0</v>
      </c>
      <c r="AH4" s="46"/>
      <c r="AI4" s="107">
        <f t="shared" si="7"/>
        <v>0</v>
      </c>
      <c r="AJ4" s="107">
        <f t="shared" si="8"/>
        <v>0</v>
      </c>
      <c r="AK4" s="109">
        <v>1.0</v>
      </c>
      <c r="AL4" s="110">
        <f t="shared" si="9"/>
        <v>-1</v>
      </c>
      <c r="AM4" s="49">
        <f t="shared" si="10"/>
        <v>0</v>
      </c>
      <c r="AN4" s="111">
        <f t="shared" si="11"/>
        <v>0</v>
      </c>
      <c r="AO4" s="49">
        <f t="shared" si="12"/>
        <v>0</v>
      </c>
      <c r="AP4" s="49" t="s">
        <v>42</v>
      </c>
      <c r="AQ4" s="56" t="s">
        <v>44</v>
      </c>
    </row>
    <row r="5" ht="15.75" customHeight="1">
      <c r="A5" s="31">
        <v>1175.0</v>
      </c>
      <c r="B5" s="118" t="s">
        <v>50</v>
      </c>
      <c r="C5" s="71">
        <f t="array" ref="C5">_xlfn.XLOOKUP(A5,'Agents Hrs'!A:A,'Agents Hrs'!D:D,0,0)</f>
        <v>7.75</v>
      </c>
      <c r="D5" s="73">
        <v>1.0</v>
      </c>
      <c r="E5" s="73">
        <v>0.0</v>
      </c>
      <c r="F5" s="73">
        <v>0.0</v>
      </c>
      <c r="G5" s="75">
        <f t="shared" si="1"/>
        <v>0</v>
      </c>
      <c r="H5" s="76"/>
      <c r="I5" s="71">
        <f t="array" ref="I5">_xlfn.XLOOKUP(A5,'Agents Hrs'!A:A,'Agents Hrs'!F:F,0,0)</f>
        <v>5.15</v>
      </c>
      <c r="J5" s="73">
        <v>1.0</v>
      </c>
      <c r="K5" s="73">
        <v>1.0</v>
      </c>
      <c r="L5" s="73">
        <v>2.0</v>
      </c>
      <c r="M5" s="75">
        <f t="shared" si="2"/>
        <v>0.1941747573</v>
      </c>
      <c r="N5" s="76"/>
      <c r="O5" s="71">
        <f t="array" ref="O5">_xlfn.XLOOKUP(A5,'Agents Hrs'!A:A,'Agents Hrs'!H:H,0,0)</f>
        <v>7.75</v>
      </c>
      <c r="P5" s="73">
        <v>0.0</v>
      </c>
      <c r="Q5" s="85">
        <v>1.0</v>
      </c>
      <c r="R5" s="85">
        <v>0.0</v>
      </c>
      <c r="S5" s="75">
        <f t="shared" si="3"/>
        <v>0.1290322581</v>
      </c>
      <c r="T5" s="76"/>
      <c r="U5" s="71">
        <f t="array" ref="U5">_xlfn.XLOOKUP(A5,'Agents Hrs'!A:A,'Agents Hrs'!J:J,0,0)</f>
        <v>0</v>
      </c>
      <c r="V5" s="85">
        <v>0.0</v>
      </c>
      <c r="W5" s="85">
        <v>0.0</v>
      </c>
      <c r="X5" s="85">
        <v>0.0</v>
      </c>
      <c r="Y5" s="75">
        <f t="shared" si="4"/>
        <v>0</v>
      </c>
      <c r="Z5" s="94"/>
      <c r="AA5" s="96" t="str">
        <f t="array" ref="AA5">_xlfn.XLOOKUP(A5,'Agents Hrs'!A:A,'Agents Hrs'!L:L,0,0)</f>
        <v/>
      </c>
      <c r="AB5" s="35"/>
      <c r="AC5" s="35">
        <v>1.0</v>
      </c>
      <c r="AD5" s="35"/>
      <c r="AE5" s="75">
        <f t="shared" si="5"/>
        <v>0</v>
      </c>
      <c r="AF5" s="94"/>
      <c r="AG5" s="103">
        <f t="shared" si="6"/>
        <v>3</v>
      </c>
      <c r="AH5" s="46"/>
      <c r="AI5" s="107">
        <f t="shared" si="7"/>
        <v>2</v>
      </c>
      <c r="AJ5" s="107">
        <f t="shared" si="8"/>
        <v>3</v>
      </c>
      <c r="AK5" s="109">
        <v>4.0</v>
      </c>
      <c r="AL5" s="110">
        <f t="shared" si="9"/>
        <v>-1</v>
      </c>
      <c r="AM5" s="49">
        <f t="shared" si="10"/>
        <v>20.65</v>
      </c>
      <c r="AN5" s="111">
        <f t="shared" si="11"/>
        <v>0.1452784504</v>
      </c>
      <c r="AO5" s="49">
        <f t="shared" si="12"/>
        <v>0</v>
      </c>
      <c r="AP5" s="49" t="s">
        <v>42</v>
      </c>
      <c r="AQ5" s="56" t="s">
        <v>44</v>
      </c>
    </row>
    <row r="6" ht="15.75" customHeight="1">
      <c r="A6" s="31">
        <v>1294.0</v>
      </c>
      <c r="B6" s="118" t="s">
        <v>80</v>
      </c>
      <c r="C6" s="71">
        <f t="array" ref="C6">_xlfn.XLOOKUP(A6,'Agents Hrs'!A:A,'Agents Hrs'!D:D,0,0)</f>
        <v>7.75</v>
      </c>
      <c r="D6" s="73">
        <v>0.0</v>
      </c>
      <c r="E6" s="73">
        <v>0.0</v>
      </c>
      <c r="F6" s="73">
        <v>0.0</v>
      </c>
      <c r="G6" s="75">
        <f t="shared" si="1"/>
        <v>0</v>
      </c>
      <c r="H6" s="76"/>
      <c r="I6" s="71">
        <f t="array" ref="I6">_xlfn.XLOOKUP(A6,'Agents Hrs'!A:A,'Agents Hrs'!F:F,0,0)</f>
        <v>7.75</v>
      </c>
      <c r="J6" s="73">
        <v>0.0</v>
      </c>
      <c r="K6" s="73">
        <v>1.0</v>
      </c>
      <c r="L6" s="73">
        <v>0.0</v>
      </c>
      <c r="M6" s="75">
        <f t="shared" si="2"/>
        <v>0.1290322581</v>
      </c>
      <c r="N6" s="76"/>
      <c r="O6" s="71">
        <f t="array" ref="O6">_xlfn.XLOOKUP(A6,'Agents Hrs'!A:A,'Agents Hrs'!H:H,0,0)</f>
        <v>7.75</v>
      </c>
      <c r="P6" s="73">
        <v>0.0</v>
      </c>
      <c r="Q6" s="35">
        <v>0.0</v>
      </c>
      <c r="R6" s="85">
        <v>0.0</v>
      </c>
      <c r="S6" s="75">
        <f t="shared" si="3"/>
        <v>0</v>
      </c>
      <c r="T6" s="76"/>
      <c r="U6" s="71">
        <f t="array" ref="U6">_xlfn.XLOOKUP(A6,'Agents Hrs'!A:A,'Agents Hrs'!J:J,0,0)</f>
        <v>0</v>
      </c>
      <c r="V6" s="85">
        <v>0.0</v>
      </c>
      <c r="W6" s="35">
        <v>0.0</v>
      </c>
      <c r="X6" s="85">
        <v>0.0</v>
      </c>
      <c r="Y6" s="75">
        <f t="shared" si="4"/>
        <v>0</v>
      </c>
      <c r="Z6" s="94"/>
      <c r="AA6" s="96" t="str">
        <f t="array" ref="AA6">_xlfn.XLOOKUP(A6,'Agents Hrs'!A:A,'Agents Hrs'!L:L,0,0)</f>
        <v/>
      </c>
      <c r="AB6" s="35">
        <v>0.0</v>
      </c>
      <c r="AC6" s="35">
        <v>0.0</v>
      </c>
      <c r="AD6" s="35"/>
      <c r="AE6" s="75">
        <f t="shared" si="5"/>
        <v>0</v>
      </c>
      <c r="AF6" s="94"/>
      <c r="AG6" s="103">
        <f t="shared" si="6"/>
        <v>1</v>
      </c>
      <c r="AH6" s="46"/>
      <c r="AI6" s="107">
        <f t="shared" si="7"/>
        <v>0</v>
      </c>
      <c r="AJ6" s="107">
        <f t="shared" si="8"/>
        <v>1</v>
      </c>
      <c r="AK6" s="109">
        <v>1.0</v>
      </c>
      <c r="AL6" s="110">
        <f t="shared" si="9"/>
        <v>0</v>
      </c>
      <c r="AM6" s="49">
        <f t="shared" si="10"/>
        <v>23.25</v>
      </c>
      <c r="AN6" s="111">
        <f t="shared" si="11"/>
        <v>0.04301075269</v>
      </c>
      <c r="AO6" s="49">
        <f t="shared" si="12"/>
        <v>0</v>
      </c>
      <c r="AP6" s="49" t="s">
        <v>42</v>
      </c>
      <c r="AQ6" s="56" t="s">
        <v>44</v>
      </c>
    </row>
    <row r="7" ht="15.75" customHeight="1">
      <c r="A7" s="31">
        <v>1280.0</v>
      </c>
      <c r="B7" s="118" t="s">
        <v>84</v>
      </c>
      <c r="C7" s="71">
        <f t="array" ref="C7">_xlfn.XLOOKUP(A7,'Agents Hrs'!A:A,'Agents Hrs'!D:D,0,0)</f>
        <v>7.5</v>
      </c>
      <c r="D7" s="73">
        <v>0.0</v>
      </c>
      <c r="E7" s="73">
        <v>0.0</v>
      </c>
      <c r="F7" s="73">
        <v>0.0</v>
      </c>
      <c r="G7" s="75">
        <f t="shared" si="1"/>
        <v>0</v>
      </c>
      <c r="H7" s="76"/>
      <c r="I7" s="71">
        <f t="array" ref="I7">_xlfn.XLOOKUP(A7,'Agents Hrs'!A:A,'Agents Hrs'!F:F,0,0)</f>
        <v>7</v>
      </c>
      <c r="J7" s="73">
        <v>1.0</v>
      </c>
      <c r="K7" s="73">
        <v>2.0</v>
      </c>
      <c r="L7" s="73">
        <v>1.0</v>
      </c>
      <c r="M7" s="75">
        <f t="shared" si="2"/>
        <v>0.2857142857</v>
      </c>
      <c r="N7" s="76"/>
      <c r="O7" s="71">
        <f t="array" ref="O7">_xlfn.XLOOKUP(A7,'Agents Hrs'!A:A,'Agents Hrs'!H:H,0,0)</f>
        <v>6.75</v>
      </c>
      <c r="P7" s="73">
        <v>1.0</v>
      </c>
      <c r="Q7" s="85">
        <v>0.0</v>
      </c>
      <c r="R7" s="85">
        <v>0.0</v>
      </c>
      <c r="S7" s="75">
        <f t="shared" si="3"/>
        <v>0</v>
      </c>
      <c r="T7" s="76"/>
      <c r="U7" s="71">
        <f t="array" ref="U7">_xlfn.XLOOKUP(A7,'Agents Hrs'!A:A,'Agents Hrs'!J:J,0,0)</f>
        <v>7.5</v>
      </c>
      <c r="V7" s="85">
        <v>0.0</v>
      </c>
      <c r="W7" s="35">
        <v>0.0</v>
      </c>
      <c r="X7" s="85">
        <v>1.0</v>
      </c>
      <c r="Y7" s="75">
        <f t="shared" si="4"/>
        <v>0</v>
      </c>
      <c r="Z7" s="94"/>
      <c r="AA7" s="96" t="str">
        <f t="array" ref="AA7">_xlfn.XLOOKUP(A7,'Agents Hrs'!A:A,'Agents Hrs'!L:L,0,0)</f>
        <v/>
      </c>
      <c r="AB7" s="35">
        <v>0.0</v>
      </c>
      <c r="AC7" s="35">
        <v>1.0</v>
      </c>
      <c r="AD7" s="35"/>
      <c r="AE7" s="75">
        <f t="shared" si="5"/>
        <v>0</v>
      </c>
      <c r="AF7" s="94"/>
      <c r="AG7" s="103">
        <f t="shared" si="6"/>
        <v>3</v>
      </c>
      <c r="AH7" s="46"/>
      <c r="AI7" s="107">
        <f t="shared" si="7"/>
        <v>2</v>
      </c>
      <c r="AJ7" s="107">
        <f t="shared" si="8"/>
        <v>3</v>
      </c>
      <c r="AK7" s="109">
        <v>0.0</v>
      </c>
      <c r="AL7" s="110">
        <f t="shared" si="9"/>
        <v>3</v>
      </c>
      <c r="AM7" s="49">
        <f t="shared" si="10"/>
        <v>28.75</v>
      </c>
      <c r="AN7" s="111">
        <f t="shared" si="11"/>
        <v>0.1043478261</v>
      </c>
      <c r="AO7" s="49">
        <f t="shared" si="12"/>
        <v>0</v>
      </c>
      <c r="AP7" s="49" t="s">
        <v>42</v>
      </c>
      <c r="AQ7" s="56" t="s">
        <v>44</v>
      </c>
    </row>
    <row r="8" ht="15.75" customHeight="1">
      <c r="A8" s="31">
        <v>1298.0</v>
      </c>
      <c r="B8" s="118" t="s">
        <v>85</v>
      </c>
      <c r="C8" s="71">
        <f t="array" ref="C8">_xlfn.XLOOKUP(A8,'Agents Hrs'!A:A,'Agents Hrs'!D:D,0,0)</f>
        <v>0</v>
      </c>
      <c r="D8" s="73">
        <v>0.0</v>
      </c>
      <c r="E8" s="73">
        <v>0.0</v>
      </c>
      <c r="F8" s="73">
        <v>0.0</v>
      </c>
      <c r="G8" s="75">
        <f t="shared" si="1"/>
        <v>0</v>
      </c>
      <c r="H8" s="76"/>
      <c r="I8" s="71">
        <f t="array" ref="I8">_xlfn.XLOOKUP(A8,'Agents Hrs'!A:A,'Agents Hrs'!F:F,0,0)</f>
        <v>7</v>
      </c>
      <c r="J8" s="73">
        <v>1.0</v>
      </c>
      <c r="K8" s="73">
        <v>0.0</v>
      </c>
      <c r="L8" s="73">
        <v>2.0</v>
      </c>
      <c r="M8" s="75">
        <f t="shared" si="2"/>
        <v>0</v>
      </c>
      <c r="N8" s="76"/>
      <c r="O8" s="71">
        <f t="array" ref="O8">_xlfn.XLOOKUP(A8,'Agents Hrs'!A:A,'Agents Hrs'!H:H,0,0)</f>
        <v>7.15</v>
      </c>
      <c r="P8" s="73">
        <v>1.0</v>
      </c>
      <c r="Q8" s="85">
        <v>1.0</v>
      </c>
      <c r="R8" s="85">
        <v>0.0</v>
      </c>
      <c r="S8" s="75">
        <f t="shared" si="3"/>
        <v>0.1398601399</v>
      </c>
      <c r="T8" s="76"/>
      <c r="U8" s="71">
        <f t="array" ref="U8">_xlfn.XLOOKUP(A8,'Agents Hrs'!A:A,'Agents Hrs'!J:J,0,0)</f>
        <v>7.5</v>
      </c>
      <c r="V8" s="85">
        <v>1.0</v>
      </c>
      <c r="W8" s="85">
        <v>0.0</v>
      </c>
      <c r="X8" s="85">
        <v>0.0</v>
      </c>
      <c r="Y8" s="75">
        <f t="shared" si="4"/>
        <v>0</v>
      </c>
      <c r="Z8" s="94"/>
      <c r="AA8" s="96" t="str">
        <f t="array" ref="AA8">_xlfn.XLOOKUP(A8,'Agents Hrs'!A:A,'Agents Hrs'!L:L,0,0)</f>
        <v/>
      </c>
      <c r="AB8" s="35"/>
      <c r="AC8" s="35">
        <v>0.0</v>
      </c>
      <c r="AD8" s="35"/>
      <c r="AE8" s="75">
        <f t="shared" si="5"/>
        <v>0</v>
      </c>
      <c r="AF8" s="94"/>
      <c r="AG8" s="103">
        <f t="shared" si="6"/>
        <v>1</v>
      </c>
      <c r="AH8" s="46"/>
      <c r="AI8" s="107">
        <f t="shared" si="7"/>
        <v>2</v>
      </c>
      <c r="AJ8" s="107">
        <f t="shared" si="8"/>
        <v>1</v>
      </c>
      <c r="AK8" s="109">
        <v>1.0</v>
      </c>
      <c r="AL8" s="110">
        <f t="shared" si="9"/>
        <v>0</v>
      </c>
      <c r="AM8" s="49">
        <f t="shared" si="10"/>
        <v>21.65</v>
      </c>
      <c r="AN8" s="111">
        <f t="shared" si="11"/>
        <v>0.04618937644</v>
      </c>
      <c r="AO8" s="49">
        <f t="shared" si="12"/>
        <v>0</v>
      </c>
      <c r="AP8" s="49" t="s">
        <v>42</v>
      </c>
      <c r="AQ8" s="56" t="s">
        <v>44</v>
      </c>
    </row>
    <row r="9" ht="15.75" customHeight="1">
      <c r="A9" s="31">
        <v>1301.0</v>
      </c>
      <c r="B9" s="118" t="s">
        <v>63</v>
      </c>
      <c r="C9" s="71">
        <f t="array" ref="C9">_xlfn.XLOOKUP(A9,'Agents Hrs'!A:A,'Agents Hrs'!D:D,0,0)</f>
        <v>7.75</v>
      </c>
      <c r="D9" s="73">
        <v>0.0</v>
      </c>
      <c r="E9" s="73">
        <v>0.0</v>
      </c>
      <c r="F9" s="73">
        <v>0.0</v>
      </c>
      <c r="G9" s="75">
        <f t="shared" si="1"/>
        <v>0</v>
      </c>
      <c r="H9" s="76"/>
      <c r="I9" s="71">
        <f t="array" ref="I9">_xlfn.XLOOKUP(A9,'Agents Hrs'!A:A,'Agents Hrs'!F:F,0,0)</f>
        <v>7</v>
      </c>
      <c r="J9" s="73">
        <v>1.0</v>
      </c>
      <c r="K9" s="73">
        <v>0.0</v>
      </c>
      <c r="L9" s="73">
        <v>1.0</v>
      </c>
      <c r="M9" s="75">
        <f t="shared" si="2"/>
        <v>0</v>
      </c>
      <c r="N9" s="76"/>
      <c r="O9" s="71">
        <f t="array" ref="O9">_xlfn.XLOOKUP(A9,'Agents Hrs'!A:A,'Agents Hrs'!H:H,0,0)</f>
        <v>0</v>
      </c>
      <c r="P9" s="73">
        <v>0.0</v>
      </c>
      <c r="Q9" s="35">
        <v>0.0</v>
      </c>
      <c r="R9" s="85">
        <v>0.0</v>
      </c>
      <c r="S9" s="75">
        <f t="shared" si="3"/>
        <v>0</v>
      </c>
      <c r="T9" s="76"/>
      <c r="U9" s="71">
        <f t="array" ref="U9">_xlfn.XLOOKUP(A9,'Agents Hrs'!A:A,'Agents Hrs'!J:J,0,0)</f>
        <v>5.75</v>
      </c>
      <c r="V9" s="85">
        <v>0.0</v>
      </c>
      <c r="W9" s="85">
        <v>2.0</v>
      </c>
      <c r="X9" s="85">
        <v>0.0</v>
      </c>
      <c r="Y9" s="75">
        <f t="shared" si="4"/>
        <v>0.347826087</v>
      </c>
      <c r="Z9" s="94"/>
      <c r="AA9" s="96" t="str">
        <f t="array" ref="AA9">_xlfn.XLOOKUP(A9,'Agents Hrs'!A:A,'Agents Hrs'!L:L,0,0)</f>
        <v/>
      </c>
      <c r="AB9" s="35">
        <v>0.0</v>
      </c>
      <c r="AC9" s="35">
        <v>0.0</v>
      </c>
      <c r="AD9" s="35"/>
      <c r="AE9" s="75">
        <f t="shared" si="5"/>
        <v>0</v>
      </c>
      <c r="AF9" s="94"/>
      <c r="AG9" s="103">
        <f t="shared" si="6"/>
        <v>2</v>
      </c>
      <c r="AH9" s="46"/>
      <c r="AI9" s="107">
        <f t="shared" si="7"/>
        <v>1</v>
      </c>
      <c r="AJ9" s="107">
        <f t="shared" si="8"/>
        <v>2</v>
      </c>
      <c r="AK9" s="109">
        <v>1.0</v>
      </c>
      <c r="AL9" s="110">
        <f t="shared" si="9"/>
        <v>1</v>
      </c>
      <c r="AM9" s="49">
        <f t="shared" si="10"/>
        <v>20.5</v>
      </c>
      <c r="AN9" s="111">
        <f t="shared" si="11"/>
        <v>0.09756097561</v>
      </c>
      <c r="AO9" s="49">
        <f t="shared" si="12"/>
        <v>0</v>
      </c>
      <c r="AP9" s="49" t="s">
        <v>42</v>
      </c>
      <c r="AQ9" s="56" t="s">
        <v>44</v>
      </c>
    </row>
    <row r="10" ht="15.75" customHeight="1">
      <c r="A10" s="31">
        <v>1290.0</v>
      </c>
      <c r="B10" s="68" t="s">
        <v>87</v>
      </c>
      <c r="C10" s="71">
        <f t="array" ref="C10">_xlfn.XLOOKUP(A10,'Agents Hrs'!A:A,'Agents Hrs'!D:D,0,0)</f>
        <v>0</v>
      </c>
      <c r="D10" s="73">
        <v>0.0</v>
      </c>
      <c r="E10" s="73">
        <v>0.0</v>
      </c>
      <c r="F10" s="73">
        <v>0.0</v>
      </c>
      <c r="G10" s="75">
        <f t="shared" si="1"/>
        <v>0</v>
      </c>
      <c r="H10" s="76"/>
      <c r="I10" s="71">
        <f t="array" ref="I10">_xlfn.XLOOKUP(A10,'Agents Hrs'!A:A,'Agents Hrs'!F:F,0,0)</f>
        <v>0</v>
      </c>
      <c r="J10" s="73">
        <v>0.0</v>
      </c>
      <c r="K10" s="73">
        <v>0.0</v>
      </c>
      <c r="L10" s="73">
        <v>0.0</v>
      </c>
      <c r="M10" s="75">
        <f t="shared" si="2"/>
        <v>0</v>
      </c>
      <c r="N10" s="76"/>
      <c r="O10" s="71">
        <f t="array" ref="O10">_xlfn.XLOOKUP(A10,'Agents Hrs'!A:A,'Agents Hrs'!H:H,0,0)</f>
        <v>0</v>
      </c>
      <c r="P10" s="73">
        <v>0.0</v>
      </c>
      <c r="Q10" s="35">
        <v>0.0</v>
      </c>
      <c r="R10" s="85">
        <v>0.0</v>
      </c>
      <c r="S10" s="75">
        <f t="shared" si="3"/>
        <v>0</v>
      </c>
      <c r="T10" s="76"/>
      <c r="U10" s="71">
        <f t="array" ref="U10">_xlfn.XLOOKUP(A10,'Agents Hrs'!A:A,'Agents Hrs'!J:J,0,0)</f>
        <v>0</v>
      </c>
      <c r="V10" s="85">
        <v>0.0</v>
      </c>
      <c r="W10" s="35">
        <v>0.0</v>
      </c>
      <c r="X10" s="85">
        <v>0.0</v>
      </c>
      <c r="Y10" s="75">
        <f t="shared" si="4"/>
        <v>0</v>
      </c>
      <c r="Z10" s="94"/>
      <c r="AA10" s="96" t="str">
        <f t="array" ref="AA10">_xlfn.XLOOKUP(A10,'Agents Hrs'!A:A,'Agents Hrs'!L:L,0,0)</f>
        <v/>
      </c>
      <c r="AB10" s="35">
        <v>0.0</v>
      </c>
      <c r="AC10" s="35">
        <v>0.0</v>
      </c>
      <c r="AD10" s="35"/>
      <c r="AE10" s="75">
        <f t="shared" si="5"/>
        <v>0</v>
      </c>
      <c r="AF10" s="94"/>
      <c r="AG10" s="103">
        <f t="shared" si="6"/>
        <v>0</v>
      </c>
      <c r="AH10" s="46"/>
      <c r="AI10" s="107">
        <f t="shared" si="7"/>
        <v>0</v>
      </c>
      <c r="AJ10" s="107">
        <f t="shared" si="8"/>
        <v>0</v>
      </c>
      <c r="AK10" s="109">
        <v>5.0</v>
      </c>
      <c r="AL10" s="110">
        <f t="shared" si="9"/>
        <v>-5</v>
      </c>
      <c r="AM10" s="49">
        <f t="shared" si="10"/>
        <v>0</v>
      </c>
      <c r="AN10" s="111">
        <f t="shared" si="11"/>
        <v>0</v>
      </c>
      <c r="AO10" s="49">
        <f t="shared" si="12"/>
        <v>0</v>
      </c>
      <c r="AP10" s="49" t="s">
        <v>42</v>
      </c>
      <c r="AQ10" s="56" t="s">
        <v>44</v>
      </c>
    </row>
    <row r="11" ht="15.75" customHeight="1">
      <c r="A11" s="90">
        <v>1151.0</v>
      </c>
      <c r="B11" s="125" t="s">
        <v>89</v>
      </c>
      <c r="C11" s="71">
        <f t="array" ref="C11">_xlfn.XLOOKUP(A11,'Agents Hrs'!A:A,'Agents Hrs'!D:D,0,0)</f>
        <v>0</v>
      </c>
      <c r="D11" s="63">
        <v>0.0</v>
      </c>
      <c r="E11" s="63">
        <v>0.0</v>
      </c>
      <c r="F11" s="63">
        <v>0.0</v>
      </c>
      <c r="G11" s="75">
        <f t="shared" si="1"/>
        <v>0</v>
      </c>
      <c r="H11" s="126"/>
      <c r="I11" s="71">
        <f t="array" ref="I11">_xlfn.XLOOKUP(A11,'Agents Hrs'!A:A,'Agents Hrs'!F:F,0,0)</f>
        <v>0</v>
      </c>
      <c r="J11" s="63">
        <v>0.0</v>
      </c>
      <c r="K11" s="63">
        <v>0.0</v>
      </c>
      <c r="L11" s="63">
        <v>0.0</v>
      </c>
      <c r="M11" s="75">
        <f t="shared" si="2"/>
        <v>0</v>
      </c>
      <c r="N11" s="126"/>
      <c r="O11" s="71">
        <f t="array" ref="O11">_xlfn.XLOOKUP(A11,'Agents Hrs'!A:A,'Agents Hrs'!H:H,0,0)</f>
        <v>0</v>
      </c>
      <c r="P11" s="63">
        <v>0.0</v>
      </c>
      <c r="Q11" s="85">
        <v>0.0</v>
      </c>
      <c r="R11" s="85">
        <v>0.0</v>
      </c>
      <c r="S11" s="75">
        <f t="shared" si="3"/>
        <v>0</v>
      </c>
      <c r="T11" s="126"/>
      <c r="U11" s="71">
        <f t="array" ref="U11">_xlfn.XLOOKUP(A11,'Agents Hrs'!A:A,'Agents Hrs'!J:J,0,0)</f>
        <v>0</v>
      </c>
      <c r="V11" s="85">
        <v>0.0</v>
      </c>
      <c r="W11" s="35">
        <v>0.0</v>
      </c>
      <c r="X11" s="85">
        <v>0.0</v>
      </c>
      <c r="Y11" s="75">
        <f t="shared" si="4"/>
        <v>0</v>
      </c>
      <c r="Z11" s="94"/>
      <c r="AA11" s="96">
        <f t="array" ref="AA11">_xlfn.XLOOKUP(A11,'Agents Hrs'!A:A,'Agents Hrs'!L:L,0,0)</f>
        <v>0</v>
      </c>
      <c r="AB11" s="35">
        <v>0.0</v>
      </c>
      <c r="AC11" s="35">
        <v>0.0</v>
      </c>
      <c r="AD11" s="35"/>
      <c r="AE11" s="75">
        <f t="shared" si="5"/>
        <v>0</v>
      </c>
      <c r="AF11" s="94"/>
      <c r="AG11" s="103">
        <f t="shared" si="6"/>
        <v>0</v>
      </c>
      <c r="AH11" s="46"/>
      <c r="AI11" s="107">
        <f t="shared" si="7"/>
        <v>0</v>
      </c>
      <c r="AJ11" s="107">
        <f t="shared" si="8"/>
        <v>0</v>
      </c>
      <c r="AK11" s="109">
        <v>0.0</v>
      </c>
      <c r="AL11" s="110">
        <f t="shared" si="9"/>
        <v>0</v>
      </c>
      <c r="AM11" s="49">
        <f t="shared" si="10"/>
        <v>0</v>
      </c>
      <c r="AN11" s="111">
        <f t="shared" si="11"/>
        <v>0</v>
      </c>
      <c r="AO11" s="49">
        <f t="shared" si="12"/>
        <v>0</v>
      </c>
      <c r="AP11" s="49" t="s">
        <v>42</v>
      </c>
      <c r="AQ11" s="56" t="s">
        <v>44</v>
      </c>
    </row>
    <row r="12" ht="15.75" customHeight="1">
      <c r="A12" s="31">
        <v>1300.0</v>
      </c>
      <c r="B12" s="118" t="s">
        <v>90</v>
      </c>
      <c r="C12" s="71">
        <f t="array" ref="C12">_xlfn.XLOOKUP(A12,'Agents Hrs'!A:A,'Agents Hrs'!D:D,0,0)</f>
        <v>8</v>
      </c>
      <c r="D12" s="73">
        <v>0.0</v>
      </c>
      <c r="E12" s="73">
        <v>2.0</v>
      </c>
      <c r="F12" s="73">
        <v>0.0</v>
      </c>
      <c r="G12" s="75">
        <f t="shared" si="1"/>
        <v>0.25</v>
      </c>
      <c r="H12" s="76"/>
      <c r="I12" s="71">
        <f t="array" ref="I12">_xlfn.XLOOKUP(A12,'Agents Hrs'!A:A,'Agents Hrs'!F:F,0,0)</f>
        <v>7.75</v>
      </c>
      <c r="J12" s="73">
        <v>0.0</v>
      </c>
      <c r="K12" s="73">
        <v>3.0</v>
      </c>
      <c r="L12" s="73">
        <v>0.0</v>
      </c>
      <c r="M12" s="75">
        <f t="shared" si="2"/>
        <v>0.3870967742</v>
      </c>
      <c r="N12" s="76"/>
      <c r="O12" s="71">
        <f t="array" ref="O12">_xlfn.XLOOKUP(A12,'Agents Hrs'!A:A,'Agents Hrs'!H:H,0,0)</f>
        <v>7.75</v>
      </c>
      <c r="P12" s="73">
        <v>0.0</v>
      </c>
      <c r="Q12" s="85">
        <v>0.0</v>
      </c>
      <c r="R12" s="85">
        <v>0.0</v>
      </c>
      <c r="S12" s="75">
        <f t="shared" si="3"/>
        <v>0</v>
      </c>
      <c r="T12" s="76"/>
      <c r="U12" s="71">
        <f t="array" ref="U12">_xlfn.XLOOKUP(A12,'Agents Hrs'!A:A,'Agents Hrs'!J:J,0,0)</f>
        <v>8</v>
      </c>
      <c r="V12" s="85">
        <v>0.0</v>
      </c>
      <c r="W12" s="85">
        <v>3.0</v>
      </c>
      <c r="X12" s="85">
        <v>0.0</v>
      </c>
      <c r="Y12" s="75">
        <f t="shared" si="4"/>
        <v>0.375</v>
      </c>
      <c r="Z12" s="94"/>
      <c r="AA12" s="96" t="str">
        <f t="array" ref="AA12">_xlfn.XLOOKUP(A12,'Agents Hrs'!A:A,'Agents Hrs'!L:L,0,0)</f>
        <v/>
      </c>
      <c r="AB12" s="35">
        <v>0.0</v>
      </c>
      <c r="AC12" s="35">
        <v>0.0</v>
      </c>
      <c r="AD12" s="35"/>
      <c r="AE12" s="75">
        <f t="shared" si="5"/>
        <v>0</v>
      </c>
      <c r="AF12" s="94"/>
      <c r="AG12" s="103">
        <f t="shared" si="6"/>
        <v>8</v>
      </c>
      <c r="AH12" s="46"/>
      <c r="AI12" s="107">
        <f t="shared" si="7"/>
        <v>0</v>
      </c>
      <c r="AJ12" s="107">
        <f t="shared" si="8"/>
        <v>8</v>
      </c>
      <c r="AK12" s="109">
        <v>5.0</v>
      </c>
      <c r="AL12" s="110">
        <f t="shared" si="9"/>
        <v>3</v>
      </c>
      <c r="AM12" s="49">
        <f t="shared" si="10"/>
        <v>31.5</v>
      </c>
      <c r="AN12" s="111">
        <f t="shared" si="11"/>
        <v>0.253968254</v>
      </c>
      <c r="AO12" s="49">
        <f t="shared" si="12"/>
        <v>0</v>
      </c>
      <c r="AP12" s="49" t="s">
        <v>42</v>
      </c>
      <c r="AQ12" s="56" t="s">
        <v>44</v>
      </c>
    </row>
    <row r="13" ht="15.75" customHeight="1">
      <c r="A13" s="90"/>
      <c r="B13" s="127"/>
      <c r="C13" s="128">
        <f t="array" ref="C13">_xlfn.XLOOKUP(A13,'Agents Hrs'!A:A,'Agents Hrs'!D:D,0,0)</f>
        <v>0</v>
      </c>
      <c r="D13" s="129"/>
      <c r="E13" s="129"/>
      <c r="F13" s="129"/>
      <c r="G13" s="130">
        <f t="shared" si="1"/>
        <v>0</v>
      </c>
      <c r="H13" s="131"/>
      <c r="I13" s="71">
        <f t="array" ref="I13">_xlfn.XLOOKUP(A13,'Agents Hrs'!A:A,'Agents Hrs'!F:F,0,0)</f>
        <v>0</v>
      </c>
      <c r="J13" s="129"/>
      <c r="K13" s="129"/>
      <c r="L13" s="129"/>
      <c r="M13" s="130">
        <f t="shared" si="2"/>
        <v>0</v>
      </c>
      <c r="N13" s="131"/>
      <c r="O13" s="71"/>
      <c r="P13" s="129"/>
      <c r="Q13" s="132"/>
      <c r="R13" s="58"/>
      <c r="S13" s="130">
        <f t="shared" si="3"/>
        <v>0</v>
      </c>
      <c r="T13" s="131"/>
      <c r="U13" s="71">
        <f t="array" ref="U13">_xlfn.XLOOKUP(A13,'Agents Hrs'!A:A,'Agents Hrs'!J:J,0,0)</f>
        <v>0</v>
      </c>
      <c r="V13" s="132">
        <v>0.0</v>
      </c>
      <c r="W13" s="132">
        <v>0.0</v>
      </c>
      <c r="X13" s="132">
        <v>0.0</v>
      </c>
      <c r="Y13" s="130">
        <f t="shared" si="4"/>
        <v>0</v>
      </c>
      <c r="Z13" s="133"/>
      <c r="AA13" s="96">
        <f t="array" ref="AA13">_xlfn.XLOOKUP(A13,'Agents Hrs'!A:A,'Agents Hrs'!L:L,0,0)</f>
        <v>0</v>
      </c>
      <c r="AB13" s="58">
        <v>0.0</v>
      </c>
      <c r="AC13" s="58">
        <v>0.0</v>
      </c>
      <c r="AD13" s="58"/>
      <c r="AE13" s="130">
        <f t="shared" si="5"/>
        <v>0</v>
      </c>
      <c r="AF13" s="133"/>
      <c r="AG13" s="103">
        <f t="shared" si="6"/>
        <v>0</v>
      </c>
      <c r="AH13" s="60"/>
      <c r="AI13" s="107">
        <f t="shared" si="7"/>
        <v>0</v>
      </c>
      <c r="AJ13" s="134">
        <f t="shared" si="8"/>
        <v>0</v>
      </c>
      <c r="AK13" s="135"/>
      <c r="AL13" s="136">
        <f t="shared" si="9"/>
        <v>0</v>
      </c>
      <c r="AM13" s="49">
        <f t="shared" si="10"/>
        <v>0</v>
      </c>
      <c r="AN13" s="137">
        <f t="shared" si="11"/>
        <v>0</v>
      </c>
      <c r="AO13" s="49">
        <f t="shared" si="12"/>
        <v>0</v>
      </c>
      <c r="AP13" s="138" t="s">
        <v>42</v>
      </c>
      <c r="AQ13" s="139" t="s">
        <v>44</v>
      </c>
    </row>
    <row r="14" ht="15.75" customHeight="1">
      <c r="A14" s="90"/>
      <c r="B14" s="140" t="s">
        <v>59</v>
      </c>
      <c r="C14" s="72">
        <f t="shared" ref="C14:E14" si="13">SUM(C3:C13)</f>
        <v>46.5</v>
      </c>
      <c r="D14" s="74">
        <f t="shared" si="13"/>
        <v>2</v>
      </c>
      <c r="E14" s="74">
        <f t="shared" si="13"/>
        <v>4</v>
      </c>
      <c r="F14" s="141">
        <v>0.0</v>
      </c>
      <c r="G14" s="142">
        <f t="shared" si="1"/>
        <v>0.08602150538</v>
      </c>
      <c r="H14" s="143">
        <f t="shared" ref="H14:K14" si="14">SUM(H3:H13)</f>
        <v>0</v>
      </c>
      <c r="I14" s="144">
        <f t="shared" si="14"/>
        <v>49.4</v>
      </c>
      <c r="J14" s="74">
        <f t="shared" si="14"/>
        <v>4</v>
      </c>
      <c r="K14" s="74">
        <f t="shared" si="14"/>
        <v>9</v>
      </c>
      <c r="L14" s="141">
        <v>7.0</v>
      </c>
      <c r="M14" s="142">
        <f t="shared" si="2"/>
        <v>0.1821862348</v>
      </c>
      <c r="N14" s="143">
        <f t="shared" ref="N14:Q14" si="15">SUM(N3:N13)</f>
        <v>0</v>
      </c>
      <c r="O14" s="144">
        <f t="shared" si="15"/>
        <v>44.9</v>
      </c>
      <c r="P14" s="74">
        <f t="shared" si="15"/>
        <v>3</v>
      </c>
      <c r="Q14" s="74">
        <f t="shared" si="15"/>
        <v>3</v>
      </c>
      <c r="R14" s="141">
        <v>0.0</v>
      </c>
      <c r="S14" s="142">
        <f t="shared" si="3"/>
        <v>0.06681514477</v>
      </c>
      <c r="T14" s="143">
        <f t="shared" ref="T14:W14" si="16">SUM(T3:T13)</f>
        <v>0</v>
      </c>
      <c r="U14" s="144">
        <f t="shared" si="16"/>
        <v>36.5</v>
      </c>
      <c r="V14" s="74">
        <f t="shared" si="16"/>
        <v>1</v>
      </c>
      <c r="W14" s="74">
        <f t="shared" si="16"/>
        <v>11</v>
      </c>
      <c r="X14" s="141">
        <v>1.0</v>
      </c>
      <c r="Y14" s="142">
        <f t="shared" si="4"/>
        <v>0.301369863</v>
      </c>
      <c r="Z14" s="143">
        <f t="shared" ref="Z14:AB14" si="17">SUM(Z3:Z13)</f>
        <v>0</v>
      </c>
      <c r="AA14" s="144">
        <f t="shared" si="17"/>
        <v>0</v>
      </c>
      <c r="AB14" s="74">
        <f t="shared" si="17"/>
        <v>0</v>
      </c>
      <c r="AC14" s="74"/>
      <c r="AD14" s="141"/>
      <c r="AE14" s="142">
        <f t="shared" si="5"/>
        <v>0</v>
      </c>
      <c r="AF14" s="143">
        <f t="shared" ref="AF14:AG14" si="18">SUM(AF3:AF13)</f>
        <v>0</v>
      </c>
      <c r="AG14" s="145">
        <f t="shared" si="18"/>
        <v>29</v>
      </c>
      <c r="AH14" s="144"/>
      <c r="AI14" s="146">
        <f>SUM(AI3:AI13)</f>
        <v>9</v>
      </c>
      <c r="AJ14" s="147">
        <f t="shared" si="8"/>
        <v>29</v>
      </c>
      <c r="AK14" s="148">
        <v>15.0</v>
      </c>
      <c r="AL14" s="149">
        <f t="shared" si="9"/>
        <v>14</v>
      </c>
      <c r="AM14" s="150">
        <f>SUM(AM3:AM13)</f>
        <v>177.3</v>
      </c>
      <c r="AN14" s="151">
        <f t="shared" si="11"/>
        <v>0.1635645798</v>
      </c>
      <c r="AO14" s="152">
        <f>SUM(AO3:AO13)</f>
        <v>0</v>
      </c>
      <c r="AP14" s="150" t="s">
        <v>42</v>
      </c>
      <c r="AQ14" s="153" t="s">
        <v>44</v>
      </c>
    </row>
    <row r="15" ht="15.75" customHeight="1">
      <c r="A15" s="28"/>
      <c r="B15" s="154" t="s">
        <v>74</v>
      </c>
      <c r="C15" s="155"/>
      <c r="D15" s="156"/>
      <c r="E15" s="156"/>
      <c r="F15" s="156"/>
      <c r="G15" s="156"/>
      <c r="H15" s="157"/>
      <c r="I15" s="155"/>
      <c r="J15" s="156"/>
      <c r="K15" s="156"/>
      <c r="L15" s="156"/>
      <c r="M15" s="156"/>
      <c r="N15" s="157"/>
      <c r="O15" s="155"/>
      <c r="P15" s="156"/>
      <c r="Q15" s="82"/>
      <c r="R15" s="82"/>
      <c r="S15" s="82"/>
      <c r="T15" s="158"/>
      <c r="U15" s="159"/>
      <c r="V15" s="82"/>
      <c r="W15" s="82"/>
      <c r="X15" s="82"/>
      <c r="Y15" s="82"/>
      <c r="Z15" s="158"/>
      <c r="AA15" s="159"/>
      <c r="AB15" s="82"/>
      <c r="AC15" s="82"/>
      <c r="AD15" s="82"/>
      <c r="AE15" s="82"/>
      <c r="AF15" s="158"/>
      <c r="AG15" s="160"/>
      <c r="AH15" s="86"/>
      <c r="AI15" s="161"/>
      <c r="AJ15" s="161"/>
      <c r="AK15" s="162"/>
      <c r="AL15" s="163"/>
      <c r="AM15" s="82"/>
      <c r="AN15" s="164"/>
      <c r="AO15" s="82"/>
      <c r="AP15" s="82"/>
      <c r="AQ15" s="82"/>
    </row>
    <row r="16" ht="15.75" customHeight="1">
      <c r="A16" s="4" t="s">
        <v>1</v>
      </c>
      <c r="B16" s="165" t="s">
        <v>3</v>
      </c>
      <c r="C16" s="166"/>
      <c r="D16" s="4"/>
      <c r="E16" s="4"/>
      <c r="F16" s="4"/>
      <c r="G16" s="4"/>
      <c r="H16" s="167"/>
      <c r="I16" s="166"/>
      <c r="J16" s="4"/>
      <c r="K16" s="4"/>
      <c r="L16" s="4"/>
      <c r="M16" s="4"/>
      <c r="N16" s="167"/>
      <c r="O16" s="166"/>
      <c r="P16" s="4"/>
      <c r="Q16" s="4"/>
      <c r="R16" s="4"/>
      <c r="S16" s="4"/>
      <c r="T16" s="167"/>
      <c r="U16" s="166"/>
      <c r="V16" s="4"/>
      <c r="W16" s="4"/>
      <c r="X16" s="4"/>
      <c r="Y16" s="4"/>
      <c r="Z16" s="167"/>
      <c r="AA16" s="166"/>
      <c r="AB16" s="4"/>
      <c r="AC16" s="4"/>
      <c r="AD16" s="4"/>
      <c r="AE16" s="4"/>
      <c r="AF16" s="167"/>
      <c r="AG16" s="168"/>
      <c r="AH16" s="4"/>
      <c r="AI16" s="169"/>
      <c r="AJ16" s="169"/>
      <c r="AK16" s="109"/>
      <c r="AL16" s="168"/>
      <c r="AM16" s="4"/>
      <c r="AN16" s="170"/>
      <c r="AO16" s="4"/>
      <c r="AP16" s="4"/>
      <c r="AQ16" s="4"/>
    </row>
    <row r="17" ht="15.75" customHeight="1">
      <c r="A17" s="90"/>
      <c r="B17" s="98"/>
      <c r="C17" s="171"/>
      <c r="D17" s="50"/>
      <c r="E17" s="50"/>
      <c r="F17" s="50"/>
      <c r="G17" s="50"/>
      <c r="H17" s="126"/>
      <c r="I17" s="171"/>
      <c r="J17" s="50"/>
      <c r="K17" s="50"/>
      <c r="L17" s="50"/>
      <c r="M17" s="50"/>
      <c r="N17" s="126"/>
      <c r="O17" s="171"/>
      <c r="P17" s="50"/>
      <c r="Q17" s="35"/>
      <c r="R17" s="35"/>
      <c r="S17" s="35"/>
      <c r="T17" s="94"/>
      <c r="U17" s="96"/>
      <c r="V17" s="35"/>
      <c r="W17" s="35"/>
      <c r="X17" s="35"/>
      <c r="Y17" s="35"/>
      <c r="Z17" s="94"/>
      <c r="AA17" s="96"/>
      <c r="AB17" s="35"/>
      <c r="AC17" s="35"/>
      <c r="AD17" s="35"/>
      <c r="AE17" s="35"/>
      <c r="AF17" s="94"/>
      <c r="AG17" s="103">
        <f t="shared" ref="AG17:AG19" si="19">SUM(Q17:AC17)</f>
        <v>0</v>
      </c>
      <c r="AH17" s="46"/>
      <c r="AI17" s="107"/>
      <c r="AJ17" s="107">
        <f t="shared" ref="AJ17:AJ19" si="20">AG17-AH17</f>
        <v>0</v>
      </c>
      <c r="AK17" s="109">
        <v>0.0</v>
      </c>
      <c r="AL17" s="110">
        <f t="shared" ref="AL17:AL20" si="21">AG17-AK17</f>
        <v>0</v>
      </c>
      <c r="AM17" s="49"/>
      <c r="AN17" s="111"/>
      <c r="AO17" s="49"/>
      <c r="AP17" s="49" t="s">
        <v>42</v>
      </c>
      <c r="AQ17" s="56" t="s">
        <v>44</v>
      </c>
    </row>
    <row r="18" ht="15.75" customHeight="1">
      <c r="A18" s="90"/>
      <c r="B18" s="125"/>
      <c r="C18" s="171"/>
      <c r="D18" s="50"/>
      <c r="E18" s="50"/>
      <c r="F18" s="50"/>
      <c r="G18" s="50"/>
      <c r="H18" s="126"/>
      <c r="I18" s="171"/>
      <c r="J18" s="50"/>
      <c r="K18" s="50"/>
      <c r="L18" s="50"/>
      <c r="M18" s="50"/>
      <c r="N18" s="126"/>
      <c r="O18" s="171"/>
      <c r="P18" s="50"/>
      <c r="Q18" s="35"/>
      <c r="R18" s="35"/>
      <c r="S18" s="35"/>
      <c r="T18" s="94"/>
      <c r="U18" s="96"/>
      <c r="V18" s="35"/>
      <c r="W18" s="35"/>
      <c r="X18" s="35"/>
      <c r="Y18" s="35"/>
      <c r="Z18" s="94"/>
      <c r="AA18" s="96"/>
      <c r="AB18" s="35"/>
      <c r="AC18" s="35"/>
      <c r="AD18" s="35"/>
      <c r="AE18" s="35"/>
      <c r="AF18" s="94"/>
      <c r="AG18" s="103">
        <f t="shared" si="19"/>
        <v>0</v>
      </c>
      <c r="AH18" s="46"/>
      <c r="AI18" s="107"/>
      <c r="AJ18" s="107">
        <f t="shared" si="20"/>
        <v>0</v>
      </c>
      <c r="AK18" s="109">
        <v>0.0</v>
      </c>
      <c r="AL18" s="110">
        <f t="shared" si="21"/>
        <v>0</v>
      </c>
      <c r="AM18" s="49"/>
      <c r="AN18" s="111"/>
      <c r="AO18" s="49"/>
      <c r="AP18" s="49" t="s">
        <v>42</v>
      </c>
      <c r="AQ18" s="56" t="s">
        <v>44</v>
      </c>
    </row>
    <row r="19" ht="15.75" customHeight="1">
      <c r="A19" s="90"/>
      <c r="B19" s="127"/>
      <c r="C19" s="172"/>
      <c r="D19" s="129"/>
      <c r="E19" s="129"/>
      <c r="F19" s="129"/>
      <c r="G19" s="129"/>
      <c r="H19" s="131"/>
      <c r="I19" s="172"/>
      <c r="J19" s="129"/>
      <c r="K19" s="129"/>
      <c r="L19" s="129"/>
      <c r="M19" s="129"/>
      <c r="N19" s="131"/>
      <c r="O19" s="172"/>
      <c r="P19" s="129"/>
      <c r="Q19" s="58"/>
      <c r="R19" s="58"/>
      <c r="S19" s="58"/>
      <c r="T19" s="133"/>
      <c r="U19" s="173"/>
      <c r="V19" s="58"/>
      <c r="W19" s="58"/>
      <c r="X19" s="58"/>
      <c r="Y19" s="58"/>
      <c r="Z19" s="133"/>
      <c r="AA19" s="173"/>
      <c r="AB19" s="58"/>
      <c r="AC19" s="58"/>
      <c r="AD19" s="58"/>
      <c r="AE19" s="58"/>
      <c r="AF19" s="133"/>
      <c r="AG19" s="103">
        <f t="shared" si="19"/>
        <v>0</v>
      </c>
      <c r="AH19" s="46"/>
      <c r="AI19" s="107"/>
      <c r="AJ19" s="107">
        <f t="shared" si="20"/>
        <v>0</v>
      </c>
      <c r="AK19" s="109">
        <v>0.0</v>
      </c>
      <c r="AL19" s="110">
        <f t="shared" si="21"/>
        <v>0</v>
      </c>
      <c r="AM19" s="49"/>
      <c r="AN19" s="111"/>
      <c r="AO19" s="49"/>
      <c r="AP19" s="49" t="s">
        <v>42</v>
      </c>
      <c r="AQ19" s="56" t="s">
        <v>44</v>
      </c>
    </row>
    <row r="20" ht="15.75" customHeight="1">
      <c r="A20" s="90"/>
      <c r="B20" s="140" t="s">
        <v>59</v>
      </c>
      <c r="C20" s="72"/>
      <c r="D20" s="74">
        <f t="shared" ref="D20:E20" si="22">SUM(D17:D18)</f>
        <v>0</v>
      </c>
      <c r="E20" s="74">
        <f t="shared" si="22"/>
        <v>0</v>
      </c>
      <c r="F20" s="74"/>
      <c r="G20" s="74"/>
      <c r="H20" s="143"/>
      <c r="I20" s="144"/>
      <c r="J20" s="74">
        <f t="shared" ref="J20:K20" si="23">SUM(J17:J18)</f>
        <v>0</v>
      </c>
      <c r="K20" s="74">
        <f t="shared" si="23"/>
        <v>0</v>
      </c>
      <c r="L20" s="74"/>
      <c r="M20" s="74"/>
      <c r="N20" s="143"/>
      <c r="O20" s="144"/>
      <c r="P20" s="74">
        <f t="shared" ref="P20:Q20" si="24">SUM(P17:P18)</f>
        <v>0</v>
      </c>
      <c r="Q20" s="74">
        <f t="shared" si="24"/>
        <v>0</v>
      </c>
      <c r="R20" s="74"/>
      <c r="S20" s="74"/>
      <c r="T20" s="143"/>
      <c r="U20" s="144"/>
      <c r="V20" s="74">
        <f t="shared" ref="V20:W20" si="25">SUM(V17:V18)</f>
        <v>0</v>
      </c>
      <c r="W20" s="74">
        <f t="shared" si="25"/>
        <v>0</v>
      </c>
      <c r="X20" s="74"/>
      <c r="Y20" s="74"/>
      <c r="Z20" s="143"/>
      <c r="AA20" s="144"/>
      <c r="AB20" s="74">
        <f t="shared" ref="AB20:AC20" si="26">SUM(AB17:AB18)</f>
        <v>0</v>
      </c>
      <c r="AC20" s="74">
        <f t="shared" si="26"/>
        <v>0</v>
      </c>
      <c r="AD20" s="74"/>
      <c r="AE20" s="74"/>
      <c r="AF20" s="143"/>
      <c r="AG20" s="174">
        <f t="shared" ref="AG20:AH20" si="27">SUM(AG17:AG18)</f>
        <v>0</v>
      </c>
      <c r="AH20" s="74">
        <f t="shared" si="27"/>
        <v>0</v>
      </c>
      <c r="AI20" s="175"/>
      <c r="AJ20" s="175">
        <f t="shared" ref="AJ20:AK20" si="28">SUM(AJ17:AJ18)</f>
        <v>0</v>
      </c>
      <c r="AK20" s="148">
        <f t="shared" si="28"/>
        <v>0</v>
      </c>
      <c r="AL20" s="110">
        <f t="shared" si="21"/>
        <v>0</v>
      </c>
      <c r="AM20" s="49"/>
      <c r="AN20" s="111"/>
      <c r="AO20" s="49"/>
      <c r="AP20" s="49" t="s">
        <v>42</v>
      </c>
      <c r="AQ20" s="56" t="s">
        <v>44</v>
      </c>
    </row>
    <row r="21" ht="15.75" customHeight="1">
      <c r="A21" s="28"/>
      <c r="B21" s="176" t="s">
        <v>76</v>
      </c>
      <c r="C21" s="177"/>
      <c r="D21" s="178"/>
      <c r="E21" s="178"/>
      <c r="F21" s="178"/>
      <c r="G21" s="178"/>
      <c r="H21" s="179"/>
      <c r="I21" s="177"/>
      <c r="J21" s="178"/>
      <c r="K21" s="178"/>
      <c r="L21" s="178"/>
      <c r="M21" s="178"/>
      <c r="N21" s="179"/>
      <c r="O21" s="177"/>
      <c r="P21" s="178"/>
      <c r="Q21" s="82"/>
      <c r="R21" s="82"/>
      <c r="S21" s="82"/>
      <c r="T21" s="158"/>
      <c r="U21" s="159"/>
      <c r="V21" s="82"/>
      <c r="W21" s="82"/>
      <c r="X21" s="82"/>
      <c r="Y21" s="82"/>
      <c r="Z21" s="158"/>
      <c r="AA21" s="159"/>
      <c r="AB21" s="82"/>
      <c r="AC21" s="82"/>
      <c r="AD21" s="82"/>
      <c r="AE21" s="82"/>
      <c r="AF21" s="158"/>
      <c r="AG21" s="168"/>
      <c r="AH21" s="4"/>
      <c r="AI21" s="169"/>
      <c r="AJ21" s="169"/>
      <c r="AK21" s="180"/>
      <c r="AL21" s="181"/>
      <c r="AM21" s="112"/>
      <c r="AN21" s="182"/>
      <c r="AO21" s="112"/>
      <c r="AP21" s="112"/>
      <c r="AQ21" s="112"/>
    </row>
    <row r="22" ht="15.75" customHeight="1">
      <c r="A22" s="113"/>
      <c r="B22" s="183"/>
      <c r="C22" s="184"/>
      <c r="D22" s="90"/>
      <c r="E22" s="90"/>
      <c r="F22" s="90"/>
      <c r="G22" s="90"/>
      <c r="H22" s="185"/>
      <c r="I22" s="184"/>
      <c r="J22" s="90"/>
      <c r="K22" s="90"/>
      <c r="L22" s="90"/>
      <c r="M22" s="90"/>
      <c r="N22" s="185"/>
      <c r="O22" s="184"/>
      <c r="P22" s="90"/>
      <c r="Q22" s="35"/>
      <c r="R22" s="35"/>
      <c r="S22" s="35"/>
      <c r="T22" s="94"/>
      <c r="U22" s="96"/>
      <c r="V22" s="35"/>
      <c r="W22" s="35"/>
      <c r="X22" s="35"/>
      <c r="Y22" s="35"/>
      <c r="Z22" s="94"/>
      <c r="AA22" s="96"/>
      <c r="AB22" s="35"/>
      <c r="AC22" s="35"/>
      <c r="AD22" s="35"/>
      <c r="AE22" s="35"/>
      <c r="AF22" s="94"/>
      <c r="AG22" s="103">
        <f t="shared" ref="AG22:AG25" si="29">SUM(Q22:AC22)</f>
        <v>0</v>
      </c>
      <c r="AH22" s="46"/>
      <c r="AI22" s="107"/>
      <c r="AJ22" s="107">
        <f t="shared" ref="AJ22:AJ25" si="30">AG22-AH22</f>
        <v>0</v>
      </c>
      <c r="AK22" s="180">
        <v>0.0</v>
      </c>
      <c r="AL22" s="110">
        <f t="shared" ref="AL22:AL26" si="31">AG22-AK22</f>
        <v>0</v>
      </c>
      <c r="AM22" s="49"/>
      <c r="AN22" s="111"/>
      <c r="AO22" s="49"/>
      <c r="AP22" s="49" t="s">
        <v>42</v>
      </c>
      <c r="AQ22" s="56" t="s">
        <v>44</v>
      </c>
    </row>
    <row r="23" ht="15.75" customHeight="1">
      <c r="A23" s="113"/>
      <c r="B23" s="183"/>
      <c r="C23" s="184"/>
      <c r="D23" s="90"/>
      <c r="E23" s="90"/>
      <c r="F23" s="90"/>
      <c r="G23" s="90"/>
      <c r="H23" s="185"/>
      <c r="I23" s="184"/>
      <c r="J23" s="90"/>
      <c r="K23" s="90"/>
      <c r="L23" s="90"/>
      <c r="M23" s="90"/>
      <c r="N23" s="185"/>
      <c r="O23" s="184"/>
      <c r="P23" s="90"/>
      <c r="Q23" s="35"/>
      <c r="R23" s="35"/>
      <c r="S23" s="35"/>
      <c r="T23" s="94"/>
      <c r="U23" s="96"/>
      <c r="V23" s="35"/>
      <c r="W23" s="35"/>
      <c r="X23" s="35"/>
      <c r="Y23" s="35"/>
      <c r="Z23" s="94"/>
      <c r="AA23" s="96"/>
      <c r="AB23" s="35"/>
      <c r="AC23" s="35"/>
      <c r="AD23" s="35"/>
      <c r="AE23" s="35"/>
      <c r="AF23" s="94"/>
      <c r="AG23" s="103">
        <f t="shared" si="29"/>
        <v>0</v>
      </c>
      <c r="AH23" s="46"/>
      <c r="AI23" s="107"/>
      <c r="AJ23" s="107">
        <f t="shared" si="30"/>
        <v>0</v>
      </c>
      <c r="AK23" s="180">
        <v>0.0</v>
      </c>
      <c r="AL23" s="110">
        <f t="shared" si="31"/>
        <v>0</v>
      </c>
      <c r="AM23" s="49"/>
      <c r="AN23" s="111"/>
      <c r="AO23" s="49"/>
      <c r="AP23" s="49" t="s">
        <v>42</v>
      </c>
      <c r="AQ23" s="56" t="s">
        <v>44</v>
      </c>
    </row>
    <row r="24" ht="15.75" customHeight="1">
      <c r="A24" s="113"/>
      <c r="B24" s="183"/>
      <c r="C24" s="184"/>
      <c r="D24" s="90"/>
      <c r="E24" s="90"/>
      <c r="F24" s="90"/>
      <c r="G24" s="90"/>
      <c r="H24" s="185"/>
      <c r="I24" s="184"/>
      <c r="J24" s="90"/>
      <c r="K24" s="90"/>
      <c r="L24" s="90"/>
      <c r="M24" s="90"/>
      <c r="N24" s="185"/>
      <c r="O24" s="184"/>
      <c r="P24" s="90"/>
      <c r="Q24" s="35"/>
      <c r="R24" s="35"/>
      <c r="S24" s="35"/>
      <c r="T24" s="94"/>
      <c r="U24" s="96"/>
      <c r="V24" s="35"/>
      <c r="W24" s="35"/>
      <c r="X24" s="35"/>
      <c r="Y24" s="35"/>
      <c r="Z24" s="94"/>
      <c r="AA24" s="96"/>
      <c r="AB24" s="35"/>
      <c r="AC24" s="35"/>
      <c r="AD24" s="35"/>
      <c r="AE24" s="35"/>
      <c r="AF24" s="94"/>
      <c r="AG24" s="103">
        <f t="shared" si="29"/>
        <v>0</v>
      </c>
      <c r="AH24" s="46"/>
      <c r="AI24" s="107"/>
      <c r="AJ24" s="107">
        <f t="shared" si="30"/>
        <v>0</v>
      </c>
      <c r="AK24" s="180">
        <v>0.0</v>
      </c>
      <c r="AL24" s="110">
        <f t="shared" si="31"/>
        <v>0</v>
      </c>
      <c r="AM24" s="49"/>
      <c r="AN24" s="111"/>
      <c r="AO24" s="49"/>
      <c r="AP24" s="49" t="s">
        <v>42</v>
      </c>
      <c r="AQ24" s="56" t="s">
        <v>44</v>
      </c>
    </row>
    <row r="25" ht="15.75" customHeight="1">
      <c r="A25" s="113"/>
      <c r="B25" s="186"/>
      <c r="C25" s="187"/>
      <c r="D25" s="188"/>
      <c r="E25" s="188"/>
      <c r="F25" s="188"/>
      <c r="G25" s="188"/>
      <c r="H25" s="189"/>
      <c r="I25" s="187"/>
      <c r="J25" s="188"/>
      <c r="K25" s="188"/>
      <c r="L25" s="188"/>
      <c r="M25" s="188"/>
      <c r="N25" s="189"/>
      <c r="O25" s="187"/>
      <c r="P25" s="188"/>
      <c r="Q25" s="58"/>
      <c r="R25" s="58"/>
      <c r="S25" s="58"/>
      <c r="T25" s="133"/>
      <c r="U25" s="173"/>
      <c r="V25" s="58"/>
      <c r="W25" s="58"/>
      <c r="X25" s="58"/>
      <c r="Y25" s="58"/>
      <c r="Z25" s="133"/>
      <c r="AA25" s="173"/>
      <c r="AB25" s="58"/>
      <c r="AC25" s="58"/>
      <c r="AD25" s="58"/>
      <c r="AE25" s="58"/>
      <c r="AF25" s="133"/>
      <c r="AG25" s="190">
        <f t="shared" si="29"/>
        <v>0</v>
      </c>
      <c r="AH25" s="46"/>
      <c r="AI25" s="107"/>
      <c r="AJ25" s="107">
        <f t="shared" si="30"/>
        <v>0</v>
      </c>
      <c r="AK25" s="180">
        <v>0.0</v>
      </c>
      <c r="AL25" s="110">
        <f t="shared" si="31"/>
        <v>0</v>
      </c>
      <c r="AM25" s="49"/>
      <c r="AN25" s="111"/>
      <c r="AO25" s="49"/>
      <c r="AP25" s="49" t="s">
        <v>42</v>
      </c>
      <c r="AQ25" s="56" t="s">
        <v>44</v>
      </c>
    </row>
    <row r="26" ht="15.75" customHeight="1">
      <c r="A26" s="191"/>
      <c r="B26" s="192" t="s">
        <v>59</v>
      </c>
      <c r="C26" s="193"/>
      <c r="D26" s="194">
        <f t="shared" ref="D26:E26" si="32">D14</f>
        <v>2</v>
      </c>
      <c r="E26" s="194">
        <f t="shared" si="32"/>
        <v>4</v>
      </c>
      <c r="F26" s="194"/>
      <c r="G26" s="194"/>
      <c r="H26" s="195"/>
      <c r="I26" s="193"/>
      <c r="J26" s="194">
        <f t="shared" ref="J26:K26" si="33">J14</f>
        <v>4</v>
      </c>
      <c r="K26" s="194">
        <f t="shared" si="33"/>
        <v>9</v>
      </c>
      <c r="L26" s="194"/>
      <c r="M26" s="194"/>
      <c r="N26" s="195"/>
      <c r="O26" s="193"/>
      <c r="P26" s="194">
        <f t="shared" ref="P26:Q26" si="34">P14</f>
        <v>3</v>
      </c>
      <c r="Q26" s="194">
        <f t="shared" si="34"/>
        <v>3</v>
      </c>
      <c r="R26" s="194"/>
      <c r="S26" s="194"/>
      <c r="T26" s="195"/>
      <c r="U26" s="193"/>
      <c r="V26" s="194">
        <f t="shared" ref="V26:W26" si="35">V14</f>
        <v>1</v>
      </c>
      <c r="W26" s="194">
        <f t="shared" si="35"/>
        <v>11</v>
      </c>
      <c r="X26" s="194"/>
      <c r="Y26" s="194"/>
      <c r="Z26" s="195"/>
      <c r="AA26" s="193"/>
      <c r="AB26" s="194">
        <f t="shared" ref="AB26:AC26" si="36">AB14</f>
        <v>0</v>
      </c>
      <c r="AC26" s="194" t="str">
        <f t="shared" si="36"/>
        <v/>
      </c>
      <c r="AD26" s="194"/>
      <c r="AE26" s="194"/>
      <c r="AF26" s="195"/>
      <c r="AG26" s="196">
        <f t="shared" ref="AG26:AH26" si="37">AG14</f>
        <v>29</v>
      </c>
      <c r="AH26" s="168" t="str">
        <f t="shared" si="37"/>
        <v/>
      </c>
      <c r="AI26" s="197"/>
      <c r="AJ26" s="169">
        <f t="shared" ref="AJ26:AK26" si="38">AJ14</f>
        <v>29</v>
      </c>
      <c r="AK26" s="198">
        <f t="shared" si="38"/>
        <v>15</v>
      </c>
      <c r="AL26" s="110">
        <f t="shared" si="31"/>
        <v>14</v>
      </c>
      <c r="AM26" s="49"/>
      <c r="AN26" s="111"/>
      <c r="AO26" s="49"/>
      <c r="AP26" s="49"/>
      <c r="AQ26" s="56"/>
    </row>
    <row r="27" ht="15.75" customHeight="1">
      <c r="A27" s="49"/>
      <c r="B27" s="199" t="s">
        <v>14</v>
      </c>
      <c r="C27" s="200"/>
      <c r="D27" s="201"/>
      <c r="E27" s="202">
        <v>5.0</v>
      </c>
      <c r="F27" s="201"/>
      <c r="G27" s="201"/>
      <c r="H27" s="203"/>
      <c r="I27" s="200"/>
      <c r="J27" s="201"/>
      <c r="K27" s="202">
        <v>4.0</v>
      </c>
      <c r="L27" s="201"/>
      <c r="M27" s="201"/>
      <c r="N27" s="203"/>
      <c r="O27" s="200"/>
      <c r="P27" s="201"/>
      <c r="Q27" s="202">
        <v>21.0</v>
      </c>
      <c r="R27" s="201"/>
      <c r="S27" s="201"/>
      <c r="T27" s="204"/>
      <c r="U27" s="205"/>
      <c r="V27" s="201">
        <v>1.0</v>
      </c>
      <c r="W27" s="206">
        <v>2.0</v>
      </c>
      <c r="X27" s="206"/>
      <c r="Y27" s="206"/>
      <c r="Z27" s="204"/>
      <c r="AA27" s="205"/>
      <c r="AB27" s="201">
        <v>2.0</v>
      </c>
      <c r="AC27" s="202">
        <v>2.0</v>
      </c>
      <c r="AD27" s="201"/>
      <c r="AE27" s="201"/>
      <c r="AF27" s="203"/>
      <c r="AG27" s="207">
        <v>34.0</v>
      </c>
      <c r="AH27" s="119"/>
      <c r="AI27" s="119"/>
      <c r="AJ27" s="119"/>
      <c r="AK27" s="119"/>
      <c r="AL27" s="120"/>
      <c r="AM27" s="119"/>
      <c r="AN27" s="208"/>
      <c r="AO27" s="119"/>
      <c r="AP27" s="120"/>
      <c r="AQ27" s="10"/>
    </row>
    <row r="28" ht="15.75" customHeight="1">
      <c r="A28" s="119"/>
      <c r="B28" s="209" t="s">
        <v>15</v>
      </c>
      <c r="C28" s="210"/>
      <c r="D28" s="211"/>
      <c r="E28" s="211"/>
      <c r="F28" s="211"/>
      <c r="G28" s="211"/>
      <c r="H28" s="212"/>
      <c r="I28" s="210"/>
      <c r="J28" s="211"/>
      <c r="K28" s="211"/>
      <c r="L28" s="211"/>
      <c r="M28" s="211"/>
      <c r="N28" s="212"/>
      <c r="O28" s="210"/>
      <c r="P28" s="211"/>
      <c r="Q28" s="211">
        <f>Q26-Q27</f>
        <v>-18</v>
      </c>
      <c r="R28" s="211"/>
      <c r="S28" s="211"/>
      <c r="T28" s="212"/>
      <c r="U28" s="210"/>
      <c r="V28" s="211">
        <f t="shared" ref="V28:W28" si="39">V26-V27</f>
        <v>0</v>
      </c>
      <c r="W28" s="211">
        <f t="shared" si="39"/>
        <v>9</v>
      </c>
      <c r="X28" s="211"/>
      <c r="Y28" s="211"/>
      <c r="Z28" s="212"/>
      <c r="AA28" s="210"/>
      <c r="AB28" s="211">
        <f t="shared" ref="AB28:AC28" si="40">AB26-AB27</f>
        <v>-2</v>
      </c>
      <c r="AC28" s="211">
        <f t="shared" si="40"/>
        <v>-2</v>
      </c>
      <c r="AD28" s="211"/>
      <c r="AE28" s="211"/>
      <c r="AF28" s="212"/>
      <c r="AG28" s="213">
        <f>AG26-AG27</f>
        <v>-5</v>
      </c>
      <c r="AH28" s="119"/>
      <c r="AI28" s="119"/>
      <c r="AJ28" s="119"/>
      <c r="AK28" s="10"/>
      <c r="AL28" s="119"/>
      <c r="AM28" s="119"/>
      <c r="AN28" s="208"/>
      <c r="AO28" s="119"/>
      <c r="AP28" s="119"/>
      <c r="AQ28" s="10"/>
      <c r="AS28" s="214" t="s">
        <v>97</v>
      </c>
    </row>
    <row r="29" ht="15.75" customHeight="1"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215"/>
      <c r="P29" s="216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M29" s="119"/>
      <c r="AN29" s="208"/>
      <c r="AO29" s="119"/>
    </row>
    <row r="30" ht="15.75" customHeight="1"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215"/>
      <c r="P30" s="216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M30" s="119"/>
      <c r="AN30" s="208"/>
      <c r="AO30" s="119"/>
    </row>
    <row r="31" ht="15.75" customHeight="1"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215"/>
      <c r="P31" s="216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M31" s="119"/>
      <c r="AN31" s="208"/>
      <c r="AO31" s="119"/>
    </row>
    <row r="32" ht="15.75" customHeight="1"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215"/>
      <c r="P32" s="216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M32" s="119"/>
      <c r="AN32" s="208"/>
      <c r="AO32" s="119"/>
    </row>
    <row r="33" ht="15.75" customHeight="1"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215"/>
      <c r="P33" s="216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M33" s="119"/>
      <c r="AN33" s="208"/>
      <c r="AO33" s="119"/>
    </row>
    <row r="34" ht="15.75" customHeight="1"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215"/>
      <c r="P34" s="216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M34" s="119"/>
      <c r="AN34" s="208"/>
      <c r="AO34" s="119"/>
    </row>
    <row r="35" ht="15.75" customHeight="1"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215"/>
      <c r="P35" s="216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M35" s="119"/>
      <c r="AN35" s="208"/>
      <c r="AO35" s="119"/>
    </row>
    <row r="36" ht="15.75" customHeight="1"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215"/>
      <c r="P36" s="216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M36" s="119"/>
      <c r="AN36" s="208"/>
      <c r="AO36" s="119"/>
    </row>
    <row r="37" ht="15.75" customHeight="1"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215"/>
      <c r="P37" s="216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M37" s="119"/>
      <c r="AN37" s="208"/>
      <c r="AO37" s="119"/>
    </row>
    <row r="38" ht="15.75" customHeight="1"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215"/>
      <c r="P38" s="216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M38" s="119"/>
      <c r="AN38" s="208"/>
      <c r="AO38" s="119"/>
    </row>
    <row r="39" ht="15.75" customHeight="1"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215"/>
      <c r="P39" s="216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M39" s="119"/>
      <c r="AN39" s="208"/>
      <c r="AO39" s="119"/>
    </row>
    <row r="40" ht="15.75" customHeight="1"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215"/>
      <c r="P40" s="216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M40" s="119"/>
      <c r="AN40" s="208"/>
      <c r="AO40" s="119"/>
    </row>
    <row r="41" ht="15.75" customHeight="1"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215"/>
      <c r="P41" s="216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M41" s="119"/>
      <c r="AN41" s="208"/>
      <c r="AO41" s="119"/>
    </row>
    <row r="42" ht="15.75" customHeight="1"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215"/>
      <c r="P42" s="216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M42" s="119"/>
      <c r="AN42" s="208"/>
      <c r="AO42" s="119"/>
    </row>
    <row r="43" ht="15.75" customHeight="1"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215"/>
      <c r="P43" s="216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M43" s="119"/>
      <c r="AN43" s="208"/>
      <c r="AO43" s="119"/>
    </row>
    <row r="44" ht="15.75" customHeight="1"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215"/>
      <c r="P44" s="216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M44" s="119"/>
      <c r="AN44" s="208"/>
      <c r="AO44" s="119"/>
    </row>
    <row r="45" ht="15.75" customHeight="1"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215"/>
      <c r="P45" s="216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M45" s="119"/>
      <c r="AN45" s="208"/>
      <c r="AO45" s="119"/>
    </row>
    <row r="46" ht="15.75" customHeight="1"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215"/>
      <c r="P46" s="216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M46" s="119"/>
      <c r="AN46" s="208"/>
      <c r="AO46" s="119"/>
    </row>
    <row r="47" ht="15.75" customHeight="1"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215"/>
      <c r="P47" s="216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M47" s="119"/>
      <c r="AN47" s="208"/>
      <c r="AO47" s="119"/>
    </row>
    <row r="48" ht="15.75" customHeight="1"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215"/>
      <c r="P48" s="216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M48" s="119"/>
      <c r="AN48" s="208"/>
      <c r="AO48" s="119"/>
    </row>
    <row r="49" ht="15.75" customHeight="1"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215"/>
      <c r="P49" s="216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M49" s="119"/>
      <c r="AN49" s="208"/>
      <c r="AO49" s="119"/>
    </row>
    <row r="50" ht="15.75" customHeight="1"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215"/>
      <c r="P50" s="216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M50" s="119"/>
      <c r="AN50" s="208"/>
      <c r="AO50" s="119"/>
    </row>
    <row r="51" ht="15.75" customHeight="1"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215"/>
      <c r="P51" s="216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M51" s="119"/>
      <c r="AN51" s="208"/>
      <c r="AO51" s="119"/>
    </row>
    <row r="52" ht="15.75" customHeight="1"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215"/>
      <c r="P52" s="216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M52" s="119"/>
      <c r="AN52" s="208"/>
      <c r="AO52" s="119"/>
    </row>
    <row r="53" ht="15.75" customHeight="1"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215"/>
      <c r="P53" s="216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M53" s="119"/>
      <c r="AN53" s="208"/>
      <c r="AO53" s="119"/>
    </row>
    <row r="54" ht="15.75" customHeight="1"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215"/>
      <c r="P54" s="216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M54" s="119"/>
      <c r="AN54" s="208"/>
      <c r="AO54" s="119"/>
    </row>
    <row r="55" ht="15.75" customHeight="1"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215"/>
      <c r="P55" s="216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M55" s="119"/>
      <c r="AN55" s="208"/>
      <c r="AO55" s="119"/>
    </row>
    <row r="56" ht="15.75" customHeight="1"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215"/>
      <c r="P56" s="216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M56" s="119"/>
      <c r="AN56" s="208"/>
      <c r="AO56" s="119"/>
    </row>
    <row r="57" ht="15.75" customHeight="1"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215"/>
      <c r="P57" s="216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M57" s="119"/>
      <c r="AN57" s="208"/>
      <c r="AO57" s="119"/>
    </row>
    <row r="58" ht="15.75" customHeight="1"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215"/>
      <c r="P58" s="216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M58" s="119"/>
      <c r="AN58" s="208"/>
      <c r="AO58" s="119"/>
    </row>
    <row r="59" ht="15.75" customHeight="1"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215"/>
      <c r="P59" s="216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M59" s="119"/>
      <c r="AN59" s="208"/>
      <c r="AO59" s="119"/>
    </row>
    <row r="60" ht="15.75" customHeight="1"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215"/>
      <c r="P60" s="216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M60" s="119"/>
      <c r="AN60" s="208"/>
      <c r="AO60" s="119"/>
    </row>
    <row r="61" ht="15.75" customHeight="1"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215"/>
      <c r="P61" s="216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M61" s="119"/>
      <c r="AN61" s="208"/>
      <c r="AO61" s="119"/>
    </row>
    <row r="62" ht="15.75" customHeight="1"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215"/>
      <c r="P62" s="216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M62" s="119"/>
      <c r="AN62" s="208"/>
      <c r="AO62" s="119"/>
    </row>
    <row r="63" ht="15.75" customHeight="1"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215"/>
      <c r="P63" s="216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M63" s="119"/>
      <c r="AN63" s="208"/>
      <c r="AO63" s="119"/>
    </row>
    <row r="64" ht="15.75" customHeight="1"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215"/>
      <c r="P64" s="216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M64" s="119"/>
      <c r="AN64" s="208"/>
      <c r="AO64" s="119"/>
    </row>
    <row r="65" ht="15.75" customHeight="1"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215"/>
      <c r="P65" s="216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M65" s="119"/>
      <c r="AN65" s="208"/>
      <c r="AO65" s="119"/>
    </row>
    <row r="66" ht="15.75" customHeight="1"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215"/>
      <c r="P66" s="216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M66" s="119"/>
      <c r="AN66" s="208"/>
      <c r="AO66" s="119"/>
    </row>
    <row r="67" ht="15.75" customHeight="1"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215"/>
      <c r="P67" s="216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M67" s="119"/>
      <c r="AN67" s="208"/>
      <c r="AO67" s="119"/>
    </row>
    <row r="68" ht="15.75" customHeight="1"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215"/>
      <c r="P68" s="216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M68" s="119"/>
      <c r="AN68" s="208"/>
      <c r="AO68" s="119"/>
    </row>
    <row r="69" ht="15.75" customHeight="1"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215"/>
      <c r="P69" s="216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M69" s="119"/>
      <c r="AN69" s="208"/>
      <c r="AO69" s="119"/>
    </row>
    <row r="70" ht="15.75" customHeight="1"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215"/>
      <c r="P70" s="216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M70" s="119"/>
      <c r="AN70" s="208"/>
      <c r="AO70" s="119"/>
    </row>
    <row r="71" ht="15.75" customHeight="1"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215"/>
      <c r="P71" s="216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M71" s="119"/>
      <c r="AN71" s="208"/>
      <c r="AO71" s="119"/>
    </row>
    <row r="72" ht="15.75" customHeight="1"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215"/>
      <c r="P72" s="216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M72" s="119"/>
      <c r="AN72" s="208"/>
      <c r="AO72" s="119"/>
    </row>
    <row r="73" ht="15.75" customHeight="1"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215"/>
      <c r="P73" s="216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M73" s="119"/>
      <c r="AN73" s="208"/>
      <c r="AO73" s="119"/>
    </row>
    <row r="74" ht="15.75" customHeight="1"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215"/>
      <c r="P74" s="216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M74" s="119"/>
      <c r="AN74" s="208"/>
      <c r="AO74" s="119"/>
    </row>
    <row r="75" ht="15.75" customHeight="1"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215"/>
      <c r="P75" s="216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M75" s="119"/>
      <c r="AN75" s="208"/>
      <c r="AO75" s="119"/>
    </row>
    <row r="76" ht="15.75" customHeight="1"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215"/>
      <c r="P76" s="216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M76" s="119"/>
      <c r="AN76" s="208"/>
      <c r="AO76" s="119"/>
    </row>
    <row r="77" ht="15.75" customHeight="1"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215"/>
      <c r="P77" s="216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M77" s="119"/>
      <c r="AN77" s="208"/>
      <c r="AO77" s="119"/>
    </row>
    <row r="78" ht="15.75" customHeight="1"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215"/>
      <c r="P78" s="216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M78" s="119"/>
      <c r="AN78" s="208"/>
      <c r="AO78" s="119"/>
    </row>
    <row r="79" ht="15.75" customHeight="1"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215"/>
      <c r="P79" s="216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M79" s="119"/>
      <c r="AN79" s="208"/>
      <c r="AO79" s="119"/>
    </row>
    <row r="80" ht="15.75" customHeight="1"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215"/>
      <c r="P80" s="216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M80" s="119"/>
      <c r="AN80" s="208"/>
      <c r="AO80" s="119"/>
    </row>
    <row r="81" ht="15.75" customHeight="1"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215"/>
      <c r="P81" s="216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M81" s="119"/>
      <c r="AN81" s="208"/>
      <c r="AO81" s="119"/>
    </row>
    <row r="82" ht="15.75" customHeight="1"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215"/>
      <c r="P82" s="216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M82" s="119"/>
      <c r="AN82" s="208"/>
      <c r="AO82" s="119"/>
    </row>
    <row r="83" ht="15.75" customHeight="1"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215"/>
      <c r="P83" s="216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M83" s="119"/>
      <c r="AN83" s="208"/>
      <c r="AO83" s="119"/>
    </row>
    <row r="84" ht="15.75" customHeight="1"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215"/>
      <c r="P84" s="216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M84" s="119"/>
      <c r="AN84" s="208"/>
      <c r="AO84" s="119"/>
    </row>
    <row r="85" ht="15.75" customHeight="1"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215"/>
      <c r="P85" s="216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M85" s="119"/>
      <c r="AN85" s="208"/>
      <c r="AO85" s="119"/>
    </row>
    <row r="86" ht="15.75" customHeight="1"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215"/>
      <c r="P86" s="216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M86" s="119"/>
      <c r="AN86" s="208"/>
      <c r="AO86" s="119"/>
    </row>
    <row r="87" ht="15.75" customHeight="1"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215"/>
      <c r="P87" s="216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M87" s="119"/>
      <c r="AN87" s="208"/>
      <c r="AO87" s="119"/>
    </row>
    <row r="88" ht="15.75" customHeight="1"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215"/>
      <c r="P88" s="216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M88" s="119"/>
      <c r="AN88" s="208"/>
      <c r="AO88" s="119"/>
    </row>
    <row r="89" ht="15.75" customHeight="1"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215"/>
      <c r="P89" s="216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M89" s="119"/>
      <c r="AN89" s="208"/>
      <c r="AO89" s="119"/>
    </row>
    <row r="90" ht="15.75" customHeight="1"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215"/>
      <c r="P90" s="216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M90" s="119"/>
      <c r="AN90" s="208"/>
      <c r="AO90" s="119"/>
    </row>
    <row r="91" ht="15.75" customHeight="1"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215"/>
      <c r="P91" s="216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M91" s="119"/>
      <c r="AN91" s="208"/>
      <c r="AO91" s="119"/>
    </row>
    <row r="92" ht="15.75" customHeight="1"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215"/>
      <c r="P92" s="216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M92" s="119"/>
      <c r="AN92" s="208"/>
      <c r="AO92" s="119"/>
    </row>
    <row r="93" ht="15.75" customHeight="1"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215"/>
      <c r="P93" s="216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M93" s="119"/>
      <c r="AN93" s="208"/>
      <c r="AO93" s="119"/>
    </row>
    <row r="94" ht="15.75" customHeight="1"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215"/>
      <c r="P94" s="216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M94" s="119"/>
      <c r="AN94" s="208"/>
      <c r="AO94" s="119"/>
    </row>
    <row r="95" ht="15.75" customHeight="1"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215"/>
      <c r="P95" s="216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M95" s="119"/>
      <c r="AN95" s="208"/>
      <c r="AO95" s="119"/>
    </row>
    <row r="96" ht="15.75" customHeight="1"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215"/>
      <c r="P96" s="216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M96" s="119"/>
      <c r="AN96" s="208"/>
      <c r="AO96" s="119"/>
    </row>
    <row r="97" ht="15.75" customHeight="1"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215"/>
      <c r="P97" s="216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M97" s="119"/>
      <c r="AN97" s="208"/>
      <c r="AO97" s="119"/>
    </row>
    <row r="98" ht="15.75" customHeight="1"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215"/>
      <c r="P98" s="216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M98" s="119"/>
      <c r="AN98" s="208"/>
      <c r="AO98" s="119"/>
    </row>
    <row r="99" ht="15.75" customHeight="1"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215"/>
      <c r="P99" s="216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M99" s="119"/>
      <c r="AN99" s="208"/>
      <c r="AO99" s="119"/>
    </row>
    <row r="100" ht="15.75" customHeight="1"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215"/>
      <c r="P100" s="216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M100" s="119"/>
      <c r="AN100" s="208"/>
      <c r="AO100" s="119"/>
    </row>
    <row r="101" ht="15.75" customHeight="1"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215"/>
      <c r="P101" s="216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M101" s="119"/>
      <c r="AN101" s="208"/>
      <c r="AO101" s="119"/>
    </row>
    <row r="102" ht="15.75" customHeight="1"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215"/>
      <c r="P102" s="216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M102" s="119"/>
      <c r="AN102" s="208"/>
      <c r="AO102" s="119"/>
    </row>
    <row r="103" ht="15.75" customHeight="1"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215"/>
      <c r="P103" s="216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M103" s="119"/>
      <c r="AN103" s="208"/>
      <c r="AO103" s="119"/>
    </row>
    <row r="104" ht="15.75" customHeight="1"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215"/>
      <c r="P104" s="216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M104" s="119"/>
      <c r="AN104" s="208"/>
      <c r="AO104" s="119"/>
    </row>
    <row r="105" ht="15.75" customHeight="1"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215"/>
      <c r="P105" s="216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M105" s="119"/>
      <c r="AN105" s="208"/>
      <c r="AO105" s="119"/>
    </row>
    <row r="106" ht="15.75" customHeight="1"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215"/>
      <c r="P106" s="216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M106" s="119"/>
      <c r="AN106" s="208"/>
      <c r="AO106" s="119"/>
    </row>
    <row r="107" ht="15.75" customHeight="1"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215"/>
      <c r="P107" s="216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M107" s="119"/>
      <c r="AN107" s="208"/>
      <c r="AO107" s="119"/>
    </row>
    <row r="108" ht="15.75" customHeight="1"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215"/>
      <c r="P108" s="216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M108" s="119"/>
      <c r="AN108" s="208"/>
      <c r="AO108" s="119"/>
    </row>
    <row r="109" ht="15.75" customHeight="1"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215"/>
      <c r="P109" s="216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M109" s="119"/>
      <c r="AN109" s="208"/>
      <c r="AO109" s="119"/>
    </row>
    <row r="110" ht="15.75" customHeight="1"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215"/>
      <c r="P110" s="216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M110" s="119"/>
      <c r="AN110" s="208"/>
      <c r="AO110" s="119"/>
    </row>
    <row r="111" ht="15.75" customHeight="1"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215"/>
      <c r="P111" s="216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M111" s="119"/>
      <c r="AN111" s="208"/>
      <c r="AO111" s="119"/>
    </row>
    <row r="112" ht="15.75" customHeight="1"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215"/>
      <c r="P112" s="216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M112" s="119"/>
      <c r="AN112" s="208"/>
      <c r="AO112" s="119"/>
    </row>
    <row r="113" ht="15.75" customHeight="1"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215"/>
      <c r="P113" s="216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M113" s="119"/>
      <c r="AN113" s="208"/>
      <c r="AO113" s="119"/>
    </row>
    <row r="114" ht="15.75" customHeight="1"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215"/>
      <c r="P114" s="216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M114" s="119"/>
      <c r="AN114" s="208"/>
      <c r="AO114" s="119"/>
    </row>
    <row r="115" ht="15.75" customHeight="1"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215"/>
      <c r="P115" s="216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M115" s="119"/>
      <c r="AN115" s="208"/>
      <c r="AO115" s="119"/>
    </row>
    <row r="116" ht="15.75" customHeight="1"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215"/>
      <c r="P116" s="216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M116" s="119"/>
      <c r="AN116" s="208"/>
      <c r="AO116" s="119"/>
    </row>
    <row r="117" ht="15.75" customHeight="1"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215"/>
      <c r="P117" s="216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M117" s="119"/>
      <c r="AN117" s="208"/>
      <c r="AO117" s="119"/>
    </row>
    <row r="118" ht="15.75" customHeight="1"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215"/>
      <c r="P118" s="216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M118" s="119"/>
      <c r="AN118" s="208"/>
      <c r="AO118" s="119"/>
    </row>
    <row r="119" ht="15.75" customHeight="1"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215"/>
      <c r="P119" s="216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M119" s="119"/>
      <c r="AN119" s="208"/>
      <c r="AO119" s="119"/>
    </row>
    <row r="120" ht="15.75" customHeight="1"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215"/>
      <c r="P120" s="216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M120" s="119"/>
      <c r="AN120" s="208"/>
      <c r="AO120" s="119"/>
    </row>
    <row r="121" ht="15.75" customHeight="1"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215"/>
      <c r="P121" s="216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M121" s="119"/>
      <c r="AN121" s="208"/>
      <c r="AO121" s="119"/>
    </row>
    <row r="122" ht="15.75" customHeight="1"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215"/>
      <c r="P122" s="216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M122" s="119"/>
      <c r="AN122" s="208"/>
      <c r="AO122" s="119"/>
    </row>
    <row r="123" ht="15.75" customHeight="1"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215"/>
      <c r="P123" s="216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M123" s="119"/>
      <c r="AN123" s="208"/>
      <c r="AO123" s="119"/>
    </row>
    <row r="124" ht="15.75" customHeight="1"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215"/>
      <c r="P124" s="216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M124" s="119"/>
      <c r="AN124" s="208"/>
      <c r="AO124" s="119"/>
    </row>
    <row r="125" ht="15.75" customHeight="1"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215"/>
      <c r="P125" s="216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M125" s="119"/>
      <c r="AN125" s="208"/>
      <c r="AO125" s="119"/>
    </row>
    <row r="126" ht="15.75" customHeight="1"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215"/>
      <c r="P126" s="216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M126" s="119"/>
      <c r="AN126" s="208"/>
      <c r="AO126" s="119"/>
    </row>
    <row r="127" ht="15.75" customHeight="1"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215"/>
      <c r="P127" s="216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M127" s="119"/>
      <c r="AN127" s="208"/>
      <c r="AO127" s="119"/>
    </row>
    <row r="128" ht="15.75" customHeight="1"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215"/>
      <c r="P128" s="216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M128" s="119"/>
      <c r="AN128" s="208"/>
      <c r="AO128" s="119"/>
    </row>
    <row r="129" ht="15.75" customHeight="1"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215"/>
      <c r="P129" s="216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M129" s="119"/>
      <c r="AN129" s="208"/>
      <c r="AO129" s="119"/>
    </row>
    <row r="130" ht="15.75" customHeight="1"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215"/>
      <c r="P130" s="216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M130" s="119"/>
      <c r="AN130" s="208"/>
      <c r="AO130" s="119"/>
    </row>
    <row r="131" ht="15.75" customHeight="1"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215"/>
      <c r="P131" s="216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M131" s="119"/>
      <c r="AN131" s="208"/>
      <c r="AO131" s="119"/>
    </row>
    <row r="132" ht="15.75" customHeight="1"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215"/>
      <c r="P132" s="216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M132" s="119"/>
      <c r="AN132" s="208"/>
      <c r="AO132" s="119"/>
    </row>
    <row r="133" ht="15.75" customHeight="1"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215"/>
      <c r="P133" s="216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M133" s="119"/>
      <c r="AN133" s="208"/>
      <c r="AO133" s="119"/>
    </row>
    <row r="134" ht="15.75" customHeight="1"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215"/>
      <c r="P134" s="216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M134" s="119"/>
      <c r="AN134" s="208"/>
      <c r="AO134" s="119"/>
    </row>
    <row r="135" ht="15.75" customHeight="1"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215"/>
      <c r="P135" s="216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M135" s="119"/>
      <c r="AN135" s="208"/>
      <c r="AO135" s="119"/>
    </row>
    <row r="136" ht="15.75" customHeight="1"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215"/>
      <c r="P136" s="216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M136" s="119"/>
      <c r="AN136" s="208"/>
      <c r="AO136" s="119"/>
    </row>
    <row r="137" ht="15.75" customHeight="1"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215"/>
      <c r="P137" s="216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M137" s="119"/>
      <c r="AN137" s="208"/>
      <c r="AO137" s="119"/>
    </row>
    <row r="138" ht="15.75" customHeight="1"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215"/>
      <c r="P138" s="216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M138" s="119"/>
      <c r="AN138" s="208"/>
      <c r="AO138" s="119"/>
    </row>
    <row r="139" ht="15.75" customHeight="1"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215"/>
      <c r="P139" s="216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M139" s="119"/>
      <c r="AN139" s="208"/>
      <c r="AO139" s="119"/>
    </row>
    <row r="140" ht="15.75" customHeight="1"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215"/>
      <c r="P140" s="216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M140" s="119"/>
      <c r="AN140" s="208"/>
      <c r="AO140" s="119"/>
    </row>
    <row r="141" ht="15.75" customHeight="1"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215"/>
      <c r="P141" s="216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M141" s="119"/>
      <c r="AN141" s="208"/>
      <c r="AO141" s="119"/>
    </row>
    <row r="142" ht="15.75" customHeight="1"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215"/>
      <c r="P142" s="216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M142" s="119"/>
      <c r="AN142" s="208"/>
      <c r="AO142" s="119"/>
    </row>
    <row r="143" ht="15.75" customHeight="1"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215"/>
      <c r="P143" s="216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M143" s="119"/>
      <c r="AN143" s="208"/>
      <c r="AO143" s="119"/>
    </row>
    <row r="144" ht="15.75" customHeight="1"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215"/>
      <c r="P144" s="216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M144" s="119"/>
      <c r="AN144" s="208"/>
      <c r="AO144" s="119"/>
    </row>
    <row r="145" ht="15.75" customHeight="1"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215"/>
      <c r="P145" s="216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M145" s="119"/>
      <c r="AN145" s="208"/>
      <c r="AO145" s="119"/>
    </row>
    <row r="146" ht="15.75" customHeight="1"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215"/>
      <c r="P146" s="216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M146" s="119"/>
      <c r="AN146" s="208"/>
      <c r="AO146" s="119"/>
    </row>
    <row r="147" ht="15.75" customHeight="1"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215"/>
      <c r="P147" s="216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M147" s="119"/>
      <c r="AN147" s="208"/>
      <c r="AO147" s="119"/>
    </row>
    <row r="148" ht="15.75" customHeight="1"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215"/>
      <c r="P148" s="216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M148" s="119"/>
      <c r="AN148" s="208"/>
      <c r="AO148" s="119"/>
    </row>
    <row r="149" ht="15.75" customHeight="1"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215"/>
      <c r="P149" s="216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M149" s="119"/>
      <c r="AN149" s="208"/>
      <c r="AO149" s="119"/>
    </row>
    <row r="150" ht="15.75" customHeight="1"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215"/>
      <c r="P150" s="216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M150" s="119"/>
      <c r="AN150" s="208"/>
      <c r="AO150" s="119"/>
    </row>
    <row r="151" ht="15.75" customHeight="1"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215"/>
      <c r="P151" s="216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M151" s="119"/>
      <c r="AN151" s="208"/>
      <c r="AO151" s="119"/>
    </row>
    <row r="152" ht="15.75" customHeight="1"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215"/>
      <c r="P152" s="216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M152" s="119"/>
      <c r="AN152" s="208"/>
      <c r="AO152" s="119"/>
    </row>
    <row r="153" ht="15.75" customHeight="1"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215"/>
      <c r="P153" s="216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M153" s="119"/>
      <c r="AN153" s="208"/>
      <c r="AO153" s="119"/>
    </row>
    <row r="154" ht="15.75" customHeight="1"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215"/>
      <c r="P154" s="216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M154" s="119"/>
      <c r="AN154" s="208"/>
      <c r="AO154" s="119"/>
    </row>
    <row r="155" ht="15.75" customHeight="1"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215"/>
      <c r="P155" s="216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M155" s="119"/>
      <c r="AN155" s="208"/>
      <c r="AO155" s="119"/>
    </row>
    <row r="156" ht="15.75" customHeight="1"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215"/>
      <c r="P156" s="216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M156" s="119"/>
      <c r="AN156" s="208"/>
      <c r="AO156" s="119"/>
    </row>
    <row r="157" ht="15.75" customHeight="1"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215"/>
      <c r="P157" s="216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M157" s="119"/>
      <c r="AN157" s="208"/>
      <c r="AO157" s="119"/>
    </row>
    <row r="158" ht="15.75" customHeight="1"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215"/>
      <c r="P158" s="216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M158" s="119"/>
      <c r="AN158" s="208"/>
      <c r="AO158" s="119"/>
    </row>
    <row r="159" ht="15.75" customHeight="1"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215"/>
      <c r="P159" s="216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M159" s="119"/>
      <c r="AN159" s="208"/>
      <c r="AO159" s="119"/>
    </row>
    <row r="160" ht="15.75" customHeight="1"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215"/>
      <c r="P160" s="216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M160" s="119"/>
      <c r="AN160" s="208"/>
      <c r="AO160" s="119"/>
    </row>
    <row r="161" ht="15.75" customHeight="1"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215"/>
      <c r="P161" s="216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M161" s="119"/>
      <c r="AN161" s="208"/>
      <c r="AO161" s="119"/>
    </row>
    <row r="162" ht="15.75" customHeight="1"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215"/>
      <c r="P162" s="216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M162" s="119"/>
      <c r="AN162" s="208"/>
      <c r="AO162" s="119"/>
    </row>
    <row r="163" ht="15.75" customHeight="1"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215"/>
      <c r="P163" s="216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M163" s="119"/>
      <c r="AN163" s="208"/>
      <c r="AO163" s="119"/>
    </row>
    <row r="164" ht="15.75" customHeight="1"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215"/>
      <c r="P164" s="216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M164" s="119"/>
      <c r="AN164" s="208"/>
      <c r="AO164" s="119"/>
    </row>
    <row r="165" ht="15.75" customHeight="1"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215"/>
      <c r="P165" s="216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M165" s="119"/>
      <c r="AN165" s="208"/>
      <c r="AO165" s="119"/>
    </row>
    <row r="166" ht="15.75" customHeight="1"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215"/>
      <c r="P166" s="216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M166" s="119"/>
      <c r="AN166" s="208"/>
      <c r="AO166" s="119"/>
    </row>
    <row r="167" ht="15.75" customHeight="1"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215"/>
      <c r="P167" s="216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M167" s="119"/>
      <c r="AN167" s="208"/>
      <c r="AO167" s="119"/>
    </row>
    <row r="168" ht="15.75" customHeight="1"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215"/>
      <c r="P168" s="216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M168" s="119"/>
      <c r="AN168" s="208"/>
      <c r="AO168" s="119"/>
    </row>
    <row r="169" ht="15.75" customHeight="1"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215"/>
      <c r="P169" s="216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M169" s="119"/>
      <c r="AN169" s="208"/>
      <c r="AO169" s="119"/>
    </row>
    <row r="170" ht="15.75" customHeight="1"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215"/>
      <c r="P170" s="216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M170" s="119"/>
      <c r="AN170" s="208"/>
      <c r="AO170" s="119"/>
    </row>
    <row r="171" ht="15.75" customHeight="1"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215"/>
      <c r="P171" s="216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M171" s="119"/>
      <c r="AN171" s="208"/>
      <c r="AO171" s="119"/>
    </row>
    <row r="172" ht="15.75" customHeight="1"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215"/>
      <c r="P172" s="216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M172" s="119"/>
      <c r="AN172" s="208"/>
      <c r="AO172" s="119"/>
    </row>
    <row r="173" ht="15.75" customHeight="1"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215"/>
      <c r="P173" s="216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M173" s="119"/>
      <c r="AN173" s="208"/>
      <c r="AO173" s="119"/>
    </row>
    <row r="174" ht="15.75" customHeight="1"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215"/>
      <c r="P174" s="216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M174" s="119"/>
      <c r="AN174" s="208"/>
      <c r="AO174" s="119"/>
    </row>
    <row r="175" ht="15.75" customHeight="1"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215"/>
      <c r="P175" s="216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M175" s="119"/>
      <c r="AN175" s="208"/>
      <c r="AO175" s="119"/>
    </row>
    <row r="176" ht="15.75" customHeight="1"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215"/>
      <c r="P176" s="216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M176" s="119"/>
      <c r="AN176" s="208"/>
      <c r="AO176" s="119"/>
    </row>
    <row r="177" ht="15.75" customHeight="1"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215"/>
      <c r="P177" s="216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M177" s="119"/>
      <c r="AN177" s="208"/>
      <c r="AO177" s="119"/>
    </row>
    <row r="178" ht="15.75" customHeight="1"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215"/>
      <c r="P178" s="216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M178" s="119"/>
      <c r="AN178" s="208"/>
      <c r="AO178" s="119"/>
    </row>
    <row r="179" ht="15.75" customHeight="1"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215"/>
      <c r="P179" s="216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M179" s="119"/>
      <c r="AN179" s="208"/>
      <c r="AO179" s="119"/>
    </row>
    <row r="180" ht="15.75" customHeight="1"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215"/>
      <c r="P180" s="216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M180" s="119"/>
      <c r="AN180" s="208"/>
      <c r="AO180" s="119"/>
    </row>
    <row r="181" ht="15.75" customHeight="1"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215"/>
      <c r="P181" s="216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M181" s="119"/>
      <c r="AN181" s="208"/>
      <c r="AO181" s="119"/>
    </row>
    <row r="182" ht="15.75" customHeight="1"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215"/>
      <c r="P182" s="216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M182" s="119"/>
      <c r="AN182" s="208"/>
      <c r="AO182" s="119"/>
    </row>
    <row r="183" ht="15.75" customHeight="1"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215"/>
      <c r="P183" s="216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M183" s="119"/>
      <c r="AN183" s="208"/>
      <c r="AO183" s="119"/>
    </row>
    <row r="184" ht="15.75" customHeight="1"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215"/>
      <c r="P184" s="216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M184" s="119"/>
      <c r="AN184" s="208"/>
      <c r="AO184" s="119"/>
    </row>
    <row r="185" ht="15.75" customHeight="1"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215"/>
      <c r="P185" s="216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M185" s="119"/>
      <c r="AN185" s="208"/>
      <c r="AO185" s="119"/>
    </row>
    <row r="186" ht="15.75" customHeight="1"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215"/>
      <c r="P186" s="216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M186" s="119"/>
      <c r="AN186" s="208"/>
      <c r="AO186" s="119"/>
    </row>
    <row r="187" ht="15.75" customHeight="1"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215"/>
      <c r="P187" s="216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M187" s="119"/>
      <c r="AN187" s="208"/>
      <c r="AO187" s="119"/>
    </row>
    <row r="188" ht="15.75" customHeight="1"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215"/>
      <c r="P188" s="216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M188" s="119"/>
      <c r="AN188" s="208"/>
      <c r="AO188" s="119"/>
    </row>
    <row r="189" ht="15.75" customHeight="1"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215"/>
      <c r="P189" s="216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M189" s="119"/>
      <c r="AN189" s="208"/>
      <c r="AO189" s="119"/>
    </row>
    <row r="190" ht="15.75" customHeight="1"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215"/>
      <c r="P190" s="216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M190" s="119"/>
      <c r="AN190" s="208"/>
      <c r="AO190" s="119"/>
    </row>
    <row r="191" ht="15.75" customHeight="1"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215"/>
      <c r="P191" s="216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  <c r="AD191" s="119"/>
      <c r="AE191" s="119"/>
      <c r="AF191" s="119"/>
      <c r="AM191" s="119"/>
      <c r="AN191" s="208"/>
      <c r="AO191" s="119"/>
    </row>
    <row r="192" ht="15.75" customHeight="1"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215"/>
      <c r="P192" s="216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  <c r="AD192" s="119"/>
      <c r="AE192" s="119"/>
      <c r="AF192" s="119"/>
      <c r="AM192" s="119"/>
      <c r="AN192" s="208"/>
      <c r="AO192" s="119"/>
    </row>
    <row r="193" ht="15.75" customHeight="1"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215"/>
      <c r="P193" s="216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M193" s="119"/>
      <c r="AN193" s="208"/>
      <c r="AO193" s="119"/>
    </row>
    <row r="194" ht="15.75" customHeight="1"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215"/>
      <c r="P194" s="216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  <c r="AD194" s="119"/>
      <c r="AE194" s="119"/>
      <c r="AF194" s="119"/>
      <c r="AM194" s="119"/>
      <c r="AN194" s="208"/>
      <c r="AO194" s="119"/>
    </row>
    <row r="195" ht="15.75" customHeight="1"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215"/>
      <c r="P195" s="216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  <c r="AD195" s="119"/>
      <c r="AE195" s="119"/>
      <c r="AF195" s="119"/>
      <c r="AM195" s="119"/>
      <c r="AN195" s="208"/>
      <c r="AO195" s="119"/>
    </row>
    <row r="196" ht="15.75" customHeight="1"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215"/>
      <c r="P196" s="216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  <c r="AD196" s="119"/>
      <c r="AE196" s="119"/>
      <c r="AF196" s="119"/>
      <c r="AM196" s="119"/>
      <c r="AN196" s="208"/>
      <c r="AO196" s="119"/>
    </row>
    <row r="197" ht="15.75" customHeight="1"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215"/>
      <c r="P197" s="216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  <c r="AD197" s="119"/>
      <c r="AE197" s="119"/>
      <c r="AF197" s="119"/>
      <c r="AM197" s="119"/>
      <c r="AN197" s="208"/>
      <c r="AO197" s="119"/>
    </row>
    <row r="198" ht="15.75" customHeight="1"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215"/>
      <c r="P198" s="216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E198" s="119"/>
      <c r="AF198" s="119"/>
      <c r="AM198" s="119"/>
      <c r="AN198" s="208"/>
      <c r="AO198" s="119"/>
    </row>
    <row r="199" ht="15.75" customHeight="1"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215"/>
      <c r="P199" s="216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E199" s="119"/>
      <c r="AF199" s="119"/>
      <c r="AM199" s="119"/>
      <c r="AN199" s="208"/>
      <c r="AO199" s="119"/>
    </row>
    <row r="200" ht="15.75" customHeight="1"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215"/>
      <c r="P200" s="216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  <c r="AD200" s="119"/>
      <c r="AE200" s="119"/>
      <c r="AF200" s="119"/>
      <c r="AM200" s="119"/>
      <c r="AN200" s="208"/>
      <c r="AO200" s="119"/>
    </row>
    <row r="201" ht="15.75" customHeight="1"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215"/>
      <c r="P201" s="216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M201" s="119"/>
      <c r="AN201" s="208"/>
      <c r="AO201" s="119"/>
    </row>
    <row r="202" ht="15.75" customHeight="1"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215"/>
      <c r="P202" s="216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  <c r="AD202" s="119"/>
      <c r="AE202" s="119"/>
      <c r="AF202" s="119"/>
      <c r="AM202" s="119"/>
      <c r="AN202" s="208"/>
      <c r="AO202" s="119"/>
    </row>
    <row r="203" ht="15.75" customHeight="1"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215"/>
      <c r="P203" s="216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M203" s="119"/>
      <c r="AN203" s="208"/>
      <c r="AO203" s="119"/>
    </row>
    <row r="204" ht="15.75" customHeight="1"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215"/>
      <c r="P204" s="216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E204" s="119"/>
      <c r="AF204" s="119"/>
      <c r="AM204" s="119"/>
      <c r="AN204" s="208"/>
      <c r="AO204" s="119"/>
    </row>
    <row r="205" ht="15.75" customHeight="1"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215"/>
      <c r="P205" s="216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M205" s="119"/>
      <c r="AN205" s="208"/>
      <c r="AO205" s="119"/>
    </row>
    <row r="206" ht="15.75" customHeight="1"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215"/>
      <c r="P206" s="216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M206" s="119"/>
      <c r="AN206" s="208"/>
      <c r="AO206" s="119"/>
    </row>
    <row r="207" ht="15.75" customHeight="1"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215"/>
      <c r="P207" s="216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M207" s="119"/>
      <c r="AN207" s="208"/>
      <c r="AO207" s="119"/>
    </row>
    <row r="208" ht="15.75" customHeight="1"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215"/>
      <c r="P208" s="216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/>
      <c r="AF208" s="119"/>
      <c r="AM208" s="119"/>
      <c r="AN208" s="208"/>
      <c r="AO208" s="119"/>
    </row>
    <row r="209" ht="15.75" customHeight="1"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215"/>
      <c r="P209" s="216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/>
      <c r="AF209" s="119"/>
      <c r="AM209" s="119"/>
      <c r="AN209" s="208"/>
      <c r="AO209" s="119"/>
    </row>
    <row r="210" ht="15.75" customHeight="1"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215"/>
      <c r="P210" s="216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/>
      <c r="AF210" s="119"/>
      <c r="AM210" s="119"/>
      <c r="AN210" s="208"/>
      <c r="AO210" s="119"/>
    </row>
    <row r="211" ht="15.75" customHeight="1"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215"/>
      <c r="P211" s="216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/>
      <c r="AF211" s="119"/>
      <c r="AM211" s="119"/>
      <c r="AN211" s="208"/>
      <c r="AO211" s="119"/>
    </row>
    <row r="212" ht="15.75" customHeight="1"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215"/>
      <c r="P212" s="216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M212" s="119"/>
      <c r="AN212" s="208"/>
      <c r="AO212" s="119"/>
    </row>
    <row r="213" ht="15.75" customHeight="1"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215"/>
      <c r="P213" s="216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  <c r="AD213" s="119"/>
      <c r="AE213" s="119"/>
      <c r="AF213" s="119"/>
      <c r="AM213" s="119"/>
      <c r="AN213" s="208"/>
      <c r="AO213" s="119"/>
    </row>
    <row r="214" ht="15.75" customHeight="1"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215"/>
      <c r="P214" s="216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  <c r="AD214" s="119"/>
      <c r="AE214" s="119"/>
      <c r="AF214" s="119"/>
      <c r="AM214" s="119"/>
      <c r="AN214" s="208"/>
      <c r="AO214" s="119"/>
    </row>
    <row r="215" ht="15.75" customHeight="1"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215"/>
      <c r="P215" s="216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M215" s="119"/>
      <c r="AN215" s="208"/>
      <c r="AO215" s="119"/>
    </row>
    <row r="216" ht="15.75" customHeight="1"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215"/>
      <c r="P216" s="216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M216" s="119"/>
      <c r="AN216" s="208"/>
      <c r="AO216" s="119"/>
    </row>
    <row r="217" ht="15.75" customHeight="1"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215"/>
      <c r="P217" s="216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M217" s="119"/>
      <c r="AN217" s="208"/>
      <c r="AO217" s="119"/>
    </row>
    <row r="218" ht="15.75" customHeight="1"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215"/>
      <c r="P218" s="216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M218" s="119"/>
      <c r="AN218" s="208"/>
      <c r="AO218" s="119"/>
    </row>
    <row r="219" ht="15.75" customHeight="1"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215"/>
      <c r="P219" s="216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M219" s="119"/>
      <c r="AN219" s="208"/>
      <c r="AO219" s="119"/>
    </row>
    <row r="220" ht="15.75" customHeight="1"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215"/>
      <c r="P220" s="216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M220" s="119"/>
      <c r="AN220" s="208"/>
      <c r="AO220" s="119"/>
    </row>
    <row r="221" ht="15.75" customHeight="1"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215"/>
      <c r="P221" s="216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M221" s="119"/>
      <c r="AN221" s="208"/>
      <c r="AO221" s="119"/>
    </row>
    <row r="222" ht="15.75" customHeight="1"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215"/>
      <c r="P222" s="216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M222" s="119"/>
      <c r="AN222" s="208"/>
      <c r="AO222" s="119"/>
    </row>
    <row r="223" ht="15.75" customHeight="1"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215"/>
      <c r="P223" s="216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M223" s="119"/>
      <c r="AN223" s="208"/>
      <c r="AO223" s="119"/>
    </row>
    <row r="224" ht="15.75" customHeight="1"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215"/>
      <c r="P224" s="216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/>
      <c r="AM224" s="119"/>
      <c r="AN224" s="208"/>
      <c r="AO224" s="119"/>
    </row>
    <row r="225" ht="15.75" customHeight="1"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215"/>
      <c r="P225" s="216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M225" s="119"/>
      <c r="AN225" s="208"/>
      <c r="AO225" s="119"/>
    </row>
    <row r="226" ht="15.75" customHeight="1"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215"/>
      <c r="P226" s="216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M226" s="119"/>
      <c r="AN226" s="208"/>
      <c r="AO226" s="119"/>
    </row>
    <row r="227" ht="15.75" customHeight="1"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215"/>
      <c r="P227" s="216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M227" s="119"/>
      <c r="AN227" s="208"/>
      <c r="AO227" s="119"/>
    </row>
    <row r="228" ht="15.75" customHeight="1"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215"/>
      <c r="P228" s="216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M228" s="119"/>
      <c r="AN228" s="208"/>
      <c r="AO228" s="119"/>
    </row>
    <row r="229" ht="15.75" customHeight="1"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215"/>
      <c r="P229" s="216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M229" s="119"/>
      <c r="AN229" s="208"/>
      <c r="AO229" s="119"/>
    </row>
    <row r="230" ht="15.75" customHeight="1"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215"/>
      <c r="P230" s="216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M230" s="119"/>
      <c r="AN230" s="208"/>
      <c r="AO230" s="119"/>
    </row>
    <row r="231" ht="15.75" customHeight="1"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215"/>
      <c r="P231" s="216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M231" s="119"/>
      <c r="AN231" s="208"/>
      <c r="AO231" s="119"/>
    </row>
    <row r="232" ht="15.75" customHeight="1"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215"/>
      <c r="P232" s="216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M232" s="119"/>
      <c r="AN232" s="208"/>
      <c r="AO232" s="119"/>
    </row>
    <row r="233" ht="15.75" customHeight="1"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215"/>
      <c r="P233" s="216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M233" s="119"/>
      <c r="AN233" s="208"/>
      <c r="AO233" s="119"/>
    </row>
    <row r="234" ht="15.75" customHeight="1"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215"/>
      <c r="P234" s="216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M234" s="119"/>
      <c r="AN234" s="208"/>
      <c r="AO234" s="119"/>
    </row>
    <row r="235" ht="15.75" customHeight="1"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215"/>
      <c r="P235" s="216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M235" s="119"/>
      <c r="AN235" s="208"/>
      <c r="AO235" s="119"/>
    </row>
    <row r="236" ht="15.75" customHeight="1"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215"/>
      <c r="P236" s="216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M236" s="119"/>
      <c r="AN236" s="208"/>
      <c r="AO236" s="119"/>
    </row>
    <row r="237" ht="15.75" customHeight="1"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215"/>
      <c r="P237" s="216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M237" s="119"/>
      <c r="AN237" s="208"/>
      <c r="AO237" s="119"/>
    </row>
    <row r="238" ht="15.75" customHeight="1"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215"/>
      <c r="P238" s="216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M238" s="119"/>
      <c r="AN238" s="208"/>
      <c r="AO238" s="119"/>
    </row>
    <row r="239" ht="15.75" customHeight="1"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215"/>
      <c r="P239" s="216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M239" s="119"/>
      <c r="AN239" s="208"/>
      <c r="AO239" s="119"/>
    </row>
    <row r="240" ht="15.75" customHeight="1"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215"/>
      <c r="P240" s="216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M240" s="119"/>
      <c r="AN240" s="208"/>
      <c r="AO240" s="119"/>
    </row>
    <row r="241" ht="15.75" customHeight="1"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215"/>
      <c r="P241" s="216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M241" s="119"/>
      <c r="AN241" s="208"/>
      <c r="AO241" s="119"/>
    </row>
    <row r="242" ht="15.75" customHeight="1"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215"/>
      <c r="P242" s="216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M242" s="119"/>
      <c r="AN242" s="208"/>
      <c r="AO242" s="119"/>
    </row>
    <row r="243" ht="15.75" customHeight="1"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215"/>
      <c r="P243" s="216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M243" s="119"/>
      <c r="AN243" s="208"/>
      <c r="AO243" s="119"/>
    </row>
    <row r="244" ht="15.75" customHeight="1"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215"/>
      <c r="P244" s="216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M244" s="119"/>
      <c r="AN244" s="208"/>
      <c r="AO244" s="119"/>
    </row>
    <row r="245" ht="15.75" customHeight="1"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215"/>
      <c r="P245" s="216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M245" s="119"/>
      <c r="AN245" s="208"/>
      <c r="AO245" s="119"/>
    </row>
    <row r="246" ht="15.75" customHeight="1"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215"/>
      <c r="P246" s="216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M246" s="119"/>
      <c r="AN246" s="208"/>
      <c r="AO246" s="119"/>
    </row>
    <row r="247" ht="15.75" customHeight="1"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215"/>
      <c r="P247" s="216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M247" s="119"/>
      <c r="AN247" s="208"/>
      <c r="AO247" s="119"/>
    </row>
    <row r="248" ht="15.75" customHeight="1"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215"/>
      <c r="P248" s="216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M248" s="119"/>
      <c r="AN248" s="208"/>
      <c r="AO248" s="119"/>
    </row>
    <row r="249" ht="15.75" customHeight="1"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215"/>
      <c r="P249" s="216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M249" s="119"/>
      <c r="AN249" s="208"/>
      <c r="AO249" s="119"/>
    </row>
    <row r="250" ht="15.75" customHeight="1"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215"/>
      <c r="P250" s="216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M250" s="119"/>
      <c r="AN250" s="208"/>
      <c r="AO250" s="119"/>
    </row>
    <row r="251" ht="15.75" customHeight="1"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215"/>
      <c r="P251" s="216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M251" s="119"/>
      <c r="AN251" s="208"/>
      <c r="AO251" s="119"/>
    </row>
    <row r="252" ht="15.75" customHeight="1"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215"/>
      <c r="P252" s="216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M252" s="119"/>
      <c r="AN252" s="208"/>
      <c r="AO252" s="119"/>
    </row>
    <row r="253" ht="15.75" customHeight="1"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215"/>
      <c r="P253" s="216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M253" s="119"/>
      <c r="AN253" s="208"/>
      <c r="AO253" s="119"/>
    </row>
    <row r="254" ht="15.75" customHeight="1"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215"/>
      <c r="P254" s="216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M254" s="119"/>
      <c r="AN254" s="208"/>
      <c r="AO254" s="119"/>
    </row>
    <row r="255" ht="15.75" customHeight="1"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215"/>
      <c r="P255" s="216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M255" s="119"/>
      <c r="AN255" s="208"/>
      <c r="AO255" s="119"/>
    </row>
    <row r="256" ht="15.75" customHeight="1"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215"/>
      <c r="P256" s="216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M256" s="119"/>
      <c r="AN256" s="208"/>
      <c r="AO256" s="119"/>
    </row>
    <row r="257" ht="15.75" customHeight="1"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215"/>
      <c r="P257" s="216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M257" s="119"/>
      <c r="AN257" s="208"/>
      <c r="AO257" s="119"/>
    </row>
    <row r="258" ht="15.75" customHeight="1"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215"/>
      <c r="P258" s="216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M258" s="119"/>
      <c r="AN258" s="208"/>
      <c r="AO258" s="119"/>
    </row>
    <row r="259" ht="15.75" customHeight="1"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215"/>
      <c r="P259" s="216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M259" s="119"/>
      <c r="AN259" s="208"/>
      <c r="AO259" s="119"/>
    </row>
    <row r="260" ht="15.75" customHeight="1"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215"/>
      <c r="P260" s="216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M260" s="119"/>
      <c r="AN260" s="208"/>
      <c r="AO260" s="119"/>
    </row>
    <row r="261" ht="15.75" customHeight="1"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215"/>
      <c r="P261" s="216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M261" s="119"/>
      <c r="AN261" s="208"/>
      <c r="AO261" s="119"/>
    </row>
    <row r="262" ht="15.75" customHeight="1"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215"/>
      <c r="P262" s="216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M262" s="119"/>
      <c r="AN262" s="208"/>
      <c r="AO262" s="119"/>
    </row>
    <row r="263" ht="15.75" customHeight="1"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215"/>
      <c r="P263" s="216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M263" s="119"/>
      <c r="AN263" s="208"/>
      <c r="AO263" s="119"/>
    </row>
    <row r="264" ht="15.75" customHeight="1"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215"/>
      <c r="P264" s="216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M264" s="119"/>
      <c r="AN264" s="208"/>
      <c r="AO264" s="119"/>
    </row>
    <row r="265" ht="15.75" customHeight="1"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215"/>
      <c r="P265" s="216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M265" s="119"/>
      <c r="AN265" s="208"/>
      <c r="AO265" s="119"/>
    </row>
    <row r="266" ht="15.75" customHeight="1"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215"/>
      <c r="P266" s="216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M266" s="119"/>
      <c r="AN266" s="208"/>
      <c r="AO266" s="119"/>
    </row>
    <row r="267" ht="15.75" customHeight="1"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215"/>
      <c r="P267" s="216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M267" s="119"/>
      <c r="AN267" s="208"/>
      <c r="AO267" s="119"/>
    </row>
    <row r="268" ht="15.75" customHeight="1"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215"/>
      <c r="P268" s="216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M268" s="119"/>
      <c r="AN268" s="208"/>
      <c r="AO268" s="119"/>
    </row>
    <row r="269" ht="15.75" customHeight="1"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215"/>
      <c r="P269" s="216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M269" s="119"/>
      <c r="AN269" s="208"/>
      <c r="AO269" s="119"/>
    </row>
    <row r="270" ht="15.75" customHeight="1"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215"/>
      <c r="P270" s="216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M270" s="119"/>
      <c r="AN270" s="208"/>
      <c r="AO270" s="119"/>
    </row>
    <row r="271" ht="15.75" customHeight="1"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215"/>
      <c r="P271" s="216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  <c r="AA271" s="119"/>
      <c r="AB271" s="119"/>
      <c r="AC271" s="119"/>
      <c r="AD271" s="119"/>
      <c r="AE271" s="119"/>
      <c r="AF271" s="119"/>
      <c r="AM271" s="119"/>
      <c r="AN271" s="208"/>
      <c r="AO271" s="119"/>
    </row>
    <row r="272" ht="15.75" customHeight="1"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215"/>
      <c r="P272" s="216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  <c r="AA272" s="119"/>
      <c r="AB272" s="119"/>
      <c r="AC272" s="119"/>
      <c r="AD272" s="119"/>
      <c r="AE272" s="119"/>
      <c r="AF272" s="119"/>
      <c r="AM272" s="119"/>
      <c r="AN272" s="208"/>
      <c r="AO272" s="119"/>
    </row>
    <row r="273" ht="15.75" customHeight="1"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215"/>
      <c r="P273" s="216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  <c r="AA273" s="119"/>
      <c r="AB273" s="119"/>
      <c r="AC273" s="119"/>
      <c r="AD273" s="119"/>
      <c r="AE273" s="119"/>
      <c r="AF273" s="119"/>
      <c r="AM273" s="119"/>
      <c r="AN273" s="208"/>
      <c r="AO273" s="119"/>
    </row>
    <row r="274" ht="15.75" customHeight="1"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215"/>
      <c r="P274" s="216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  <c r="AA274" s="119"/>
      <c r="AB274" s="119"/>
      <c r="AC274" s="119"/>
      <c r="AD274" s="119"/>
      <c r="AE274" s="119"/>
      <c r="AF274" s="119"/>
      <c r="AM274" s="119"/>
      <c r="AN274" s="208"/>
      <c r="AO274" s="119"/>
    </row>
    <row r="275" ht="15.75" customHeight="1"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215"/>
      <c r="P275" s="216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  <c r="AA275" s="119"/>
      <c r="AB275" s="119"/>
      <c r="AC275" s="119"/>
      <c r="AD275" s="119"/>
      <c r="AE275" s="119"/>
      <c r="AF275" s="119"/>
      <c r="AM275" s="119"/>
      <c r="AN275" s="208"/>
      <c r="AO275" s="119"/>
    </row>
    <row r="276" ht="15.75" customHeight="1"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215"/>
      <c r="P276" s="216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  <c r="AA276" s="119"/>
      <c r="AB276" s="119"/>
      <c r="AC276" s="119"/>
      <c r="AD276" s="119"/>
      <c r="AE276" s="119"/>
      <c r="AF276" s="119"/>
      <c r="AM276" s="119"/>
      <c r="AN276" s="208"/>
      <c r="AO276" s="119"/>
    </row>
    <row r="277" ht="15.75" customHeight="1"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215"/>
      <c r="P277" s="216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  <c r="AA277" s="119"/>
      <c r="AB277" s="119"/>
      <c r="AC277" s="119"/>
      <c r="AD277" s="119"/>
      <c r="AE277" s="119"/>
      <c r="AF277" s="119"/>
      <c r="AM277" s="119"/>
      <c r="AN277" s="208"/>
      <c r="AO277" s="119"/>
    </row>
    <row r="278" ht="15.75" customHeight="1"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215"/>
      <c r="P278" s="216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  <c r="AA278" s="119"/>
      <c r="AB278" s="119"/>
      <c r="AC278" s="119"/>
      <c r="AD278" s="119"/>
      <c r="AE278" s="119"/>
      <c r="AF278" s="119"/>
      <c r="AM278" s="119"/>
      <c r="AN278" s="208"/>
      <c r="AO278" s="119"/>
    </row>
    <row r="279" ht="15.75" customHeight="1"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215"/>
      <c r="P279" s="216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  <c r="AA279" s="119"/>
      <c r="AB279" s="119"/>
      <c r="AC279" s="119"/>
      <c r="AD279" s="119"/>
      <c r="AE279" s="119"/>
      <c r="AF279" s="119"/>
      <c r="AM279" s="119"/>
      <c r="AN279" s="208"/>
      <c r="AO279" s="119"/>
    </row>
    <row r="280" ht="15.75" customHeight="1"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215"/>
      <c r="P280" s="216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  <c r="AA280" s="119"/>
      <c r="AB280" s="119"/>
      <c r="AC280" s="119"/>
      <c r="AD280" s="119"/>
      <c r="AE280" s="119"/>
      <c r="AF280" s="119"/>
      <c r="AM280" s="119"/>
      <c r="AN280" s="208"/>
      <c r="AO280" s="119"/>
    </row>
    <row r="281" ht="15.75" customHeight="1"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215"/>
      <c r="P281" s="216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  <c r="AA281" s="119"/>
      <c r="AB281" s="119"/>
      <c r="AC281" s="119"/>
      <c r="AD281" s="119"/>
      <c r="AE281" s="119"/>
      <c r="AF281" s="119"/>
      <c r="AM281" s="119"/>
      <c r="AN281" s="208"/>
      <c r="AO281" s="119"/>
    </row>
    <row r="282" ht="15.75" customHeight="1"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215"/>
      <c r="P282" s="216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  <c r="AA282" s="119"/>
      <c r="AB282" s="119"/>
      <c r="AC282" s="119"/>
      <c r="AD282" s="119"/>
      <c r="AE282" s="119"/>
      <c r="AF282" s="119"/>
      <c r="AM282" s="119"/>
      <c r="AN282" s="208"/>
      <c r="AO282" s="119"/>
    </row>
    <row r="283" ht="15.75" customHeight="1"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215"/>
      <c r="P283" s="216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  <c r="AA283" s="119"/>
      <c r="AB283" s="119"/>
      <c r="AC283" s="119"/>
      <c r="AD283" s="119"/>
      <c r="AE283" s="119"/>
      <c r="AF283" s="119"/>
      <c r="AM283" s="119"/>
      <c r="AN283" s="208"/>
      <c r="AO283" s="119"/>
    </row>
    <row r="284" ht="15.75" customHeight="1"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215"/>
      <c r="P284" s="216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  <c r="AA284" s="119"/>
      <c r="AB284" s="119"/>
      <c r="AC284" s="119"/>
      <c r="AD284" s="119"/>
      <c r="AE284" s="119"/>
      <c r="AF284" s="119"/>
      <c r="AM284" s="119"/>
      <c r="AN284" s="208"/>
      <c r="AO284" s="119"/>
    </row>
    <row r="285" ht="15.75" customHeight="1"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215"/>
      <c r="P285" s="216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  <c r="AA285" s="119"/>
      <c r="AB285" s="119"/>
      <c r="AC285" s="119"/>
      <c r="AD285" s="119"/>
      <c r="AE285" s="119"/>
      <c r="AF285" s="119"/>
      <c r="AM285" s="119"/>
      <c r="AN285" s="208"/>
      <c r="AO285" s="119"/>
    </row>
    <row r="286" ht="15.75" customHeight="1"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215"/>
      <c r="P286" s="216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  <c r="AA286" s="119"/>
      <c r="AB286" s="119"/>
      <c r="AC286" s="119"/>
      <c r="AD286" s="119"/>
      <c r="AE286" s="119"/>
      <c r="AF286" s="119"/>
      <c r="AM286" s="119"/>
      <c r="AN286" s="208"/>
      <c r="AO286" s="119"/>
    </row>
    <row r="287" ht="15.75" customHeight="1"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215"/>
      <c r="P287" s="216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  <c r="AA287" s="119"/>
      <c r="AB287" s="119"/>
      <c r="AC287" s="119"/>
      <c r="AD287" s="119"/>
      <c r="AE287" s="119"/>
      <c r="AF287" s="119"/>
      <c r="AM287" s="119"/>
      <c r="AN287" s="208"/>
      <c r="AO287" s="119"/>
    </row>
    <row r="288" ht="15.75" customHeight="1"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215"/>
      <c r="P288" s="216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  <c r="AA288" s="119"/>
      <c r="AB288" s="119"/>
      <c r="AC288" s="119"/>
      <c r="AD288" s="119"/>
      <c r="AE288" s="119"/>
      <c r="AF288" s="119"/>
      <c r="AM288" s="119"/>
      <c r="AN288" s="208"/>
      <c r="AO288" s="119"/>
    </row>
    <row r="289" ht="15.75" customHeight="1"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215"/>
      <c r="P289" s="216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  <c r="AA289" s="119"/>
      <c r="AB289" s="119"/>
      <c r="AC289" s="119"/>
      <c r="AD289" s="119"/>
      <c r="AE289" s="119"/>
      <c r="AF289" s="119"/>
      <c r="AM289" s="119"/>
      <c r="AN289" s="208"/>
      <c r="AO289" s="119"/>
    </row>
    <row r="290" ht="15.75" customHeight="1"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215"/>
      <c r="P290" s="216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  <c r="AA290" s="119"/>
      <c r="AB290" s="119"/>
      <c r="AC290" s="119"/>
      <c r="AD290" s="119"/>
      <c r="AE290" s="119"/>
      <c r="AF290" s="119"/>
      <c r="AM290" s="119"/>
      <c r="AN290" s="208"/>
      <c r="AO290" s="119"/>
    </row>
    <row r="291" ht="15.75" customHeight="1"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215"/>
      <c r="P291" s="216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  <c r="AA291" s="119"/>
      <c r="AB291" s="119"/>
      <c r="AC291" s="119"/>
      <c r="AD291" s="119"/>
      <c r="AE291" s="119"/>
      <c r="AF291" s="119"/>
      <c r="AM291" s="119"/>
      <c r="AN291" s="208"/>
      <c r="AO291" s="119"/>
    </row>
    <row r="292" ht="15.75" customHeight="1"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215"/>
      <c r="P292" s="216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  <c r="AA292" s="119"/>
      <c r="AB292" s="119"/>
      <c r="AC292" s="119"/>
      <c r="AD292" s="119"/>
      <c r="AE292" s="119"/>
      <c r="AF292" s="119"/>
      <c r="AM292" s="119"/>
      <c r="AN292" s="208"/>
      <c r="AO292" s="119"/>
    </row>
    <row r="293" ht="15.75" customHeight="1"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215"/>
      <c r="P293" s="216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  <c r="AA293" s="119"/>
      <c r="AB293" s="119"/>
      <c r="AC293" s="119"/>
      <c r="AD293" s="119"/>
      <c r="AE293" s="119"/>
      <c r="AF293" s="119"/>
      <c r="AM293" s="119"/>
      <c r="AN293" s="208"/>
      <c r="AO293" s="119"/>
    </row>
    <row r="294" ht="15.75" customHeight="1"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215"/>
      <c r="P294" s="216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  <c r="AA294" s="119"/>
      <c r="AB294" s="119"/>
      <c r="AC294" s="119"/>
      <c r="AD294" s="119"/>
      <c r="AE294" s="119"/>
      <c r="AF294" s="119"/>
      <c r="AM294" s="119"/>
      <c r="AN294" s="208"/>
      <c r="AO294" s="119"/>
    </row>
    <row r="295" ht="15.75" customHeight="1"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215"/>
      <c r="P295" s="216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  <c r="AA295" s="119"/>
      <c r="AB295" s="119"/>
      <c r="AC295" s="119"/>
      <c r="AD295" s="119"/>
      <c r="AE295" s="119"/>
      <c r="AF295" s="119"/>
      <c r="AM295" s="119"/>
      <c r="AN295" s="208"/>
      <c r="AO295" s="119"/>
    </row>
    <row r="296" ht="15.75" customHeight="1"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215"/>
      <c r="P296" s="216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  <c r="AA296" s="119"/>
      <c r="AB296" s="119"/>
      <c r="AC296" s="119"/>
      <c r="AD296" s="119"/>
      <c r="AE296" s="119"/>
      <c r="AF296" s="119"/>
      <c r="AM296" s="119"/>
      <c r="AN296" s="208"/>
      <c r="AO296" s="119"/>
    </row>
    <row r="297" ht="15.75" customHeight="1"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215"/>
      <c r="P297" s="216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  <c r="AA297" s="119"/>
      <c r="AB297" s="119"/>
      <c r="AC297" s="119"/>
      <c r="AD297" s="119"/>
      <c r="AE297" s="119"/>
      <c r="AF297" s="119"/>
      <c r="AM297" s="119"/>
      <c r="AN297" s="208"/>
      <c r="AO297" s="119"/>
    </row>
    <row r="298" ht="15.75" customHeight="1"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215"/>
      <c r="P298" s="216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  <c r="AA298" s="119"/>
      <c r="AB298" s="119"/>
      <c r="AC298" s="119"/>
      <c r="AD298" s="119"/>
      <c r="AE298" s="119"/>
      <c r="AF298" s="119"/>
      <c r="AM298" s="119"/>
      <c r="AN298" s="208"/>
      <c r="AO298" s="119"/>
    </row>
    <row r="299" ht="15.75" customHeight="1"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215"/>
      <c r="P299" s="216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  <c r="AA299" s="119"/>
      <c r="AB299" s="119"/>
      <c r="AC299" s="119"/>
      <c r="AD299" s="119"/>
      <c r="AE299" s="119"/>
      <c r="AF299" s="119"/>
      <c r="AM299" s="119"/>
      <c r="AN299" s="208"/>
      <c r="AO299" s="119"/>
    </row>
    <row r="300" ht="15.75" customHeight="1"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215"/>
      <c r="P300" s="216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  <c r="AA300" s="119"/>
      <c r="AB300" s="119"/>
      <c r="AC300" s="119"/>
      <c r="AD300" s="119"/>
      <c r="AE300" s="119"/>
      <c r="AF300" s="119"/>
      <c r="AM300" s="119"/>
      <c r="AN300" s="208"/>
      <c r="AO300" s="119"/>
    </row>
    <row r="301" ht="15.75" customHeight="1"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215"/>
      <c r="P301" s="216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  <c r="AA301" s="119"/>
      <c r="AB301" s="119"/>
      <c r="AC301" s="119"/>
      <c r="AD301" s="119"/>
      <c r="AE301" s="119"/>
      <c r="AF301" s="119"/>
      <c r="AM301" s="119"/>
      <c r="AN301" s="208"/>
      <c r="AO301" s="119"/>
    </row>
    <row r="302" ht="15.75" customHeight="1"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215"/>
      <c r="P302" s="216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  <c r="AA302" s="119"/>
      <c r="AB302" s="119"/>
      <c r="AC302" s="119"/>
      <c r="AD302" s="119"/>
      <c r="AE302" s="119"/>
      <c r="AF302" s="119"/>
      <c r="AM302" s="119"/>
      <c r="AN302" s="208"/>
      <c r="AO302" s="119"/>
    </row>
    <row r="303" ht="15.75" customHeight="1"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215"/>
      <c r="P303" s="216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  <c r="AA303" s="119"/>
      <c r="AB303" s="119"/>
      <c r="AC303" s="119"/>
      <c r="AD303" s="119"/>
      <c r="AE303" s="119"/>
      <c r="AF303" s="119"/>
      <c r="AM303" s="119"/>
      <c r="AN303" s="208"/>
      <c r="AO303" s="119"/>
    </row>
    <row r="304" ht="15.75" customHeight="1"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215"/>
      <c r="P304" s="216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  <c r="AA304" s="119"/>
      <c r="AB304" s="119"/>
      <c r="AC304" s="119"/>
      <c r="AD304" s="119"/>
      <c r="AE304" s="119"/>
      <c r="AF304" s="119"/>
      <c r="AM304" s="119"/>
      <c r="AN304" s="208"/>
      <c r="AO304" s="119"/>
    </row>
    <row r="305" ht="15.75" customHeight="1"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215"/>
      <c r="P305" s="216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  <c r="AA305" s="119"/>
      <c r="AB305" s="119"/>
      <c r="AC305" s="119"/>
      <c r="AD305" s="119"/>
      <c r="AE305" s="119"/>
      <c r="AF305" s="119"/>
      <c r="AM305" s="119"/>
      <c r="AN305" s="208"/>
      <c r="AO305" s="119"/>
    </row>
    <row r="306" ht="15.75" customHeight="1"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215"/>
      <c r="P306" s="216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  <c r="AA306" s="119"/>
      <c r="AB306" s="119"/>
      <c r="AC306" s="119"/>
      <c r="AD306" s="119"/>
      <c r="AE306" s="119"/>
      <c r="AF306" s="119"/>
      <c r="AM306" s="119"/>
      <c r="AN306" s="208"/>
      <c r="AO306" s="119"/>
    </row>
    <row r="307" ht="15.75" customHeight="1"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215"/>
      <c r="P307" s="216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  <c r="AA307" s="119"/>
      <c r="AB307" s="119"/>
      <c r="AC307" s="119"/>
      <c r="AD307" s="119"/>
      <c r="AE307" s="119"/>
      <c r="AF307" s="119"/>
      <c r="AM307" s="119"/>
      <c r="AN307" s="208"/>
      <c r="AO307" s="119"/>
    </row>
    <row r="308" ht="15.75" customHeight="1"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215"/>
      <c r="P308" s="216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  <c r="AB308" s="119"/>
      <c r="AC308" s="119"/>
      <c r="AD308" s="119"/>
      <c r="AE308" s="119"/>
      <c r="AF308" s="119"/>
      <c r="AM308" s="119"/>
      <c r="AN308" s="208"/>
      <c r="AO308" s="119"/>
    </row>
    <row r="309" ht="15.75" customHeight="1"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215"/>
      <c r="P309" s="216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  <c r="AA309" s="119"/>
      <c r="AB309" s="119"/>
      <c r="AC309" s="119"/>
      <c r="AD309" s="119"/>
      <c r="AE309" s="119"/>
      <c r="AF309" s="119"/>
      <c r="AM309" s="119"/>
      <c r="AN309" s="208"/>
      <c r="AO309" s="119"/>
    </row>
    <row r="310" ht="15.75" customHeight="1"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215"/>
      <c r="P310" s="216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  <c r="AA310" s="119"/>
      <c r="AB310" s="119"/>
      <c r="AC310" s="119"/>
      <c r="AD310" s="119"/>
      <c r="AE310" s="119"/>
      <c r="AF310" s="119"/>
      <c r="AM310" s="119"/>
      <c r="AN310" s="208"/>
      <c r="AO310" s="119"/>
    </row>
    <row r="311" ht="15.75" customHeight="1"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215"/>
      <c r="P311" s="216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  <c r="AA311" s="119"/>
      <c r="AB311" s="119"/>
      <c r="AC311" s="119"/>
      <c r="AD311" s="119"/>
      <c r="AE311" s="119"/>
      <c r="AF311" s="119"/>
      <c r="AM311" s="119"/>
      <c r="AN311" s="208"/>
      <c r="AO311" s="119"/>
    </row>
    <row r="312" ht="15.75" customHeight="1"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215"/>
      <c r="P312" s="216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  <c r="AA312" s="119"/>
      <c r="AB312" s="119"/>
      <c r="AC312" s="119"/>
      <c r="AD312" s="119"/>
      <c r="AE312" s="119"/>
      <c r="AF312" s="119"/>
      <c r="AM312" s="119"/>
      <c r="AN312" s="208"/>
      <c r="AO312" s="119"/>
    </row>
    <row r="313" ht="15.75" customHeight="1"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215"/>
      <c r="P313" s="216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  <c r="AA313" s="119"/>
      <c r="AB313" s="119"/>
      <c r="AC313" s="119"/>
      <c r="AD313" s="119"/>
      <c r="AE313" s="119"/>
      <c r="AF313" s="119"/>
      <c r="AM313" s="119"/>
      <c r="AN313" s="208"/>
      <c r="AO313" s="119"/>
    </row>
    <row r="314" ht="15.75" customHeight="1"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215"/>
      <c r="P314" s="216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  <c r="AA314" s="119"/>
      <c r="AB314" s="119"/>
      <c r="AC314" s="119"/>
      <c r="AD314" s="119"/>
      <c r="AE314" s="119"/>
      <c r="AF314" s="119"/>
      <c r="AM314" s="119"/>
      <c r="AN314" s="208"/>
      <c r="AO314" s="119"/>
    </row>
    <row r="315" ht="15.75" customHeight="1"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215"/>
      <c r="P315" s="216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  <c r="AA315" s="119"/>
      <c r="AB315" s="119"/>
      <c r="AC315" s="119"/>
      <c r="AD315" s="119"/>
      <c r="AE315" s="119"/>
      <c r="AF315" s="119"/>
      <c r="AM315" s="119"/>
      <c r="AN315" s="208"/>
      <c r="AO315" s="119"/>
    </row>
    <row r="316" ht="15.75" customHeight="1"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215"/>
      <c r="P316" s="216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  <c r="AA316" s="119"/>
      <c r="AB316" s="119"/>
      <c r="AC316" s="119"/>
      <c r="AD316" s="119"/>
      <c r="AE316" s="119"/>
      <c r="AF316" s="119"/>
      <c r="AM316" s="119"/>
      <c r="AN316" s="208"/>
      <c r="AO316" s="119"/>
    </row>
    <row r="317" ht="15.75" customHeight="1"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215"/>
      <c r="P317" s="216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  <c r="AA317" s="119"/>
      <c r="AB317" s="119"/>
      <c r="AC317" s="119"/>
      <c r="AD317" s="119"/>
      <c r="AE317" s="119"/>
      <c r="AF317" s="119"/>
      <c r="AM317" s="119"/>
      <c r="AN317" s="208"/>
      <c r="AO317" s="119"/>
    </row>
    <row r="318" ht="15.75" customHeight="1"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215"/>
      <c r="P318" s="216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  <c r="AA318" s="119"/>
      <c r="AB318" s="119"/>
      <c r="AC318" s="119"/>
      <c r="AD318" s="119"/>
      <c r="AE318" s="119"/>
      <c r="AF318" s="119"/>
      <c r="AM318" s="119"/>
      <c r="AN318" s="208"/>
      <c r="AO318" s="119"/>
    </row>
    <row r="319" ht="15.75" customHeight="1"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215"/>
      <c r="P319" s="216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  <c r="AA319" s="119"/>
      <c r="AB319" s="119"/>
      <c r="AC319" s="119"/>
      <c r="AD319" s="119"/>
      <c r="AE319" s="119"/>
      <c r="AF319" s="119"/>
      <c r="AM319" s="119"/>
      <c r="AN319" s="208"/>
      <c r="AO319" s="119"/>
    </row>
    <row r="320" ht="15.75" customHeight="1"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215"/>
      <c r="P320" s="216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  <c r="AA320" s="119"/>
      <c r="AB320" s="119"/>
      <c r="AC320" s="119"/>
      <c r="AD320" s="119"/>
      <c r="AE320" s="119"/>
      <c r="AF320" s="119"/>
      <c r="AM320" s="119"/>
      <c r="AN320" s="208"/>
      <c r="AO320" s="119"/>
    </row>
    <row r="321" ht="15.75" customHeight="1"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215"/>
      <c r="P321" s="216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  <c r="AA321" s="119"/>
      <c r="AB321" s="119"/>
      <c r="AC321" s="119"/>
      <c r="AD321" s="119"/>
      <c r="AE321" s="119"/>
      <c r="AF321" s="119"/>
      <c r="AM321" s="119"/>
      <c r="AN321" s="208"/>
      <c r="AO321" s="119"/>
    </row>
    <row r="322" ht="15.75" customHeight="1"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215"/>
      <c r="P322" s="216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  <c r="AA322" s="119"/>
      <c r="AB322" s="119"/>
      <c r="AC322" s="119"/>
      <c r="AD322" s="119"/>
      <c r="AE322" s="119"/>
      <c r="AF322" s="119"/>
      <c r="AM322" s="119"/>
      <c r="AN322" s="208"/>
      <c r="AO322" s="119"/>
    </row>
    <row r="323" ht="15.75" customHeight="1"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215"/>
      <c r="P323" s="216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  <c r="AA323" s="119"/>
      <c r="AB323" s="119"/>
      <c r="AC323" s="119"/>
      <c r="AD323" s="119"/>
      <c r="AE323" s="119"/>
      <c r="AF323" s="119"/>
      <c r="AM323" s="119"/>
      <c r="AN323" s="208"/>
      <c r="AO323" s="119"/>
    </row>
    <row r="324" ht="15.75" customHeight="1"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215"/>
      <c r="P324" s="216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  <c r="AA324" s="119"/>
      <c r="AB324" s="119"/>
      <c r="AC324" s="119"/>
      <c r="AD324" s="119"/>
      <c r="AE324" s="119"/>
      <c r="AF324" s="119"/>
      <c r="AM324" s="119"/>
      <c r="AN324" s="208"/>
      <c r="AO324" s="119"/>
    </row>
    <row r="325" ht="15.75" customHeight="1"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215"/>
      <c r="P325" s="216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  <c r="AA325" s="119"/>
      <c r="AB325" s="119"/>
      <c r="AC325" s="119"/>
      <c r="AD325" s="119"/>
      <c r="AE325" s="119"/>
      <c r="AF325" s="119"/>
      <c r="AM325" s="119"/>
      <c r="AN325" s="208"/>
      <c r="AO325" s="119"/>
    </row>
    <row r="326" ht="15.75" customHeight="1"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215"/>
      <c r="P326" s="216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  <c r="AA326" s="119"/>
      <c r="AB326" s="119"/>
      <c r="AC326" s="119"/>
      <c r="AD326" s="119"/>
      <c r="AE326" s="119"/>
      <c r="AF326" s="119"/>
      <c r="AM326" s="119"/>
      <c r="AN326" s="208"/>
      <c r="AO326" s="119"/>
    </row>
    <row r="327" ht="15.75" customHeight="1"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215"/>
      <c r="P327" s="216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  <c r="AA327" s="119"/>
      <c r="AB327" s="119"/>
      <c r="AC327" s="119"/>
      <c r="AD327" s="119"/>
      <c r="AE327" s="119"/>
      <c r="AF327" s="119"/>
      <c r="AM327" s="119"/>
      <c r="AN327" s="208"/>
      <c r="AO327" s="119"/>
    </row>
    <row r="328" ht="15.75" customHeight="1"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215"/>
      <c r="P328" s="216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  <c r="AA328" s="119"/>
      <c r="AB328" s="119"/>
      <c r="AC328" s="119"/>
      <c r="AD328" s="119"/>
      <c r="AE328" s="119"/>
      <c r="AF328" s="119"/>
      <c r="AM328" s="119"/>
      <c r="AN328" s="208"/>
      <c r="AO328" s="119"/>
    </row>
    <row r="329" ht="15.75" customHeight="1"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215"/>
      <c r="P329" s="216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  <c r="AA329" s="119"/>
      <c r="AB329" s="119"/>
      <c r="AC329" s="119"/>
      <c r="AD329" s="119"/>
      <c r="AE329" s="119"/>
      <c r="AF329" s="119"/>
      <c r="AM329" s="119"/>
      <c r="AN329" s="208"/>
      <c r="AO329" s="119"/>
    </row>
    <row r="330" ht="15.75" customHeight="1"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215"/>
      <c r="P330" s="216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  <c r="AA330" s="119"/>
      <c r="AB330" s="119"/>
      <c r="AC330" s="119"/>
      <c r="AD330" s="119"/>
      <c r="AE330" s="119"/>
      <c r="AF330" s="119"/>
      <c r="AM330" s="119"/>
      <c r="AN330" s="208"/>
      <c r="AO330" s="119"/>
    </row>
    <row r="331" ht="15.75" customHeight="1"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215"/>
      <c r="P331" s="216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  <c r="AA331" s="119"/>
      <c r="AB331" s="119"/>
      <c r="AC331" s="119"/>
      <c r="AD331" s="119"/>
      <c r="AE331" s="119"/>
      <c r="AF331" s="119"/>
      <c r="AM331" s="119"/>
      <c r="AN331" s="208"/>
      <c r="AO331" s="119"/>
    </row>
    <row r="332" ht="15.75" customHeight="1"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215"/>
      <c r="P332" s="216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  <c r="AA332" s="119"/>
      <c r="AB332" s="119"/>
      <c r="AC332" s="119"/>
      <c r="AD332" s="119"/>
      <c r="AE332" s="119"/>
      <c r="AF332" s="119"/>
      <c r="AM332" s="119"/>
      <c r="AN332" s="208"/>
      <c r="AO332" s="119"/>
    </row>
    <row r="333" ht="15.75" customHeight="1"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215"/>
      <c r="P333" s="216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  <c r="AA333" s="119"/>
      <c r="AB333" s="119"/>
      <c r="AC333" s="119"/>
      <c r="AD333" s="119"/>
      <c r="AE333" s="119"/>
      <c r="AF333" s="119"/>
      <c r="AM333" s="119"/>
      <c r="AN333" s="208"/>
      <c r="AO333" s="119"/>
    </row>
    <row r="334" ht="15.75" customHeight="1"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215"/>
      <c r="P334" s="216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  <c r="AA334" s="119"/>
      <c r="AB334" s="119"/>
      <c r="AC334" s="119"/>
      <c r="AD334" s="119"/>
      <c r="AE334" s="119"/>
      <c r="AF334" s="119"/>
      <c r="AM334" s="119"/>
      <c r="AN334" s="208"/>
      <c r="AO334" s="119"/>
    </row>
    <row r="335" ht="15.75" customHeight="1"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215"/>
      <c r="P335" s="216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  <c r="AA335" s="119"/>
      <c r="AB335" s="119"/>
      <c r="AC335" s="119"/>
      <c r="AD335" s="119"/>
      <c r="AE335" s="119"/>
      <c r="AF335" s="119"/>
      <c r="AM335" s="119"/>
      <c r="AN335" s="208"/>
      <c r="AO335" s="119"/>
    </row>
    <row r="336" ht="15.75" customHeight="1"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215"/>
      <c r="P336" s="216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  <c r="AA336" s="119"/>
      <c r="AB336" s="119"/>
      <c r="AC336" s="119"/>
      <c r="AD336" s="119"/>
      <c r="AE336" s="119"/>
      <c r="AF336" s="119"/>
      <c r="AM336" s="119"/>
      <c r="AN336" s="208"/>
      <c r="AO336" s="119"/>
    </row>
    <row r="337" ht="15.75" customHeight="1"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215"/>
      <c r="P337" s="216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  <c r="AA337" s="119"/>
      <c r="AB337" s="119"/>
      <c r="AC337" s="119"/>
      <c r="AD337" s="119"/>
      <c r="AE337" s="119"/>
      <c r="AF337" s="119"/>
      <c r="AM337" s="119"/>
      <c r="AN337" s="208"/>
      <c r="AO337" s="119"/>
    </row>
    <row r="338" ht="15.75" customHeight="1"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215"/>
      <c r="P338" s="216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  <c r="AA338" s="119"/>
      <c r="AB338" s="119"/>
      <c r="AC338" s="119"/>
      <c r="AD338" s="119"/>
      <c r="AE338" s="119"/>
      <c r="AF338" s="119"/>
      <c r="AM338" s="119"/>
      <c r="AN338" s="208"/>
      <c r="AO338" s="119"/>
    </row>
    <row r="339" ht="15.75" customHeight="1"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215"/>
      <c r="P339" s="216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  <c r="AA339" s="119"/>
      <c r="AB339" s="119"/>
      <c r="AC339" s="119"/>
      <c r="AD339" s="119"/>
      <c r="AE339" s="119"/>
      <c r="AF339" s="119"/>
      <c r="AM339" s="119"/>
      <c r="AN339" s="208"/>
      <c r="AO339" s="119"/>
    </row>
    <row r="340" ht="15.75" customHeight="1"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215"/>
      <c r="P340" s="216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  <c r="AA340" s="119"/>
      <c r="AB340" s="119"/>
      <c r="AC340" s="119"/>
      <c r="AD340" s="119"/>
      <c r="AE340" s="119"/>
      <c r="AF340" s="119"/>
      <c r="AM340" s="119"/>
      <c r="AN340" s="208"/>
      <c r="AO340" s="119"/>
    </row>
    <row r="341" ht="15.75" customHeight="1"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215"/>
      <c r="P341" s="216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  <c r="AA341" s="119"/>
      <c r="AB341" s="119"/>
      <c r="AC341" s="119"/>
      <c r="AD341" s="119"/>
      <c r="AE341" s="119"/>
      <c r="AF341" s="119"/>
      <c r="AM341" s="119"/>
      <c r="AN341" s="208"/>
      <c r="AO341" s="119"/>
    </row>
    <row r="342" ht="15.75" customHeight="1"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215"/>
      <c r="P342" s="216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  <c r="AA342" s="119"/>
      <c r="AB342" s="119"/>
      <c r="AC342" s="119"/>
      <c r="AD342" s="119"/>
      <c r="AE342" s="119"/>
      <c r="AF342" s="119"/>
      <c r="AM342" s="119"/>
      <c r="AN342" s="208"/>
      <c r="AO342" s="119"/>
    </row>
    <row r="343" ht="15.75" customHeight="1"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215"/>
      <c r="P343" s="216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  <c r="AA343" s="119"/>
      <c r="AB343" s="119"/>
      <c r="AC343" s="119"/>
      <c r="AD343" s="119"/>
      <c r="AE343" s="119"/>
      <c r="AF343" s="119"/>
      <c r="AM343" s="119"/>
      <c r="AN343" s="208"/>
      <c r="AO343" s="119"/>
    </row>
    <row r="344" ht="15.75" customHeight="1"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215"/>
      <c r="P344" s="216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  <c r="AA344" s="119"/>
      <c r="AB344" s="119"/>
      <c r="AC344" s="119"/>
      <c r="AD344" s="119"/>
      <c r="AE344" s="119"/>
      <c r="AF344" s="119"/>
      <c r="AM344" s="119"/>
      <c r="AN344" s="208"/>
      <c r="AO344" s="119"/>
    </row>
    <row r="345" ht="15.75" customHeight="1"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215"/>
      <c r="P345" s="216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  <c r="AA345" s="119"/>
      <c r="AB345" s="119"/>
      <c r="AC345" s="119"/>
      <c r="AD345" s="119"/>
      <c r="AE345" s="119"/>
      <c r="AF345" s="119"/>
      <c r="AM345" s="119"/>
      <c r="AN345" s="208"/>
      <c r="AO345" s="119"/>
    </row>
    <row r="346" ht="15.75" customHeight="1"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215"/>
      <c r="P346" s="216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  <c r="AA346" s="119"/>
      <c r="AB346" s="119"/>
      <c r="AC346" s="119"/>
      <c r="AD346" s="119"/>
      <c r="AE346" s="119"/>
      <c r="AF346" s="119"/>
      <c r="AM346" s="119"/>
      <c r="AN346" s="208"/>
      <c r="AO346" s="119"/>
    </row>
    <row r="347" ht="15.75" customHeight="1"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215"/>
      <c r="P347" s="216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  <c r="AA347" s="119"/>
      <c r="AB347" s="119"/>
      <c r="AC347" s="119"/>
      <c r="AD347" s="119"/>
      <c r="AE347" s="119"/>
      <c r="AF347" s="119"/>
      <c r="AM347" s="119"/>
      <c r="AN347" s="208"/>
      <c r="AO347" s="119"/>
    </row>
    <row r="348" ht="15.75" customHeight="1"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215"/>
      <c r="P348" s="216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  <c r="AA348" s="119"/>
      <c r="AB348" s="119"/>
      <c r="AC348" s="119"/>
      <c r="AD348" s="119"/>
      <c r="AE348" s="119"/>
      <c r="AF348" s="119"/>
      <c r="AM348" s="119"/>
      <c r="AN348" s="208"/>
      <c r="AO348" s="119"/>
    </row>
    <row r="349" ht="15.75" customHeight="1"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215"/>
      <c r="P349" s="216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  <c r="AA349" s="119"/>
      <c r="AB349" s="119"/>
      <c r="AC349" s="119"/>
      <c r="AD349" s="119"/>
      <c r="AE349" s="119"/>
      <c r="AF349" s="119"/>
      <c r="AM349" s="119"/>
      <c r="AN349" s="208"/>
      <c r="AO349" s="119"/>
    </row>
    <row r="350" ht="15.75" customHeight="1"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215"/>
      <c r="P350" s="216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  <c r="AA350" s="119"/>
      <c r="AB350" s="119"/>
      <c r="AC350" s="119"/>
      <c r="AD350" s="119"/>
      <c r="AE350" s="119"/>
      <c r="AF350" s="119"/>
      <c r="AM350" s="119"/>
      <c r="AN350" s="208"/>
      <c r="AO350" s="119"/>
    </row>
    <row r="351" ht="15.75" customHeight="1"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215"/>
      <c r="P351" s="216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  <c r="AA351" s="119"/>
      <c r="AB351" s="119"/>
      <c r="AC351" s="119"/>
      <c r="AD351" s="119"/>
      <c r="AE351" s="119"/>
      <c r="AF351" s="119"/>
      <c r="AM351" s="119"/>
      <c r="AN351" s="208"/>
      <c r="AO351" s="119"/>
    </row>
    <row r="352" ht="15.75" customHeight="1"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215"/>
      <c r="P352" s="216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  <c r="AA352" s="119"/>
      <c r="AB352" s="119"/>
      <c r="AC352" s="119"/>
      <c r="AD352" s="119"/>
      <c r="AE352" s="119"/>
      <c r="AF352" s="119"/>
      <c r="AM352" s="119"/>
      <c r="AN352" s="208"/>
      <c r="AO352" s="119"/>
    </row>
    <row r="353" ht="15.75" customHeight="1"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215"/>
      <c r="P353" s="216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  <c r="AA353" s="119"/>
      <c r="AB353" s="119"/>
      <c r="AC353" s="119"/>
      <c r="AD353" s="119"/>
      <c r="AE353" s="119"/>
      <c r="AF353" s="119"/>
      <c r="AM353" s="119"/>
      <c r="AN353" s="208"/>
      <c r="AO353" s="119"/>
    </row>
    <row r="354" ht="15.75" customHeight="1"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215"/>
      <c r="P354" s="216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  <c r="AA354" s="119"/>
      <c r="AB354" s="119"/>
      <c r="AC354" s="119"/>
      <c r="AD354" s="119"/>
      <c r="AE354" s="119"/>
      <c r="AF354" s="119"/>
      <c r="AM354" s="119"/>
      <c r="AN354" s="208"/>
      <c r="AO354" s="119"/>
    </row>
    <row r="355" ht="15.75" customHeight="1"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215"/>
      <c r="P355" s="216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  <c r="AA355" s="119"/>
      <c r="AB355" s="119"/>
      <c r="AC355" s="119"/>
      <c r="AD355" s="119"/>
      <c r="AE355" s="119"/>
      <c r="AF355" s="119"/>
      <c r="AM355" s="119"/>
      <c r="AN355" s="208"/>
      <c r="AO355" s="119"/>
    </row>
    <row r="356" ht="15.75" customHeight="1"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215"/>
      <c r="P356" s="216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  <c r="AA356" s="119"/>
      <c r="AB356" s="119"/>
      <c r="AC356" s="119"/>
      <c r="AD356" s="119"/>
      <c r="AE356" s="119"/>
      <c r="AF356" s="119"/>
      <c r="AM356" s="119"/>
      <c r="AN356" s="208"/>
      <c r="AO356" s="119"/>
    </row>
    <row r="357" ht="15.75" customHeight="1"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215"/>
      <c r="P357" s="216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  <c r="AA357" s="119"/>
      <c r="AB357" s="119"/>
      <c r="AC357" s="119"/>
      <c r="AD357" s="119"/>
      <c r="AE357" s="119"/>
      <c r="AF357" s="119"/>
      <c r="AM357" s="119"/>
      <c r="AN357" s="208"/>
      <c r="AO357" s="119"/>
    </row>
    <row r="358" ht="15.75" customHeight="1"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215"/>
      <c r="P358" s="216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  <c r="AA358" s="119"/>
      <c r="AB358" s="119"/>
      <c r="AC358" s="119"/>
      <c r="AD358" s="119"/>
      <c r="AE358" s="119"/>
      <c r="AF358" s="119"/>
      <c r="AM358" s="119"/>
      <c r="AN358" s="208"/>
      <c r="AO358" s="119"/>
    </row>
    <row r="359" ht="15.75" customHeight="1"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215"/>
      <c r="P359" s="216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  <c r="AA359" s="119"/>
      <c r="AB359" s="119"/>
      <c r="AC359" s="119"/>
      <c r="AD359" s="119"/>
      <c r="AE359" s="119"/>
      <c r="AF359" s="119"/>
      <c r="AM359" s="119"/>
      <c r="AN359" s="208"/>
      <c r="AO359" s="119"/>
    </row>
    <row r="360" ht="15.75" customHeight="1"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215"/>
      <c r="P360" s="216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  <c r="AA360" s="119"/>
      <c r="AB360" s="119"/>
      <c r="AC360" s="119"/>
      <c r="AD360" s="119"/>
      <c r="AE360" s="119"/>
      <c r="AF360" s="119"/>
      <c r="AM360" s="119"/>
      <c r="AN360" s="208"/>
      <c r="AO360" s="119"/>
    </row>
    <row r="361" ht="15.75" customHeight="1"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215"/>
      <c r="P361" s="216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  <c r="AA361" s="119"/>
      <c r="AB361" s="119"/>
      <c r="AC361" s="119"/>
      <c r="AD361" s="119"/>
      <c r="AE361" s="119"/>
      <c r="AF361" s="119"/>
      <c r="AM361" s="119"/>
      <c r="AN361" s="208"/>
      <c r="AO361" s="119"/>
    </row>
    <row r="362" ht="15.75" customHeight="1"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215"/>
      <c r="P362" s="216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  <c r="AA362" s="119"/>
      <c r="AB362" s="119"/>
      <c r="AC362" s="119"/>
      <c r="AD362" s="119"/>
      <c r="AE362" s="119"/>
      <c r="AF362" s="119"/>
      <c r="AM362" s="119"/>
      <c r="AN362" s="208"/>
      <c r="AO362" s="119"/>
    </row>
    <row r="363" ht="15.75" customHeight="1"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215"/>
      <c r="P363" s="216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  <c r="AA363" s="119"/>
      <c r="AB363" s="119"/>
      <c r="AC363" s="119"/>
      <c r="AD363" s="119"/>
      <c r="AE363" s="119"/>
      <c r="AF363" s="119"/>
      <c r="AM363" s="119"/>
      <c r="AN363" s="208"/>
      <c r="AO363" s="119"/>
    </row>
    <row r="364" ht="15.75" customHeight="1"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215"/>
      <c r="P364" s="216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  <c r="AA364" s="119"/>
      <c r="AB364" s="119"/>
      <c r="AC364" s="119"/>
      <c r="AD364" s="119"/>
      <c r="AE364" s="119"/>
      <c r="AF364" s="119"/>
      <c r="AM364" s="119"/>
      <c r="AN364" s="208"/>
      <c r="AO364" s="119"/>
    </row>
    <row r="365" ht="15.75" customHeight="1"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215"/>
      <c r="P365" s="216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  <c r="AA365" s="119"/>
      <c r="AB365" s="119"/>
      <c r="AC365" s="119"/>
      <c r="AD365" s="119"/>
      <c r="AE365" s="119"/>
      <c r="AF365" s="119"/>
      <c r="AM365" s="119"/>
      <c r="AN365" s="208"/>
      <c r="AO365" s="119"/>
    </row>
    <row r="366" ht="15.75" customHeight="1"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215"/>
      <c r="P366" s="216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  <c r="AA366" s="119"/>
      <c r="AB366" s="119"/>
      <c r="AC366" s="119"/>
      <c r="AD366" s="119"/>
      <c r="AE366" s="119"/>
      <c r="AF366" s="119"/>
      <c r="AM366" s="119"/>
      <c r="AN366" s="208"/>
      <c r="AO366" s="119"/>
    </row>
    <row r="367" ht="15.75" customHeight="1"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215"/>
      <c r="P367" s="216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  <c r="AA367" s="119"/>
      <c r="AB367" s="119"/>
      <c r="AC367" s="119"/>
      <c r="AD367" s="119"/>
      <c r="AE367" s="119"/>
      <c r="AF367" s="119"/>
      <c r="AM367" s="119"/>
      <c r="AN367" s="208"/>
      <c r="AO367" s="119"/>
    </row>
    <row r="368" ht="15.75" customHeight="1"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215"/>
      <c r="P368" s="216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  <c r="AA368" s="119"/>
      <c r="AB368" s="119"/>
      <c r="AC368" s="119"/>
      <c r="AD368" s="119"/>
      <c r="AE368" s="119"/>
      <c r="AF368" s="119"/>
      <c r="AM368" s="119"/>
      <c r="AN368" s="208"/>
      <c r="AO368" s="119"/>
    </row>
    <row r="369" ht="15.75" customHeight="1"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215"/>
      <c r="P369" s="216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  <c r="AA369" s="119"/>
      <c r="AB369" s="119"/>
      <c r="AC369" s="119"/>
      <c r="AD369" s="119"/>
      <c r="AE369" s="119"/>
      <c r="AF369" s="119"/>
      <c r="AM369" s="119"/>
      <c r="AN369" s="208"/>
      <c r="AO369" s="119"/>
    </row>
    <row r="370" ht="15.75" customHeight="1"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215"/>
      <c r="P370" s="216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  <c r="AA370" s="119"/>
      <c r="AB370" s="119"/>
      <c r="AC370" s="119"/>
      <c r="AD370" s="119"/>
      <c r="AE370" s="119"/>
      <c r="AF370" s="119"/>
      <c r="AM370" s="119"/>
      <c r="AN370" s="208"/>
      <c r="AO370" s="119"/>
    </row>
    <row r="371" ht="15.75" customHeight="1"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215"/>
      <c r="P371" s="216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  <c r="AA371" s="119"/>
      <c r="AB371" s="119"/>
      <c r="AC371" s="119"/>
      <c r="AD371" s="119"/>
      <c r="AE371" s="119"/>
      <c r="AF371" s="119"/>
      <c r="AM371" s="119"/>
      <c r="AN371" s="208"/>
      <c r="AO371" s="119"/>
    </row>
    <row r="372" ht="15.75" customHeight="1"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215"/>
      <c r="P372" s="216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  <c r="AA372" s="119"/>
      <c r="AB372" s="119"/>
      <c r="AC372" s="119"/>
      <c r="AD372" s="119"/>
      <c r="AE372" s="119"/>
      <c r="AF372" s="119"/>
      <c r="AM372" s="119"/>
      <c r="AN372" s="208"/>
      <c r="AO372" s="119"/>
    </row>
    <row r="373" ht="15.75" customHeight="1"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215"/>
      <c r="P373" s="216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  <c r="AA373" s="119"/>
      <c r="AB373" s="119"/>
      <c r="AC373" s="119"/>
      <c r="AD373" s="119"/>
      <c r="AE373" s="119"/>
      <c r="AF373" s="119"/>
      <c r="AM373" s="119"/>
      <c r="AN373" s="208"/>
      <c r="AO373" s="119"/>
    </row>
    <row r="374" ht="15.75" customHeight="1"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215"/>
      <c r="P374" s="216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  <c r="AA374" s="119"/>
      <c r="AB374" s="119"/>
      <c r="AC374" s="119"/>
      <c r="AD374" s="119"/>
      <c r="AE374" s="119"/>
      <c r="AF374" s="119"/>
      <c r="AM374" s="119"/>
      <c r="AN374" s="208"/>
      <c r="AO374" s="119"/>
    </row>
    <row r="375" ht="15.75" customHeight="1"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215"/>
      <c r="P375" s="216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  <c r="AA375" s="119"/>
      <c r="AB375" s="119"/>
      <c r="AC375" s="119"/>
      <c r="AD375" s="119"/>
      <c r="AE375" s="119"/>
      <c r="AF375" s="119"/>
      <c r="AM375" s="119"/>
      <c r="AN375" s="208"/>
      <c r="AO375" s="119"/>
    </row>
    <row r="376" ht="15.75" customHeight="1"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215"/>
      <c r="P376" s="216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  <c r="AA376" s="119"/>
      <c r="AB376" s="119"/>
      <c r="AC376" s="119"/>
      <c r="AD376" s="119"/>
      <c r="AE376" s="119"/>
      <c r="AF376" s="119"/>
      <c r="AM376" s="119"/>
      <c r="AN376" s="208"/>
      <c r="AO376" s="119"/>
    </row>
    <row r="377" ht="15.75" customHeight="1"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215"/>
      <c r="P377" s="216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  <c r="AA377" s="119"/>
      <c r="AB377" s="119"/>
      <c r="AC377" s="119"/>
      <c r="AD377" s="119"/>
      <c r="AE377" s="119"/>
      <c r="AF377" s="119"/>
      <c r="AM377" s="119"/>
      <c r="AN377" s="208"/>
      <c r="AO377" s="119"/>
    </row>
    <row r="378" ht="15.75" customHeight="1"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215"/>
      <c r="P378" s="216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  <c r="AA378" s="119"/>
      <c r="AB378" s="119"/>
      <c r="AC378" s="119"/>
      <c r="AD378" s="119"/>
      <c r="AE378" s="119"/>
      <c r="AF378" s="119"/>
      <c r="AM378" s="119"/>
      <c r="AN378" s="208"/>
      <c r="AO378" s="119"/>
    </row>
    <row r="379" ht="15.75" customHeight="1"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215"/>
      <c r="P379" s="216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  <c r="AA379" s="119"/>
      <c r="AB379" s="119"/>
      <c r="AC379" s="119"/>
      <c r="AD379" s="119"/>
      <c r="AE379" s="119"/>
      <c r="AF379" s="119"/>
      <c r="AM379" s="119"/>
      <c r="AN379" s="208"/>
      <c r="AO379" s="119"/>
    </row>
    <row r="380" ht="15.75" customHeight="1"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215"/>
      <c r="P380" s="216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  <c r="AA380" s="119"/>
      <c r="AB380" s="119"/>
      <c r="AC380" s="119"/>
      <c r="AD380" s="119"/>
      <c r="AE380" s="119"/>
      <c r="AF380" s="119"/>
      <c r="AM380" s="119"/>
      <c r="AN380" s="208"/>
      <c r="AO380" s="119"/>
    </row>
    <row r="381" ht="15.75" customHeight="1"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215"/>
      <c r="P381" s="216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  <c r="AA381" s="119"/>
      <c r="AB381" s="119"/>
      <c r="AC381" s="119"/>
      <c r="AD381" s="119"/>
      <c r="AE381" s="119"/>
      <c r="AF381" s="119"/>
      <c r="AM381" s="119"/>
      <c r="AN381" s="208"/>
      <c r="AO381" s="119"/>
    </row>
    <row r="382" ht="15.75" customHeight="1"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215"/>
      <c r="P382" s="216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  <c r="AA382" s="119"/>
      <c r="AB382" s="119"/>
      <c r="AC382" s="119"/>
      <c r="AD382" s="119"/>
      <c r="AE382" s="119"/>
      <c r="AF382" s="119"/>
      <c r="AM382" s="119"/>
      <c r="AN382" s="208"/>
      <c r="AO382" s="119"/>
    </row>
    <row r="383" ht="15.75" customHeight="1"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215"/>
      <c r="P383" s="216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  <c r="AA383" s="119"/>
      <c r="AB383" s="119"/>
      <c r="AC383" s="119"/>
      <c r="AD383" s="119"/>
      <c r="AE383" s="119"/>
      <c r="AF383" s="119"/>
      <c r="AM383" s="119"/>
      <c r="AN383" s="208"/>
      <c r="AO383" s="119"/>
    </row>
    <row r="384" ht="15.75" customHeight="1"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215"/>
      <c r="P384" s="216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  <c r="AA384" s="119"/>
      <c r="AB384" s="119"/>
      <c r="AC384" s="119"/>
      <c r="AD384" s="119"/>
      <c r="AE384" s="119"/>
      <c r="AF384" s="119"/>
      <c r="AM384" s="119"/>
      <c r="AN384" s="208"/>
      <c r="AO384" s="119"/>
    </row>
    <row r="385" ht="15.75" customHeight="1"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215"/>
      <c r="P385" s="216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  <c r="AA385" s="119"/>
      <c r="AB385" s="119"/>
      <c r="AC385" s="119"/>
      <c r="AD385" s="119"/>
      <c r="AE385" s="119"/>
      <c r="AF385" s="119"/>
      <c r="AM385" s="119"/>
      <c r="AN385" s="208"/>
      <c r="AO385" s="119"/>
    </row>
    <row r="386" ht="15.75" customHeight="1"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215"/>
      <c r="P386" s="216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  <c r="AA386" s="119"/>
      <c r="AB386" s="119"/>
      <c r="AC386" s="119"/>
      <c r="AD386" s="119"/>
      <c r="AE386" s="119"/>
      <c r="AF386" s="119"/>
      <c r="AM386" s="119"/>
      <c r="AN386" s="208"/>
      <c r="AO386" s="119"/>
    </row>
    <row r="387" ht="15.75" customHeight="1"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215"/>
      <c r="P387" s="216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  <c r="AA387" s="119"/>
      <c r="AB387" s="119"/>
      <c r="AC387" s="119"/>
      <c r="AD387" s="119"/>
      <c r="AE387" s="119"/>
      <c r="AF387" s="119"/>
      <c r="AM387" s="119"/>
      <c r="AN387" s="208"/>
      <c r="AO387" s="119"/>
    </row>
    <row r="388" ht="15.75" customHeight="1"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215"/>
      <c r="P388" s="216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  <c r="AA388" s="119"/>
      <c r="AB388" s="119"/>
      <c r="AC388" s="119"/>
      <c r="AD388" s="119"/>
      <c r="AE388" s="119"/>
      <c r="AF388" s="119"/>
      <c r="AM388" s="119"/>
      <c r="AN388" s="208"/>
      <c r="AO388" s="119"/>
    </row>
    <row r="389" ht="15.75" customHeight="1"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215"/>
      <c r="P389" s="216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  <c r="AA389" s="119"/>
      <c r="AB389" s="119"/>
      <c r="AC389" s="119"/>
      <c r="AD389" s="119"/>
      <c r="AE389" s="119"/>
      <c r="AF389" s="119"/>
      <c r="AM389" s="119"/>
      <c r="AN389" s="208"/>
      <c r="AO389" s="119"/>
    </row>
    <row r="390" ht="15.75" customHeight="1"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215"/>
      <c r="P390" s="216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  <c r="AA390" s="119"/>
      <c r="AB390" s="119"/>
      <c r="AC390" s="119"/>
      <c r="AD390" s="119"/>
      <c r="AE390" s="119"/>
      <c r="AF390" s="119"/>
      <c r="AM390" s="119"/>
      <c r="AN390" s="208"/>
      <c r="AO390" s="119"/>
    </row>
    <row r="391" ht="15.75" customHeight="1"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215"/>
      <c r="P391" s="216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  <c r="AA391" s="119"/>
      <c r="AB391" s="119"/>
      <c r="AC391" s="119"/>
      <c r="AD391" s="119"/>
      <c r="AE391" s="119"/>
      <c r="AF391" s="119"/>
      <c r="AM391" s="119"/>
      <c r="AN391" s="208"/>
      <c r="AO391" s="119"/>
    </row>
    <row r="392" ht="15.75" customHeight="1"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215"/>
      <c r="P392" s="216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  <c r="AA392" s="119"/>
      <c r="AB392" s="119"/>
      <c r="AC392" s="119"/>
      <c r="AD392" s="119"/>
      <c r="AE392" s="119"/>
      <c r="AF392" s="119"/>
      <c r="AM392" s="119"/>
      <c r="AN392" s="208"/>
      <c r="AO392" s="119"/>
    </row>
    <row r="393" ht="15.75" customHeight="1"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215"/>
      <c r="P393" s="216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  <c r="AA393" s="119"/>
      <c r="AB393" s="119"/>
      <c r="AC393" s="119"/>
      <c r="AD393" s="119"/>
      <c r="AE393" s="119"/>
      <c r="AF393" s="119"/>
      <c r="AM393" s="119"/>
      <c r="AN393" s="208"/>
      <c r="AO393" s="119"/>
    </row>
    <row r="394" ht="15.75" customHeight="1"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215"/>
      <c r="P394" s="216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  <c r="AA394" s="119"/>
      <c r="AB394" s="119"/>
      <c r="AC394" s="119"/>
      <c r="AD394" s="119"/>
      <c r="AE394" s="119"/>
      <c r="AF394" s="119"/>
      <c r="AM394" s="119"/>
      <c r="AN394" s="208"/>
      <c r="AO394" s="119"/>
    </row>
    <row r="395" ht="15.75" customHeight="1"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215"/>
      <c r="P395" s="216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  <c r="AA395" s="119"/>
      <c r="AB395" s="119"/>
      <c r="AC395" s="119"/>
      <c r="AD395" s="119"/>
      <c r="AE395" s="119"/>
      <c r="AF395" s="119"/>
      <c r="AM395" s="119"/>
      <c r="AN395" s="208"/>
      <c r="AO395" s="119"/>
    </row>
    <row r="396" ht="15.75" customHeight="1"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215"/>
      <c r="P396" s="216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  <c r="AA396" s="119"/>
      <c r="AB396" s="119"/>
      <c r="AC396" s="119"/>
      <c r="AD396" s="119"/>
      <c r="AE396" s="119"/>
      <c r="AF396" s="119"/>
      <c r="AM396" s="119"/>
      <c r="AN396" s="208"/>
      <c r="AO396" s="119"/>
    </row>
    <row r="397" ht="15.75" customHeight="1"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215"/>
      <c r="P397" s="216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  <c r="AA397" s="119"/>
      <c r="AB397" s="119"/>
      <c r="AC397" s="119"/>
      <c r="AD397" s="119"/>
      <c r="AE397" s="119"/>
      <c r="AF397" s="119"/>
      <c r="AM397" s="119"/>
      <c r="AN397" s="208"/>
      <c r="AO397" s="119"/>
    </row>
    <row r="398" ht="15.75" customHeight="1"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215"/>
      <c r="P398" s="216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  <c r="AA398" s="119"/>
      <c r="AB398" s="119"/>
      <c r="AC398" s="119"/>
      <c r="AD398" s="119"/>
      <c r="AE398" s="119"/>
      <c r="AF398" s="119"/>
      <c r="AM398" s="119"/>
      <c r="AN398" s="208"/>
      <c r="AO398" s="119"/>
    </row>
    <row r="399" ht="15.75" customHeight="1"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215"/>
      <c r="P399" s="216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  <c r="AA399" s="119"/>
      <c r="AB399" s="119"/>
      <c r="AC399" s="119"/>
      <c r="AD399" s="119"/>
      <c r="AE399" s="119"/>
      <c r="AF399" s="119"/>
      <c r="AM399" s="119"/>
      <c r="AN399" s="208"/>
      <c r="AO399" s="119"/>
    </row>
    <row r="400" ht="15.75" customHeight="1"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215"/>
      <c r="P400" s="216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  <c r="AA400" s="119"/>
      <c r="AB400" s="119"/>
      <c r="AC400" s="119"/>
      <c r="AD400" s="119"/>
      <c r="AE400" s="119"/>
      <c r="AF400" s="119"/>
      <c r="AM400" s="119"/>
      <c r="AN400" s="208"/>
      <c r="AO400" s="119"/>
    </row>
    <row r="401" ht="15.75" customHeight="1"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215"/>
      <c r="P401" s="216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  <c r="AA401" s="119"/>
      <c r="AB401" s="119"/>
      <c r="AC401" s="119"/>
      <c r="AD401" s="119"/>
      <c r="AE401" s="119"/>
      <c r="AF401" s="119"/>
      <c r="AM401" s="119"/>
      <c r="AN401" s="208"/>
      <c r="AO401" s="119"/>
    </row>
    <row r="402" ht="15.75" customHeight="1"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215"/>
      <c r="P402" s="216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  <c r="AA402" s="119"/>
      <c r="AB402" s="119"/>
      <c r="AC402" s="119"/>
      <c r="AD402" s="119"/>
      <c r="AE402" s="119"/>
      <c r="AF402" s="119"/>
      <c r="AM402" s="119"/>
      <c r="AN402" s="208"/>
      <c r="AO402" s="119"/>
    </row>
    <row r="403" ht="15.75" customHeight="1"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215"/>
      <c r="P403" s="216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  <c r="AA403" s="119"/>
      <c r="AB403" s="119"/>
      <c r="AC403" s="119"/>
      <c r="AD403" s="119"/>
      <c r="AE403" s="119"/>
      <c r="AF403" s="119"/>
      <c r="AM403" s="119"/>
      <c r="AN403" s="208"/>
      <c r="AO403" s="119"/>
    </row>
    <row r="404" ht="15.75" customHeight="1"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215"/>
      <c r="P404" s="216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  <c r="AA404" s="119"/>
      <c r="AB404" s="119"/>
      <c r="AC404" s="119"/>
      <c r="AD404" s="119"/>
      <c r="AE404" s="119"/>
      <c r="AF404" s="119"/>
      <c r="AM404" s="119"/>
      <c r="AN404" s="208"/>
      <c r="AO404" s="119"/>
    </row>
    <row r="405" ht="15.75" customHeight="1"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215"/>
      <c r="P405" s="216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  <c r="AA405" s="119"/>
      <c r="AB405" s="119"/>
      <c r="AC405" s="119"/>
      <c r="AD405" s="119"/>
      <c r="AE405" s="119"/>
      <c r="AF405" s="119"/>
      <c r="AM405" s="119"/>
      <c r="AN405" s="208"/>
      <c r="AO405" s="119"/>
    </row>
    <row r="406" ht="15.75" customHeight="1"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215"/>
      <c r="P406" s="216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  <c r="AA406" s="119"/>
      <c r="AB406" s="119"/>
      <c r="AC406" s="119"/>
      <c r="AD406" s="119"/>
      <c r="AE406" s="119"/>
      <c r="AF406" s="119"/>
      <c r="AM406" s="119"/>
      <c r="AN406" s="208"/>
      <c r="AO406" s="119"/>
    </row>
    <row r="407" ht="15.75" customHeight="1"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215"/>
      <c r="P407" s="216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  <c r="AA407" s="119"/>
      <c r="AB407" s="119"/>
      <c r="AC407" s="119"/>
      <c r="AD407" s="119"/>
      <c r="AE407" s="119"/>
      <c r="AF407" s="119"/>
      <c r="AM407" s="119"/>
      <c r="AN407" s="208"/>
      <c r="AO407" s="119"/>
    </row>
    <row r="408" ht="15.75" customHeight="1"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215"/>
      <c r="P408" s="216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  <c r="AA408" s="119"/>
      <c r="AB408" s="119"/>
      <c r="AC408" s="119"/>
      <c r="AD408" s="119"/>
      <c r="AE408" s="119"/>
      <c r="AF408" s="119"/>
      <c r="AM408" s="119"/>
      <c r="AN408" s="208"/>
      <c r="AO408" s="119"/>
    </row>
    <row r="409" ht="15.75" customHeight="1"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215"/>
      <c r="P409" s="216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  <c r="AA409" s="119"/>
      <c r="AB409" s="119"/>
      <c r="AC409" s="119"/>
      <c r="AD409" s="119"/>
      <c r="AE409" s="119"/>
      <c r="AF409" s="119"/>
      <c r="AM409" s="119"/>
      <c r="AN409" s="208"/>
      <c r="AO409" s="119"/>
    </row>
    <row r="410" ht="15.75" customHeight="1"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215"/>
      <c r="P410" s="216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  <c r="AA410" s="119"/>
      <c r="AB410" s="119"/>
      <c r="AC410" s="119"/>
      <c r="AD410" s="119"/>
      <c r="AE410" s="119"/>
      <c r="AF410" s="119"/>
      <c r="AM410" s="119"/>
      <c r="AN410" s="208"/>
      <c r="AO410" s="119"/>
    </row>
    <row r="411" ht="15.75" customHeight="1"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215"/>
      <c r="P411" s="216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  <c r="AA411" s="119"/>
      <c r="AB411" s="119"/>
      <c r="AC411" s="119"/>
      <c r="AD411" s="119"/>
      <c r="AE411" s="119"/>
      <c r="AF411" s="119"/>
      <c r="AM411" s="119"/>
      <c r="AN411" s="208"/>
      <c r="AO411" s="119"/>
    </row>
    <row r="412" ht="15.75" customHeight="1"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215"/>
      <c r="P412" s="216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  <c r="AA412" s="119"/>
      <c r="AB412" s="119"/>
      <c r="AC412" s="119"/>
      <c r="AD412" s="119"/>
      <c r="AE412" s="119"/>
      <c r="AF412" s="119"/>
      <c r="AM412" s="119"/>
      <c r="AN412" s="208"/>
      <c r="AO412" s="119"/>
    </row>
    <row r="413" ht="15.75" customHeight="1"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215"/>
      <c r="P413" s="216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  <c r="AA413" s="119"/>
      <c r="AB413" s="119"/>
      <c r="AC413" s="119"/>
      <c r="AD413" s="119"/>
      <c r="AE413" s="119"/>
      <c r="AF413" s="119"/>
      <c r="AM413" s="119"/>
      <c r="AN413" s="208"/>
      <c r="AO413" s="119"/>
    </row>
    <row r="414" ht="15.75" customHeight="1"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215"/>
      <c r="P414" s="216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  <c r="AA414" s="119"/>
      <c r="AB414" s="119"/>
      <c r="AC414" s="119"/>
      <c r="AD414" s="119"/>
      <c r="AE414" s="119"/>
      <c r="AF414" s="119"/>
      <c r="AM414" s="119"/>
      <c r="AN414" s="208"/>
      <c r="AO414" s="119"/>
    </row>
    <row r="415" ht="15.75" customHeight="1"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215"/>
      <c r="P415" s="216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  <c r="AA415" s="119"/>
      <c r="AB415" s="119"/>
      <c r="AC415" s="119"/>
      <c r="AD415" s="119"/>
      <c r="AE415" s="119"/>
      <c r="AF415" s="119"/>
      <c r="AM415" s="119"/>
      <c r="AN415" s="208"/>
      <c r="AO415" s="119"/>
    </row>
    <row r="416" ht="15.75" customHeight="1"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215"/>
      <c r="P416" s="216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  <c r="AA416" s="119"/>
      <c r="AB416" s="119"/>
      <c r="AC416" s="119"/>
      <c r="AD416" s="119"/>
      <c r="AE416" s="119"/>
      <c r="AF416" s="119"/>
      <c r="AM416" s="119"/>
      <c r="AN416" s="208"/>
      <c r="AO416" s="119"/>
    </row>
    <row r="417" ht="15.75" customHeight="1"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215"/>
      <c r="P417" s="216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  <c r="AA417" s="119"/>
      <c r="AB417" s="119"/>
      <c r="AC417" s="119"/>
      <c r="AD417" s="119"/>
      <c r="AE417" s="119"/>
      <c r="AF417" s="119"/>
      <c r="AM417" s="119"/>
      <c r="AN417" s="208"/>
      <c r="AO417" s="119"/>
    </row>
    <row r="418" ht="15.75" customHeight="1"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215"/>
      <c r="P418" s="216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  <c r="AA418" s="119"/>
      <c r="AB418" s="119"/>
      <c r="AC418" s="119"/>
      <c r="AD418" s="119"/>
      <c r="AE418" s="119"/>
      <c r="AF418" s="119"/>
      <c r="AM418" s="119"/>
      <c r="AN418" s="208"/>
      <c r="AO418" s="119"/>
    </row>
    <row r="419" ht="15.75" customHeight="1"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215"/>
      <c r="P419" s="216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  <c r="AF419" s="119"/>
      <c r="AM419" s="119"/>
      <c r="AN419" s="208"/>
      <c r="AO419" s="119"/>
    </row>
    <row r="420" ht="15.75" customHeight="1"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215"/>
      <c r="P420" s="216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  <c r="AA420" s="119"/>
      <c r="AB420" s="119"/>
      <c r="AC420" s="119"/>
      <c r="AD420" s="119"/>
      <c r="AE420" s="119"/>
      <c r="AF420" s="119"/>
      <c r="AM420" s="119"/>
      <c r="AN420" s="208"/>
      <c r="AO420" s="119"/>
    </row>
    <row r="421" ht="15.75" customHeight="1"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215"/>
      <c r="P421" s="216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  <c r="AA421" s="119"/>
      <c r="AB421" s="119"/>
      <c r="AC421" s="119"/>
      <c r="AD421" s="119"/>
      <c r="AE421" s="119"/>
      <c r="AF421" s="119"/>
      <c r="AM421" s="119"/>
      <c r="AN421" s="208"/>
      <c r="AO421" s="119"/>
    </row>
    <row r="422" ht="15.75" customHeight="1"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215"/>
      <c r="P422" s="216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  <c r="AA422" s="119"/>
      <c r="AB422" s="119"/>
      <c r="AC422" s="119"/>
      <c r="AD422" s="119"/>
      <c r="AE422" s="119"/>
      <c r="AF422" s="119"/>
      <c r="AM422" s="119"/>
      <c r="AN422" s="208"/>
      <c r="AO422" s="119"/>
    </row>
    <row r="423" ht="15.75" customHeight="1"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215"/>
      <c r="P423" s="216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  <c r="AA423" s="119"/>
      <c r="AB423" s="119"/>
      <c r="AC423" s="119"/>
      <c r="AD423" s="119"/>
      <c r="AE423" s="119"/>
      <c r="AF423" s="119"/>
      <c r="AM423" s="119"/>
      <c r="AN423" s="208"/>
      <c r="AO423" s="119"/>
    </row>
    <row r="424" ht="15.75" customHeight="1"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215"/>
      <c r="P424" s="216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  <c r="AA424" s="119"/>
      <c r="AB424" s="119"/>
      <c r="AC424" s="119"/>
      <c r="AD424" s="119"/>
      <c r="AE424" s="119"/>
      <c r="AF424" s="119"/>
      <c r="AM424" s="119"/>
      <c r="AN424" s="208"/>
      <c r="AO424" s="119"/>
    </row>
    <row r="425" ht="15.75" customHeight="1"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215"/>
      <c r="P425" s="216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  <c r="AA425" s="119"/>
      <c r="AB425" s="119"/>
      <c r="AC425" s="119"/>
      <c r="AD425" s="119"/>
      <c r="AE425" s="119"/>
      <c r="AF425" s="119"/>
      <c r="AM425" s="119"/>
      <c r="AN425" s="208"/>
      <c r="AO425" s="119"/>
    </row>
    <row r="426" ht="15.75" customHeight="1"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215"/>
      <c r="P426" s="216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  <c r="AA426" s="119"/>
      <c r="AB426" s="119"/>
      <c r="AC426" s="119"/>
      <c r="AD426" s="119"/>
      <c r="AE426" s="119"/>
      <c r="AF426" s="119"/>
      <c r="AM426" s="119"/>
      <c r="AN426" s="208"/>
      <c r="AO426" s="119"/>
    </row>
    <row r="427" ht="15.75" customHeight="1"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215"/>
      <c r="P427" s="216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  <c r="AA427" s="119"/>
      <c r="AB427" s="119"/>
      <c r="AC427" s="119"/>
      <c r="AD427" s="119"/>
      <c r="AE427" s="119"/>
      <c r="AF427" s="119"/>
      <c r="AM427" s="119"/>
      <c r="AN427" s="208"/>
      <c r="AO427" s="119"/>
    </row>
    <row r="428" ht="15.75" customHeight="1"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215"/>
      <c r="P428" s="216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  <c r="AA428" s="119"/>
      <c r="AB428" s="119"/>
      <c r="AC428" s="119"/>
      <c r="AD428" s="119"/>
      <c r="AE428" s="119"/>
      <c r="AF428" s="119"/>
      <c r="AM428" s="119"/>
      <c r="AN428" s="208"/>
      <c r="AO428" s="119"/>
    </row>
    <row r="429" ht="15.75" customHeight="1"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215"/>
      <c r="P429" s="216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  <c r="AA429" s="119"/>
      <c r="AB429" s="119"/>
      <c r="AC429" s="119"/>
      <c r="AD429" s="119"/>
      <c r="AE429" s="119"/>
      <c r="AF429" s="119"/>
      <c r="AM429" s="119"/>
      <c r="AN429" s="208"/>
      <c r="AO429" s="119"/>
    </row>
    <row r="430" ht="15.75" customHeight="1"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215"/>
      <c r="P430" s="216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  <c r="AA430" s="119"/>
      <c r="AB430" s="119"/>
      <c r="AC430" s="119"/>
      <c r="AD430" s="119"/>
      <c r="AE430" s="119"/>
      <c r="AF430" s="119"/>
      <c r="AM430" s="119"/>
      <c r="AN430" s="208"/>
      <c r="AO430" s="119"/>
    </row>
    <row r="431" ht="15.75" customHeight="1"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215"/>
      <c r="P431" s="216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  <c r="AA431" s="119"/>
      <c r="AB431" s="119"/>
      <c r="AC431" s="119"/>
      <c r="AD431" s="119"/>
      <c r="AE431" s="119"/>
      <c r="AF431" s="119"/>
      <c r="AM431" s="119"/>
      <c r="AN431" s="208"/>
      <c r="AO431" s="119"/>
    </row>
    <row r="432" ht="15.75" customHeight="1"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215"/>
      <c r="P432" s="216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  <c r="AA432" s="119"/>
      <c r="AB432" s="119"/>
      <c r="AC432" s="119"/>
      <c r="AD432" s="119"/>
      <c r="AE432" s="119"/>
      <c r="AF432" s="119"/>
      <c r="AM432" s="119"/>
      <c r="AN432" s="208"/>
      <c r="AO432" s="119"/>
    </row>
    <row r="433" ht="15.75" customHeight="1"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215"/>
      <c r="P433" s="216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  <c r="AA433" s="119"/>
      <c r="AB433" s="119"/>
      <c r="AC433" s="119"/>
      <c r="AD433" s="119"/>
      <c r="AE433" s="119"/>
      <c r="AF433" s="119"/>
      <c r="AM433" s="119"/>
      <c r="AN433" s="208"/>
      <c r="AO433" s="119"/>
    </row>
    <row r="434" ht="15.75" customHeight="1"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215"/>
      <c r="P434" s="216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  <c r="AA434" s="119"/>
      <c r="AB434" s="119"/>
      <c r="AC434" s="119"/>
      <c r="AD434" s="119"/>
      <c r="AE434" s="119"/>
      <c r="AF434" s="119"/>
      <c r="AM434" s="119"/>
      <c r="AN434" s="208"/>
      <c r="AO434" s="119"/>
    </row>
    <row r="435" ht="15.75" customHeight="1"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215"/>
      <c r="P435" s="216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  <c r="AA435" s="119"/>
      <c r="AB435" s="119"/>
      <c r="AC435" s="119"/>
      <c r="AD435" s="119"/>
      <c r="AE435" s="119"/>
      <c r="AF435" s="119"/>
      <c r="AM435" s="119"/>
      <c r="AN435" s="208"/>
      <c r="AO435" s="119"/>
    </row>
    <row r="436" ht="15.75" customHeight="1"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215"/>
      <c r="P436" s="216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  <c r="AA436" s="119"/>
      <c r="AB436" s="119"/>
      <c r="AC436" s="119"/>
      <c r="AD436" s="119"/>
      <c r="AE436" s="119"/>
      <c r="AF436" s="119"/>
      <c r="AM436" s="119"/>
      <c r="AN436" s="208"/>
      <c r="AO436" s="119"/>
    </row>
    <row r="437" ht="15.75" customHeight="1"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215"/>
      <c r="P437" s="216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  <c r="AA437" s="119"/>
      <c r="AB437" s="119"/>
      <c r="AC437" s="119"/>
      <c r="AD437" s="119"/>
      <c r="AE437" s="119"/>
      <c r="AF437" s="119"/>
      <c r="AM437" s="119"/>
      <c r="AN437" s="208"/>
      <c r="AO437" s="119"/>
    </row>
    <row r="438" ht="15.75" customHeight="1"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215"/>
      <c r="P438" s="216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  <c r="AA438" s="119"/>
      <c r="AB438" s="119"/>
      <c r="AC438" s="119"/>
      <c r="AD438" s="119"/>
      <c r="AE438" s="119"/>
      <c r="AF438" s="119"/>
      <c r="AM438" s="119"/>
      <c r="AN438" s="208"/>
      <c r="AO438" s="119"/>
    </row>
    <row r="439" ht="15.75" customHeight="1"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215"/>
      <c r="P439" s="216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  <c r="AA439" s="119"/>
      <c r="AB439" s="119"/>
      <c r="AC439" s="119"/>
      <c r="AD439" s="119"/>
      <c r="AE439" s="119"/>
      <c r="AF439" s="119"/>
      <c r="AM439" s="119"/>
      <c r="AN439" s="208"/>
      <c r="AO439" s="119"/>
    </row>
    <row r="440" ht="15.75" customHeight="1"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215"/>
      <c r="P440" s="216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  <c r="AA440" s="119"/>
      <c r="AB440" s="119"/>
      <c r="AC440" s="119"/>
      <c r="AD440" s="119"/>
      <c r="AE440" s="119"/>
      <c r="AF440" s="119"/>
      <c r="AM440" s="119"/>
      <c r="AN440" s="208"/>
      <c r="AO440" s="119"/>
    </row>
    <row r="441" ht="15.75" customHeight="1"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215"/>
      <c r="P441" s="216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  <c r="AA441" s="119"/>
      <c r="AB441" s="119"/>
      <c r="AC441" s="119"/>
      <c r="AD441" s="119"/>
      <c r="AE441" s="119"/>
      <c r="AF441" s="119"/>
      <c r="AM441" s="119"/>
      <c r="AN441" s="208"/>
      <c r="AO441" s="119"/>
    </row>
    <row r="442" ht="15.75" customHeight="1"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215"/>
      <c r="P442" s="216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  <c r="AA442" s="119"/>
      <c r="AB442" s="119"/>
      <c r="AC442" s="119"/>
      <c r="AD442" s="119"/>
      <c r="AE442" s="119"/>
      <c r="AF442" s="119"/>
      <c r="AM442" s="119"/>
      <c r="AN442" s="208"/>
      <c r="AO442" s="119"/>
    </row>
    <row r="443" ht="15.75" customHeight="1"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215"/>
      <c r="P443" s="216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  <c r="AA443" s="119"/>
      <c r="AB443" s="119"/>
      <c r="AC443" s="119"/>
      <c r="AD443" s="119"/>
      <c r="AE443" s="119"/>
      <c r="AF443" s="119"/>
      <c r="AM443" s="119"/>
      <c r="AN443" s="208"/>
      <c r="AO443" s="119"/>
    </row>
    <row r="444" ht="15.75" customHeight="1"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215"/>
      <c r="P444" s="216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  <c r="AA444" s="119"/>
      <c r="AB444" s="119"/>
      <c r="AC444" s="119"/>
      <c r="AD444" s="119"/>
      <c r="AE444" s="119"/>
      <c r="AF444" s="119"/>
      <c r="AM444" s="119"/>
      <c r="AN444" s="208"/>
      <c r="AO444" s="119"/>
    </row>
    <row r="445" ht="15.75" customHeight="1"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215"/>
      <c r="P445" s="216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  <c r="AA445" s="119"/>
      <c r="AB445" s="119"/>
      <c r="AC445" s="119"/>
      <c r="AD445" s="119"/>
      <c r="AE445" s="119"/>
      <c r="AF445" s="119"/>
      <c r="AM445" s="119"/>
      <c r="AN445" s="208"/>
      <c r="AO445" s="119"/>
    </row>
    <row r="446" ht="15.75" customHeight="1"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215"/>
      <c r="P446" s="216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  <c r="AA446" s="119"/>
      <c r="AB446" s="119"/>
      <c r="AC446" s="119"/>
      <c r="AD446" s="119"/>
      <c r="AE446" s="119"/>
      <c r="AF446" s="119"/>
      <c r="AM446" s="119"/>
      <c r="AN446" s="208"/>
      <c r="AO446" s="119"/>
    </row>
    <row r="447" ht="15.75" customHeight="1"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215"/>
      <c r="P447" s="216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  <c r="AA447" s="119"/>
      <c r="AB447" s="119"/>
      <c r="AC447" s="119"/>
      <c r="AD447" s="119"/>
      <c r="AE447" s="119"/>
      <c r="AF447" s="119"/>
      <c r="AM447" s="119"/>
      <c r="AN447" s="208"/>
      <c r="AO447" s="119"/>
    </row>
    <row r="448" ht="15.75" customHeight="1"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215"/>
      <c r="P448" s="216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  <c r="AA448" s="119"/>
      <c r="AB448" s="119"/>
      <c r="AC448" s="119"/>
      <c r="AD448" s="119"/>
      <c r="AE448" s="119"/>
      <c r="AF448" s="119"/>
      <c r="AM448" s="119"/>
      <c r="AN448" s="208"/>
      <c r="AO448" s="119"/>
    </row>
    <row r="449" ht="15.75" customHeight="1"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215"/>
      <c r="P449" s="216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  <c r="AA449" s="119"/>
      <c r="AB449" s="119"/>
      <c r="AC449" s="119"/>
      <c r="AD449" s="119"/>
      <c r="AE449" s="119"/>
      <c r="AF449" s="119"/>
      <c r="AM449" s="119"/>
      <c r="AN449" s="208"/>
      <c r="AO449" s="119"/>
    </row>
    <row r="450" ht="15.75" customHeight="1"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215"/>
      <c r="P450" s="216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  <c r="AA450" s="119"/>
      <c r="AB450" s="119"/>
      <c r="AC450" s="119"/>
      <c r="AD450" s="119"/>
      <c r="AE450" s="119"/>
      <c r="AF450" s="119"/>
      <c r="AM450" s="119"/>
      <c r="AN450" s="208"/>
      <c r="AO450" s="119"/>
    </row>
    <row r="451" ht="15.75" customHeight="1"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215"/>
      <c r="P451" s="216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  <c r="AA451" s="119"/>
      <c r="AB451" s="119"/>
      <c r="AC451" s="119"/>
      <c r="AD451" s="119"/>
      <c r="AE451" s="119"/>
      <c r="AF451" s="119"/>
      <c r="AM451" s="119"/>
      <c r="AN451" s="208"/>
      <c r="AO451" s="119"/>
    </row>
    <row r="452" ht="15.75" customHeight="1"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215"/>
      <c r="P452" s="216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  <c r="AA452" s="119"/>
      <c r="AB452" s="119"/>
      <c r="AC452" s="119"/>
      <c r="AD452" s="119"/>
      <c r="AE452" s="119"/>
      <c r="AF452" s="119"/>
      <c r="AM452" s="119"/>
      <c r="AN452" s="208"/>
      <c r="AO452" s="119"/>
    </row>
    <row r="453" ht="15.75" customHeight="1"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215"/>
      <c r="P453" s="216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  <c r="AA453" s="119"/>
      <c r="AB453" s="119"/>
      <c r="AC453" s="119"/>
      <c r="AD453" s="119"/>
      <c r="AE453" s="119"/>
      <c r="AF453" s="119"/>
      <c r="AM453" s="119"/>
      <c r="AN453" s="208"/>
      <c r="AO453" s="119"/>
    </row>
    <row r="454" ht="15.75" customHeight="1"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215"/>
      <c r="P454" s="216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  <c r="AA454" s="119"/>
      <c r="AB454" s="119"/>
      <c r="AC454" s="119"/>
      <c r="AD454" s="119"/>
      <c r="AE454" s="119"/>
      <c r="AF454" s="119"/>
      <c r="AM454" s="119"/>
      <c r="AN454" s="208"/>
      <c r="AO454" s="119"/>
    </row>
    <row r="455" ht="15.75" customHeight="1"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215"/>
      <c r="P455" s="216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  <c r="AA455" s="119"/>
      <c r="AB455" s="119"/>
      <c r="AC455" s="119"/>
      <c r="AD455" s="119"/>
      <c r="AE455" s="119"/>
      <c r="AF455" s="119"/>
      <c r="AM455" s="119"/>
      <c r="AN455" s="208"/>
      <c r="AO455" s="119"/>
    </row>
    <row r="456" ht="15.75" customHeight="1"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215"/>
      <c r="P456" s="216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  <c r="AA456" s="119"/>
      <c r="AB456" s="119"/>
      <c r="AC456" s="119"/>
      <c r="AD456" s="119"/>
      <c r="AE456" s="119"/>
      <c r="AF456" s="119"/>
      <c r="AM456" s="119"/>
      <c r="AN456" s="208"/>
      <c r="AO456" s="119"/>
    </row>
    <row r="457" ht="15.75" customHeight="1"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215"/>
      <c r="P457" s="216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  <c r="AA457" s="119"/>
      <c r="AB457" s="119"/>
      <c r="AC457" s="119"/>
      <c r="AD457" s="119"/>
      <c r="AE457" s="119"/>
      <c r="AF457" s="119"/>
      <c r="AM457" s="119"/>
      <c r="AN457" s="208"/>
      <c r="AO457" s="119"/>
    </row>
    <row r="458" ht="15.75" customHeight="1"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215"/>
      <c r="P458" s="216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  <c r="AA458" s="119"/>
      <c r="AB458" s="119"/>
      <c r="AC458" s="119"/>
      <c r="AD458" s="119"/>
      <c r="AE458" s="119"/>
      <c r="AF458" s="119"/>
      <c r="AM458" s="119"/>
      <c r="AN458" s="208"/>
      <c r="AO458" s="119"/>
    </row>
    <row r="459" ht="15.75" customHeight="1"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215"/>
      <c r="P459" s="216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  <c r="AA459" s="119"/>
      <c r="AB459" s="119"/>
      <c r="AC459" s="119"/>
      <c r="AD459" s="119"/>
      <c r="AE459" s="119"/>
      <c r="AF459" s="119"/>
      <c r="AM459" s="119"/>
      <c r="AN459" s="208"/>
      <c r="AO459" s="119"/>
    </row>
    <row r="460" ht="15.75" customHeight="1"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215"/>
      <c r="P460" s="216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  <c r="AA460" s="119"/>
      <c r="AB460" s="119"/>
      <c r="AC460" s="119"/>
      <c r="AD460" s="119"/>
      <c r="AE460" s="119"/>
      <c r="AF460" s="119"/>
      <c r="AM460" s="119"/>
      <c r="AN460" s="208"/>
      <c r="AO460" s="119"/>
    </row>
    <row r="461" ht="15.75" customHeight="1"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215"/>
      <c r="P461" s="216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  <c r="AA461" s="119"/>
      <c r="AB461" s="119"/>
      <c r="AC461" s="119"/>
      <c r="AD461" s="119"/>
      <c r="AE461" s="119"/>
      <c r="AF461" s="119"/>
      <c r="AM461" s="119"/>
      <c r="AN461" s="208"/>
      <c r="AO461" s="119"/>
    </row>
    <row r="462" ht="15.75" customHeight="1"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215"/>
      <c r="P462" s="216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  <c r="AA462" s="119"/>
      <c r="AB462" s="119"/>
      <c r="AC462" s="119"/>
      <c r="AD462" s="119"/>
      <c r="AE462" s="119"/>
      <c r="AF462" s="119"/>
      <c r="AM462" s="119"/>
      <c r="AN462" s="208"/>
      <c r="AO462" s="119"/>
    </row>
    <row r="463" ht="15.75" customHeight="1"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215"/>
      <c r="P463" s="216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  <c r="AA463" s="119"/>
      <c r="AB463" s="119"/>
      <c r="AC463" s="119"/>
      <c r="AD463" s="119"/>
      <c r="AE463" s="119"/>
      <c r="AF463" s="119"/>
      <c r="AM463" s="119"/>
      <c r="AN463" s="208"/>
      <c r="AO463" s="119"/>
    </row>
    <row r="464" ht="15.75" customHeight="1"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215"/>
      <c r="P464" s="216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  <c r="AA464" s="119"/>
      <c r="AB464" s="119"/>
      <c r="AC464" s="119"/>
      <c r="AD464" s="119"/>
      <c r="AE464" s="119"/>
      <c r="AF464" s="119"/>
      <c r="AM464" s="119"/>
      <c r="AN464" s="208"/>
      <c r="AO464" s="119"/>
    </row>
    <row r="465" ht="15.75" customHeight="1"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215"/>
      <c r="P465" s="216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  <c r="AA465" s="119"/>
      <c r="AB465" s="119"/>
      <c r="AC465" s="119"/>
      <c r="AD465" s="119"/>
      <c r="AE465" s="119"/>
      <c r="AF465" s="119"/>
      <c r="AM465" s="119"/>
      <c r="AN465" s="208"/>
      <c r="AO465" s="119"/>
    </row>
    <row r="466" ht="15.75" customHeight="1"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215"/>
      <c r="P466" s="216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  <c r="AA466" s="119"/>
      <c r="AB466" s="119"/>
      <c r="AC466" s="119"/>
      <c r="AD466" s="119"/>
      <c r="AE466" s="119"/>
      <c r="AF466" s="119"/>
      <c r="AM466" s="119"/>
      <c r="AN466" s="208"/>
      <c r="AO466" s="119"/>
    </row>
    <row r="467" ht="15.75" customHeight="1"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215"/>
      <c r="P467" s="216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  <c r="AA467" s="119"/>
      <c r="AB467" s="119"/>
      <c r="AC467" s="119"/>
      <c r="AD467" s="119"/>
      <c r="AE467" s="119"/>
      <c r="AF467" s="119"/>
      <c r="AM467" s="119"/>
      <c r="AN467" s="208"/>
      <c r="AO467" s="119"/>
    </row>
    <row r="468" ht="15.75" customHeight="1"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215"/>
      <c r="P468" s="216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  <c r="AA468" s="119"/>
      <c r="AB468" s="119"/>
      <c r="AC468" s="119"/>
      <c r="AD468" s="119"/>
      <c r="AE468" s="119"/>
      <c r="AF468" s="119"/>
      <c r="AM468" s="119"/>
      <c r="AN468" s="208"/>
      <c r="AO468" s="119"/>
    </row>
    <row r="469" ht="15.75" customHeight="1"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215"/>
      <c r="P469" s="216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  <c r="AA469" s="119"/>
      <c r="AB469" s="119"/>
      <c r="AC469" s="119"/>
      <c r="AD469" s="119"/>
      <c r="AE469" s="119"/>
      <c r="AF469" s="119"/>
      <c r="AM469" s="119"/>
      <c r="AN469" s="208"/>
      <c r="AO469" s="119"/>
    </row>
    <row r="470" ht="15.75" customHeight="1"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215"/>
      <c r="P470" s="216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  <c r="AA470" s="119"/>
      <c r="AB470" s="119"/>
      <c r="AC470" s="119"/>
      <c r="AD470" s="119"/>
      <c r="AE470" s="119"/>
      <c r="AF470" s="119"/>
      <c r="AM470" s="119"/>
      <c r="AN470" s="208"/>
      <c r="AO470" s="119"/>
    </row>
    <row r="471" ht="15.75" customHeight="1"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215"/>
      <c r="P471" s="216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  <c r="AA471" s="119"/>
      <c r="AB471" s="119"/>
      <c r="AC471" s="119"/>
      <c r="AD471" s="119"/>
      <c r="AE471" s="119"/>
      <c r="AF471" s="119"/>
      <c r="AM471" s="119"/>
      <c r="AN471" s="208"/>
      <c r="AO471" s="119"/>
    </row>
    <row r="472" ht="15.75" customHeight="1"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215"/>
      <c r="P472" s="216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  <c r="AA472" s="119"/>
      <c r="AB472" s="119"/>
      <c r="AC472" s="119"/>
      <c r="AD472" s="119"/>
      <c r="AE472" s="119"/>
      <c r="AF472" s="119"/>
      <c r="AM472" s="119"/>
      <c r="AN472" s="208"/>
      <c r="AO472" s="119"/>
    </row>
    <row r="473" ht="15.75" customHeight="1"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215"/>
      <c r="P473" s="216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  <c r="AA473" s="119"/>
      <c r="AB473" s="119"/>
      <c r="AC473" s="119"/>
      <c r="AD473" s="119"/>
      <c r="AE473" s="119"/>
      <c r="AF473" s="119"/>
      <c r="AM473" s="119"/>
      <c r="AN473" s="208"/>
      <c r="AO473" s="119"/>
    </row>
    <row r="474" ht="15.75" customHeight="1"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215"/>
      <c r="P474" s="216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  <c r="AA474" s="119"/>
      <c r="AB474" s="119"/>
      <c r="AC474" s="119"/>
      <c r="AD474" s="119"/>
      <c r="AE474" s="119"/>
      <c r="AF474" s="119"/>
      <c r="AM474" s="119"/>
      <c r="AN474" s="208"/>
      <c r="AO474" s="119"/>
    </row>
    <row r="475" ht="15.75" customHeight="1"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215"/>
      <c r="P475" s="216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  <c r="AA475" s="119"/>
      <c r="AB475" s="119"/>
      <c r="AC475" s="119"/>
      <c r="AD475" s="119"/>
      <c r="AE475" s="119"/>
      <c r="AF475" s="119"/>
      <c r="AM475" s="119"/>
      <c r="AN475" s="208"/>
      <c r="AO475" s="119"/>
    </row>
    <row r="476" ht="15.75" customHeight="1"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215"/>
      <c r="P476" s="216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  <c r="AA476" s="119"/>
      <c r="AB476" s="119"/>
      <c r="AC476" s="119"/>
      <c r="AD476" s="119"/>
      <c r="AE476" s="119"/>
      <c r="AF476" s="119"/>
      <c r="AM476" s="119"/>
      <c r="AN476" s="208"/>
      <c r="AO476" s="119"/>
    </row>
    <row r="477" ht="15.75" customHeight="1"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215"/>
      <c r="P477" s="216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  <c r="AA477" s="119"/>
      <c r="AB477" s="119"/>
      <c r="AC477" s="119"/>
      <c r="AD477" s="119"/>
      <c r="AE477" s="119"/>
      <c r="AF477" s="119"/>
      <c r="AM477" s="119"/>
      <c r="AN477" s="208"/>
      <c r="AO477" s="119"/>
    </row>
    <row r="478" ht="15.75" customHeight="1"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215"/>
      <c r="P478" s="216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  <c r="AA478" s="119"/>
      <c r="AB478" s="119"/>
      <c r="AC478" s="119"/>
      <c r="AD478" s="119"/>
      <c r="AE478" s="119"/>
      <c r="AF478" s="119"/>
      <c r="AM478" s="119"/>
      <c r="AN478" s="208"/>
      <c r="AO478" s="119"/>
    </row>
    <row r="479" ht="15.75" customHeight="1"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215"/>
      <c r="P479" s="216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  <c r="AA479" s="119"/>
      <c r="AB479" s="119"/>
      <c r="AC479" s="119"/>
      <c r="AD479" s="119"/>
      <c r="AE479" s="119"/>
      <c r="AF479" s="119"/>
      <c r="AM479" s="119"/>
      <c r="AN479" s="208"/>
      <c r="AO479" s="119"/>
    </row>
    <row r="480" ht="15.75" customHeight="1"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215"/>
      <c r="P480" s="216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  <c r="AA480" s="119"/>
      <c r="AB480" s="119"/>
      <c r="AC480" s="119"/>
      <c r="AD480" s="119"/>
      <c r="AE480" s="119"/>
      <c r="AF480" s="119"/>
      <c r="AM480" s="119"/>
      <c r="AN480" s="208"/>
      <c r="AO480" s="119"/>
    </row>
    <row r="481" ht="15.75" customHeight="1"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215"/>
      <c r="P481" s="216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  <c r="AA481" s="119"/>
      <c r="AB481" s="119"/>
      <c r="AC481" s="119"/>
      <c r="AD481" s="119"/>
      <c r="AE481" s="119"/>
      <c r="AF481" s="119"/>
      <c r="AM481" s="119"/>
      <c r="AN481" s="208"/>
      <c r="AO481" s="119"/>
    </row>
    <row r="482" ht="15.75" customHeight="1"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215"/>
      <c r="P482" s="216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  <c r="AA482" s="119"/>
      <c r="AB482" s="119"/>
      <c r="AC482" s="119"/>
      <c r="AD482" s="119"/>
      <c r="AE482" s="119"/>
      <c r="AF482" s="119"/>
      <c r="AM482" s="119"/>
      <c r="AN482" s="208"/>
      <c r="AO482" s="119"/>
    </row>
    <row r="483" ht="15.75" customHeight="1"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215"/>
      <c r="P483" s="216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  <c r="AA483" s="119"/>
      <c r="AB483" s="119"/>
      <c r="AC483" s="119"/>
      <c r="AD483" s="119"/>
      <c r="AE483" s="119"/>
      <c r="AF483" s="119"/>
      <c r="AM483" s="119"/>
      <c r="AN483" s="208"/>
      <c r="AO483" s="119"/>
    </row>
    <row r="484" ht="15.75" customHeight="1"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215"/>
      <c r="P484" s="216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  <c r="AA484" s="119"/>
      <c r="AB484" s="119"/>
      <c r="AC484" s="119"/>
      <c r="AD484" s="119"/>
      <c r="AE484" s="119"/>
      <c r="AF484" s="119"/>
      <c r="AM484" s="119"/>
      <c r="AN484" s="208"/>
      <c r="AO484" s="119"/>
    </row>
    <row r="485" ht="15.75" customHeight="1"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215"/>
      <c r="P485" s="216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  <c r="AA485" s="119"/>
      <c r="AB485" s="119"/>
      <c r="AC485" s="119"/>
      <c r="AD485" s="119"/>
      <c r="AE485" s="119"/>
      <c r="AF485" s="119"/>
      <c r="AM485" s="119"/>
      <c r="AN485" s="208"/>
      <c r="AO485" s="119"/>
    </row>
    <row r="486" ht="15.75" customHeight="1"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215"/>
      <c r="P486" s="216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  <c r="AA486" s="119"/>
      <c r="AB486" s="119"/>
      <c r="AC486" s="119"/>
      <c r="AD486" s="119"/>
      <c r="AE486" s="119"/>
      <c r="AF486" s="119"/>
      <c r="AM486" s="119"/>
      <c r="AN486" s="208"/>
      <c r="AO486" s="119"/>
    </row>
    <row r="487" ht="15.75" customHeight="1"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215"/>
      <c r="P487" s="216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  <c r="AA487" s="119"/>
      <c r="AB487" s="119"/>
      <c r="AC487" s="119"/>
      <c r="AD487" s="119"/>
      <c r="AE487" s="119"/>
      <c r="AF487" s="119"/>
      <c r="AM487" s="119"/>
      <c r="AN487" s="208"/>
      <c r="AO487" s="119"/>
    </row>
    <row r="488" ht="15.75" customHeight="1"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215"/>
      <c r="P488" s="216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  <c r="AA488" s="119"/>
      <c r="AB488" s="119"/>
      <c r="AC488" s="119"/>
      <c r="AD488" s="119"/>
      <c r="AE488" s="119"/>
      <c r="AF488" s="119"/>
      <c r="AM488" s="119"/>
      <c r="AN488" s="208"/>
      <c r="AO488" s="119"/>
    </row>
    <row r="489" ht="15.75" customHeight="1"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215"/>
      <c r="P489" s="216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  <c r="AA489" s="119"/>
      <c r="AB489" s="119"/>
      <c r="AC489" s="119"/>
      <c r="AD489" s="119"/>
      <c r="AE489" s="119"/>
      <c r="AF489" s="119"/>
      <c r="AM489" s="119"/>
      <c r="AN489" s="208"/>
      <c r="AO489" s="119"/>
    </row>
    <row r="490" ht="15.75" customHeight="1"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215"/>
      <c r="P490" s="216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  <c r="AA490" s="119"/>
      <c r="AB490" s="119"/>
      <c r="AC490" s="119"/>
      <c r="AD490" s="119"/>
      <c r="AE490" s="119"/>
      <c r="AF490" s="119"/>
      <c r="AM490" s="119"/>
      <c r="AN490" s="208"/>
      <c r="AO490" s="119"/>
    </row>
    <row r="491" ht="15.75" customHeight="1"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215"/>
      <c r="P491" s="216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  <c r="AA491" s="119"/>
      <c r="AB491" s="119"/>
      <c r="AC491" s="119"/>
      <c r="AD491" s="119"/>
      <c r="AE491" s="119"/>
      <c r="AF491" s="119"/>
      <c r="AM491" s="119"/>
      <c r="AN491" s="208"/>
      <c r="AO491" s="119"/>
    </row>
    <row r="492" ht="15.75" customHeight="1"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215"/>
      <c r="P492" s="216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  <c r="AA492" s="119"/>
      <c r="AB492" s="119"/>
      <c r="AC492" s="119"/>
      <c r="AD492" s="119"/>
      <c r="AE492" s="119"/>
      <c r="AF492" s="119"/>
      <c r="AM492" s="119"/>
      <c r="AN492" s="208"/>
      <c r="AO492" s="119"/>
    </row>
    <row r="493" ht="15.75" customHeight="1"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215"/>
      <c r="P493" s="216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  <c r="AA493" s="119"/>
      <c r="AB493" s="119"/>
      <c r="AC493" s="119"/>
      <c r="AD493" s="119"/>
      <c r="AE493" s="119"/>
      <c r="AF493" s="119"/>
      <c r="AM493" s="119"/>
      <c r="AN493" s="208"/>
      <c r="AO493" s="119"/>
    </row>
    <row r="494" ht="15.75" customHeight="1"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215"/>
      <c r="P494" s="216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  <c r="AA494" s="119"/>
      <c r="AB494" s="119"/>
      <c r="AC494" s="119"/>
      <c r="AD494" s="119"/>
      <c r="AE494" s="119"/>
      <c r="AF494" s="119"/>
      <c r="AM494" s="119"/>
      <c r="AN494" s="208"/>
      <c r="AO494" s="119"/>
    </row>
    <row r="495" ht="15.75" customHeight="1"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215"/>
      <c r="P495" s="216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  <c r="AA495" s="119"/>
      <c r="AB495" s="119"/>
      <c r="AC495" s="119"/>
      <c r="AD495" s="119"/>
      <c r="AE495" s="119"/>
      <c r="AF495" s="119"/>
      <c r="AM495" s="119"/>
      <c r="AN495" s="208"/>
      <c r="AO495" s="119"/>
    </row>
    <row r="496" ht="15.75" customHeight="1"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215"/>
      <c r="P496" s="216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  <c r="AA496" s="119"/>
      <c r="AB496" s="119"/>
      <c r="AC496" s="119"/>
      <c r="AD496" s="119"/>
      <c r="AE496" s="119"/>
      <c r="AF496" s="119"/>
      <c r="AM496" s="119"/>
      <c r="AN496" s="208"/>
      <c r="AO496" s="119"/>
    </row>
    <row r="497" ht="15.75" customHeight="1"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215"/>
      <c r="P497" s="216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  <c r="AA497" s="119"/>
      <c r="AB497" s="119"/>
      <c r="AC497" s="119"/>
      <c r="AD497" s="119"/>
      <c r="AE497" s="119"/>
      <c r="AF497" s="119"/>
      <c r="AM497" s="119"/>
      <c r="AN497" s="208"/>
      <c r="AO497" s="119"/>
    </row>
    <row r="498" ht="15.75" customHeight="1"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215"/>
      <c r="P498" s="216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  <c r="AA498" s="119"/>
      <c r="AB498" s="119"/>
      <c r="AC498" s="119"/>
      <c r="AD498" s="119"/>
      <c r="AE498" s="119"/>
      <c r="AF498" s="119"/>
      <c r="AM498" s="119"/>
      <c r="AN498" s="208"/>
      <c r="AO498" s="119"/>
    </row>
    <row r="499" ht="15.75" customHeight="1"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215"/>
      <c r="P499" s="216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  <c r="AA499" s="119"/>
      <c r="AB499" s="119"/>
      <c r="AC499" s="119"/>
      <c r="AD499" s="119"/>
      <c r="AE499" s="119"/>
      <c r="AF499" s="119"/>
      <c r="AM499" s="119"/>
      <c r="AN499" s="208"/>
      <c r="AO499" s="119"/>
    </row>
    <row r="500" ht="15.75" customHeight="1"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215"/>
      <c r="P500" s="216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  <c r="AA500" s="119"/>
      <c r="AB500" s="119"/>
      <c r="AC500" s="119"/>
      <c r="AD500" s="119"/>
      <c r="AE500" s="119"/>
      <c r="AF500" s="119"/>
      <c r="AM500" s="119"/>
      <c r="AN500" s="208"/>
      <c r="AO500" s="119"/>
    </row>
    <row r="501" ht="15.75" customHeight="1"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215"/>
      <c r="P501" s="216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  <c r="AA501" s="119"/>
      <c r="AB501" s="119"/>
      <c r="AC501" s="119"/>
      <c r="AD501" s="119"/>
      <c r="AE501" s="119"/>
      <c r="AF501" s="119"/>
      <c r="AM501" s="119"/>
      <c r="AN501" s="208"/>
      <c r="AO501" s="119"/>
    </row>
    <row r="502" ht="15.75" customHeight="1"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215"/>
      <c r="P502" s="216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  <c r="AA502" s="119"/>
      <c r="AB502" s="119"/>
      <c r="AC502" s="119"/>
      <c r="AD502" s="119"/>
      <c r="AE502" s="119"/>
      <c r="AF502" s="119"/>
      <c r="AM502" s="119"/>
      <c r="AN502" s="208"/>
      <c r="AO502" s="119"/>
    </row>
    <row r="503" ht="15.75" customHeight="1"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215"/>
      <c r="P503" s="216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  <c r="AA503" s="119"/>
      <c r="AB503" s="119"/>
      <c r="AC503" s="119"/>
      <c r="AD503" s="119"/>
      <c r="AE503" s="119"/>
      <c r="AF503" s="119"/>
      <c r="AM503" s="119"/>
      <c r="AN503" s="208"/>
      <c r="AO503" s="119"/>
    </row>
    <row r="504" ht="15.75" customHeight="1"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215"/>
      <c r="P504" s="216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  <c r="AA504" s="119"/>
      <c r="AB504" s="119"/>
      <c r="AC504" s="119"/>
      <c r="AD504" s="119"/>
      <c r="AE504" s="119"/>
      <c r="AF504" s="119"/>
      <c r="AM504" s="119"/>
      <c r="AN504" s="208"/>
      <c r="AO504" s="119"/>
    </row>
    <row r="505" ht="15.75" customHeight="1"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215"/>
      <c r="P505" s="216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  <c r="AA505" s="119"/>
      <c r="AB505" s="119"/>
      <c r="AC505" s="119"/>
      <c r="AD505" s="119"/>
      <c r="AE505" s="119"/>
      <c r="AF505" s="119"/>
      <c r="AM505" s="119"/>
      <c r="AN505" s="208"/>
      <c r="AO505" s="119"/>
    </row>
    <row r="506" ht="15.75" customHeight="1"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215"/>
      <c r="P506" s="216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  <c r="AA506" s="119"/>
      <c r="AB506" s="119"/>
      <c r="AC506" s="119"/>
      <c r="AD506" s="119"/>
      <c r="AE506" s="119"/>
      <c r="AF506" s="119"/>
      <c r="AM506" s="119"/>
      <c r="AN506" s="208"/>
      <c r="AO506" s="119"/>
    </row>
    <row r="507" ht="15.75" customHeight="1"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215"/>
      <c r="P507" s="216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  <c r="AA507" s="119"/>
      <c r="AB507" s="119"/>
      <c r="AC507" s="119"/>
      <c r="AD507" s="119"/>
      <c r="AE507" s="119"/>
      <c r="AF507" s="119"/>
      <c r="AM507" s="119"/>
      <c r="AN507" s="208"/>
      <c r="AO507" s="119"/>
    </row>
    <row r="508" ht="15.75" customHeight="1"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215"/>
      <c r="P508" s="216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  <c r="AA508" s="119"/>
      <c r="AB508" s="119"/>
      <c r="AC508" s="119"/>
      <c r="AD508" s="119"/>
      <c r="AE508" s="119"/>
      <c r="AF508" s="119"/>
      <c r="AM508" s="119"/>
      <c r="AN508" s="208"/>
      <c r="AO508" s="119"/>
    </row>
    <row r="509" ht="15.75" customHeight="1"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215"/>
      <c r="P509" s="216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  <c r="AA509" s="119"/>
      <c r="AB509" s="119"/>
      <c r="AC509" s="119"/>
      <c r="AD509" s="119"/>
      <c r="AE509" s="119"/>
      <c r="AF509" s="119"/>
      <c r="AM509" s="119"/>
      <c r="AN509" s="208"/>
      <c r="AO509" s="119"/>
    </row>
    <row r="510" ht="15.75" customHeight="1"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215"/>
      <c r="P510" s="216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  <c r="AA510" s="119"/>
      <c r="AB510" s="119"/>
      <c r="AC510" s="119"/>
      <c r="AD510" s="119"/>
      <c r="AE510" s="119"/>
      <c r="AF510" s="119"/>
      <c r="AM510" s="119"/>
      <c r="AN510" s="208"/>
      <c r="AO510" s="119"/>
    </row>
    <row r="511" ht="15.75" customHeight="1"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215"/>
      <c r="P511" s="216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  <c r="AA511" s="119"/>
      <c r="AB511" s="119"/>
      <c r="AC511" s="119"/>
      <c r="AD511" s="119"/>
      <c r="AE511" s="119"/>
      <c r="AF511" s="119"/>
      <c r="AM511" s="119"/>
      <c r="AN511" s="208"/>
      <c r="AO511" s="119"/>
    </row>
    <row r="512" ht="15.75" customHeight="1"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215"/>
      <c r="P512" s="216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  <c r="AA512" s="119"/>
      <c r="AB512" s="119"/>
      <c r="AC512" s="119"/>
      <c r="AD512" s="119"/>
      <c r="AE512" s="119"/>
      <c r="AF512" s="119"/>
      <c r="AM512" s="119"/>
      <c r="AN512" s="208"/>
      <c r="AO512" s="119"/>
    </row>
    <row r="513" ht="15.75" customHeight="1"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215"/>
      <c r="P513" s="216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  <c r="AA513" s="119"/>
      <c r="AB513" s="119"/>
      <c r="AC513" s="119"/>
      <c r="AD513" s="119"/>
      <c r="AE513" s="119"/>
      <c r="AF513" s="119"/>
      <c r="AM513" s="119"/>
      <c r="AN513" s="208"/>
      <c r="AO513" s="119"/>
    </row>
    <row r="514" ht="15.75" customHeight="1"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215"/>
      <c r="P514" s="216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  <c r="AA514" s="119"/>
      <c r="AB514" s="119"/>
      <c r="AC514" s="119"/>
      <c r="AD514" s="119"/>
      <c r="AE514" s="119"/>
      <c r="AF514" s="119"/>
      <c r="AM514" s="119"/>
      <c r="AN514" s="208"/>
      <c r="AO514" s="119"/>
    </row>
    <row r="515" ht="15.75" customHeight="1"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215"/>
      <c r="P515" s="216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  <c r="AA515" s="119"/>
      <c r="AB515" s="119"/>
      <c r="AC515" s="119"/>
      <c r="AD515" s="119"/>
      <c r="AE515" s="119"/>
      <c r="AF515" s="119"/>
      <c r="AM515" s="119"/>
      <c r="AN515" s="208"/>
      <c r="AO515" s="119"/>
    </row>
    <row r="516" ht="15.75" customHeight="1"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215"/>
      <c r="P516" s="216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  <c r="AA516" s="119"/>
      <c r="AB516" s="119"/>
      <c r="AC516" s="119"/>
      <c r="AD516" s="119"/>
      <c r="AE516" s="119"/>
      <c r="AF516" s="119"/>
      <c r="AM516" s="119"/>
      <c r="AN516" s="208"/>
      <c r="AO516" s="119"/>
    </row>
    <row r="517" ht="15.75" customHeight="1"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215"/>
      <c r="P517" s="216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  <c r="AA517" s="119"/>
      <c r="AB517" s="119"/>
      <c r="AC517" s="119"/>
      <c r="AD517" s="119"/>
      <c r="AE517" s="119"/>
      <c r="AF517" s="119"/>
      <c r="AM517" s="119"/>
      <c r="AN517" s="208"/>
      <c r="AO517" s="119"/>
    </row>
    <row r="518" ht="15.75" customHeight="1"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215"/>
      <c r="P518" s="216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  <c r="AA518" s="119"/>
      <c r="AB518" s="119"/>
      <c r="AC518" s="119"/>
      <c r="AD518" s="119"/>
      <c r="AE518" s="119"/>
      <c r="AF518" s="119"/>
      <c r="AM518" s="119"/>
      <c r="AN518" s="208"/>
      <c r="AO518" s="119"/>
    </row>
    <row r="519" ht="15.75" customHeight="1"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215"/>
      <c r="P519" s="216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  <c r="AA519" s="119"/>
      <c r="AB519" s="119"/>
      <c r="AC519" s="119"/>
      <c r="AD519" s="119"/>
      <c r="AE519" s="119"/>
      <c r="AF519" s="119"/>
      <c r="AM519" s="119"/>
      <c r="AN519" s="208"/>
      <c r="AO519" s="119"/>
    </row>
    <row r="520" ht="15.75" customHeight="1"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215"/>
      <c r="P520" s="216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  <c r="AA520" s="119"/>
      <c r="AB520" s="119"/>
      <c r="AC520" s="119"/>
      <c r="AD520" s="119"/>
      <c r="AE520" s="119"/>
      <c r="AF520" s="119"/>
      <c r="AM520" s="119"/>
      <c r="AN520" s="208"/>
      <c r="AO520" s="119"/>
    </row>
    <row r="521" ht="15.75" customHeight="1"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215"/>
      <c r="P521" s="216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  <c r="AA521" s="119"/>
      <c r="AB521" s="119"/>
      <c r="AC521" s="119"/>
      <c r="AD521" s="119"/>
      <c r="AE521" s="119"/>
      <c r="AF521" s="119"/>
      <c r="AM521" s="119"/>
      <c r="AN521" s="208"/>
      <c r="AO521" s="119"/>
    </row>
    <row r="522" ht="15.75" customHeight="1"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215"/>
      <c r="P522" s="216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  <c r="AA522" s="119"/>
      <c r="AB522" s="119"/>
      <c r="AC522" s="119"/>
      <c r="AD522" s="119"/>
      <c r="AE522" s="119"/>
      <c r="AF522" s="119"/>
      <c r="AM522" s="119"/>
      <c r="AN522" s="208"/>
      <c r="AO522" s="119"/>
    </row>
    <row r="523" ht="15.75" customHeight="1"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215"/>
      <c r="P523" s="216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  <c r="AA523" s="119"/>
      <c r="AB523" s="119"/>
      <c r="AC523" s="119"/>
      <c r="AD523" s="119"/>
      <c r="AE523" s="119"/>
      <c r="AF523" s="119"/>
      <c r="AM523" s="119"/>
      <c r="AN523" s="208"/>
      <c r="AO523" s="119"/>
    </row>
    <row r="524" ht="15.75" customHeight="1"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215"/>
      <c r="P524" s="216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  <c r="AA524" s="119"/>
      <c r="AB524" s="119"/>
      <c r="AC524" s="119"/>
      <c r="AD524" s="119"/>
      <c r="AE524" s="119"/>
      <c r="AF524" s="119"/>
      <c r="AM524" s="119"/>
      <c r="AN524" s="208"/>
      <c r="AO524" s="119"/>
    </row>
    <row r="525" ht="15.75" customHeight="1"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215"/>
      <c r="P525" s="216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  <c r="AA525" s="119"/>
      <c r="AB525" s="119"/>
      <c r="AC525" s="119"/>
      <c r="AD525" s="119"/>
      <c r="AE525" s="119"/>
      <c r="AF525" s="119"/>
      <c r="AM525" s="119"/>
      <c r="AN525" s="208"/>
      <c r="AO525" s="119"/>
    </row>
    <row r="526" ht="15.75" customHeight="1"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215"/>
      <c r="P526" s="216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  <c r="AA526" s="119"/>
      <c r="AB526" s="119"/>
      <c r="AC526" s="119"/>
      <c r="AD526" s="119"/>
      <c r="AE526" s="119"/>
      <c r="AF526" s="119"/>
      <c r="AM526" s="119"/>
      <c r="AN526" s="208"/>
      <c r="AO526" s="119"/>
    </row>
    <row r="527" ht="15.75" customHeight="1"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215"/>
      <c r="P527" s="216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  <c r="AA527" s="119"/>
      <c r="AB527" s="119"/>
      <c r="AC527" s="119"/>
      <c r="AD527" s="119"/>
      <c r="AE527" s="119"/>
      <c r="AF527" s="119"/>
      <c r="AM527" s="119"/>
      <c r="AN527" s="208"/>
      <c r="AO527" s="119"/>
    </row>
    <row r="528" ht="15.75" customHeight="1"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215"/>
      <c r="P528" s="216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  <c r="AA528" s="119"/>
      <c r="AB528" s="119"/>
      <c r="AC528" s="119"/>
      <c r="AD528" s="119"/>
      <c r="AE528" s="119"/>
      <c r="AF528" s="119"/>
      <c r="AM528" s="119"/>
      <c r="AN528" s="208"/>
      <c r="AO528" s="119"/>
    </row>
    <row r="529" ht="15.75" customHeight="1"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215"/>
      <c r="P529" s="216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  <c r="AB529" s="119"/>
      <c r="AC529" s="119"/>
      <c r="AD529" s="119"/>
      <c r="AE529" s="119"/>
      <c r="AF529" s="119"/>
      <c r="AM529" s="119"/>
      <c r="AN529" s="208"/>
      <c r="AO529" s="119"/>
    </row>
    <row r="530" ht="15.75" customHeight="1"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215"/>
      <c r="P530" s="216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  <c r="AA530" s="119"/>
      <c r="AB530" s="119"/>
      <c r="AC530" s="119"/>
      <c r="AD530" s="119"/>
      <c r="AE530" s="119"/>
      <c r="AF530" s="119"/>
      <c r="AM530" s="119"/>
      <c r="AN530" s="208"/>
      <c r="AO530" s="119"/>
    </row>
    <row r="531" ht="15.75" customHeight="1"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215"/>
      <c r="P531" s="216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  <c r="AA531" s="119"/>
      <c r="AB531" s="119"/>
      <c r="AC531" s="119"/>
      <c r="AD531" s="119"/>
      <c r="AE531" s="119"/>
      <c r="AF531" s="119"/>
      <c r="AM531" s="119"/>
      <c r="AN531" s="208"/>
      <c r="AO531" s="119"/>
    </row>
    <row r="532" ht="15.75" customHeight="1"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215"/>
      <c r="P532" s="216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  <c r="AA532" s="119"/>
      <c r="AB532" s="119"/>
      <c r="AC532" s="119"/>
      <c r="AD532" s="119"/>
      <c r="AE532" s="119"/>
      <c r="AF532" s="119"/>
      <c r="AM532" s="119"/>
      <c r="AN532" s="208"/>
      <c r="AO532" s="119"/>
    </row>
    <row r="533" ht="15.75" customHeight="1"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215"/>
      <c r="P533" s="216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  <c r="AA533" s="119"/>
      <c r="AB533" s="119"/>
      <c r="AC533" s="119"/>
      <c r="AD533" s="119"/>
      <c r="AE533" s="119"/>
      <c r="AF533" s="119"/>
      <c r="AM533" s="119"/>
      <c r="AN533" s="208"/>
      <c r="AO533" s="119"/>
    </row>
    <row r="534" ht="15.75" customHeight="1"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215"/>
      <c r="P534" s="216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  <c r="AA534" s="119"/>
      <c r="AB534" s="119"/>
      <c r="AC534" s="119"/>
      <c r="AD534" s="119"/>
      <c r="AE534" s="119"/>
      <c r="AF534" s="119"/>
      <c r="AM534" s="119"/>
      <c r="AN534" s="208"/>
      <c r="AO534" s="119"/>
    </row>
    <row r="535" ht="15.75" customHeight="1"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215"/>
      <c r="P535" s="216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  <c r="AA535" s="119"/>
      <c r="AB535" s="119"/>
      <c r="AC535" s="119"/>
      <c r="AD535" s="119"/>
      <c r="AE535" s="119"/>
      <c r="AF535" s="119"/>
      <c r="AM535" s="119"/>
      <c r="AN535" s="208"/>
      <c r="AO535" s="119"/>
    </row>
    <row r="536" ht="15.75" customHeight="1"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215"/>
      <c r="P536" s="216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  <c r="AA536" s="119"/>
      <c r="AB536" s="119"/>
      <c r="AC536" s="119"/>
      <c r="AD536" s="119"/>
      <c r="AE536" s="119"/>
      <c r="AF536" s="119"/>
      <c r="AM536" s="119"/>
      <c r="AN536" s="208"/>
      <c r="AO536" s="119"/>
    </row>
    <row r="537" ht="15.75" customHeight="1"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215"/>
      <c r="P537" s="216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  <c r="AB537" s="119"/>
      <c r="AC537" s="119"/>
      <c r="AD537" s="119"/>
      <c r="AE537" s="119"/>
      <c r="AF537" s="119"/>
      <c r="AM537" s="119"/>
      <c r="AN537" s="208"/>
      <c r="AO537" s="119"/>
    </row>
    <row r="538" ht="15.75" customHeight="1"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215"/>
      <c r="P538" s="216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  <c r="AA538" s="119"/>
      <c r="AB538" s="119"/>
      <c r="AC538" s="119"/>
      <c r="AD538" s="119"/>
      <c r="AE538" s="119"/>
      <c r="AF538" s="119"/>
      <c r="AM538" s="119"/>
      <c r="AN538" s="208"/>
      <c r="AO538" s="119"/>
    </row>
    <row r="539" ht="15.75" customHeight="1"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215"/>
      <c r="P539" s="216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  <c r="AA539" s="119"/>
      <c r="AB539" s="119"/>
      <c r="AC539" s="119"/>
      <c r="AD539" s="119"/>
      <c r="AE539" s="119"/>
      <c r="AF539" s="119"/>
      <c r="AM539" s="119"/>
      <c r="AN539" s="208"/>
      <c r="AO539" s="119"/>
    </row>
    <row r="540" ht="15.75" customHeight="1"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215"/>
      <c r="P540" s="216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  <c r="AA540" s="119"/>
      <c r="AB540" s="119"/>
      <c r="AC540" s="119"/>
      <c r="AD540" s="119"/>
      <c r="AE540" s="119"/>
      <c r="AF540" s="119"/>
      <c r="AM540" s="119"/>
      <c r="AN540" s="208"/>
      <c r="AO540" s="119"/>
    </row>
    <row r="541" ht="15.75" customHeight="1"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215"/>
      <c r="P541" s="216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  <c r="AA541" s="119"/>
      <c r="AB541" s="119"/>
      <c r="AC541" s="119"/>
      <c r="AD541" s="119"/>
      <c r="AE541" s="119"/>
      <c r="AF541" s="119"/>
      <c r="AM541" s="119"/>
      <c r="AN541" s="208"/>
      <c r="AO541" s="119"/>
    </row>
    <row r="542" ht="15.75" customHeight="1"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215"/>
      <c r="P542" s="216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  <c r="AA542" s="119"/>
      <c r="AB542" s="119"/>
      <c r="AC542" s="119"/>
      <c r="AD542" s="119"/>
      <c r="AE542" s="119"/>
      <c r="AF542" s="119"/>
      <c r="AM542" s="119"/>
      <c r="AN542" s="208"/>
      <c r="AO542" s="119"/>
    </row>
    <row r="543" ht="15.75" customHeight="1"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215"/>
      <c r="P543" s="216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  <c r="AA543" s="119"/>
      <c r="AB543" s="119"/>
      <c r="AC543" s="119"/>
      <c r="AD543" s="119"/>
      <c r="AE543" s="119"/>
      <c r="AF543" s="119"/>
      <c r="AM543" s="119"/>
      <c r="AN543" s="208"/>
      <c r="AO543" s="119"/>
    </row>
    <row r="544" ht="15.75" customHeight="1"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215"/>
      <c r="P544" s="216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  <c r="AA544" s="119"/>
      <c r="AB544" s="119"/>
      <c r="AC544" s="119"/>
      <c r="AD544" s="119"/>
      <c r="AE544" s="119"/>
      <c r="AF544" s="119"/>
      <c r="AM544" s="119"/>
      <c r="AN544" s="208"/>
      <c r="AO544" s="119"/>
    </row>
    <row r="545" ht="15.75" customHeight="1"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215"/>
      <c r="P545" s="216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  <c r="AA545" s="119"/>
      <c r="AB545" s="119"/>
      <c r="AC545" s="119"/>
      <c r="AD545" s="119"/>
      <c r="AE545" s="119"/>
      <c r="AF545" s="119"/>
      <c r="AM545" s="119"/>
      <c r="AN545" s="208"/>
      <c r="AO545" s="119"/>
    </row>
    <row r="546" ht="15.75" customHeight="1"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215"/>
      <c r="P546" s="216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  <c r="AA546" s="119"/>
      <c r="AB546" s="119"/>
      <c r="AC546" s="119"/>
      <c r="AD546" s="119"/>
      <c r="AE546" s="119"/>
      <c r="AF546" s="119"/>
      <c r="AM546" s="119"/>
      <c r="AN546" s="208"/>
      <c r="AO546" s="119"/>
    </row>
    <row r="547" ht="15.75" customHeight="1"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215"/>
      <c r="P547" s="216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  <c r="AA547" s="119"/>
      <c r="AB547" s="119"/>
      <c r="AC547" s="119"/>
      <c r="AD547" s="119"/>
      <c r="AE547" s="119"/>
      <c r="AF547" s="119"/>
      <c r="AM547" s="119"/>
      <c r="AN547" s="208"/>
      <c r="AO547" s="119"/>
    </row>
    <row r="548" ht="15.75" customHeight="1"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215"/>
      <c r="P548" s="216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  <c r="AA548" s="119"/>
      <c r="AB548" s="119"/>
      <c r="AC548" s="119"/>
      <c r="AD548" s="119"/>
      <c r="AE548" s="119"/>
      <c r="AF548" s="119"/>
      <c r="AM548" s="119"/>
      <c r="AN548" s="208"/>
      <c r="AO548" s="119"/>
    </row>
    <row r="549" ht="15.75" customHeight="1"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215"/>
      <c r="P549" s="216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  <c r="AA549" s="119"/>
      <c r="AB549" s="119"/>
      <c r="AC549" s="119"/>
      <c r="AD549" s="119"/>
      <c r="AE549" s="119"/>
      <c r="AF549" s="119"/>
      <c r="AM549" s="119"/>
      <c r="AN549" s="208"/>
      <c r="AO549" s="119"/>
    </row>
    <row r="550" ht="15.75" customHeight="1"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215"/>
      <c r="P550" s="216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  <c r="AA550" s="119"/>
      <c r="AB550" s="119"/>
      <c r="AC550" s="119"/>
      <c r="AD550" s="119"/>
      <c r="AE550" s="119"/>
      <c r="AF550" s="119"/>
      <c r="AM550" s="119"/>
      <c r="AN550" s="208"/>
      <c r="AO550" s="119"/>
    </row>
    <row r="551" ht="15.75" customHeight="1"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215"/>
      <c r="P551" s="216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  <c r="AA551" s="119"/>
      <c r="AB551" s="119"/>
      <c r="AC551" s="119"/>
      <c r="AD551" s="119"/>
      <c r="AE551" s="119"/>
      <c r="AF551" s="119"/>
      <c r="AM551" s="119"/>
      <c r="AN551" s="208"/>
      <c r="AO551" s="119"/>
    </row>
    <row r="552" ht="15.75" customHeight="1"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215"/>
      <c r="P552" s="216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  <c r="AA552" s="119"/>
      <c r="AB552" s="119"/>
      <c r="AC552" s="119"/>
      <c r="AD552" s="119"/>
      <c r="AE552" s="119"/>
      <c r="AF552" s="119"/>
      <c r="AM552" s="119"/>
      <c r="AN552" s="208"/>
      <c r="AO552" s="119"/>
    </row>
    <row r="553" ht="15.75" customHeight="1"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215"/>
      <c r="P553" s="216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  <c r="AA553" s="119"/>
      <c r="AB553" s="119"/>
      <c r="AC553" s="119"/>
      <c r="AD553" s="119"/>
      <c r="AE553" s="119"/>
      <c r="AF553" s="119"/>
      <c r="AM553" s="119"/>
      <c r="AN553" s="208"/>
      <c r="AO553" s="119"/>
    </row>
    <row r="554" ht="15.75" customHeight="1"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215"/>
      <c r="P554" s="216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  <c r="AA554" s="119"/>
      <c r="AB554" s="119"/>
      <c r="AC554" s="119"/>
      <c r="AD554" s="119"/>
      <c r="AE554" s="119"/>
      <c r="AF554" s="119"/>
      <c r="AM554" s="119"/>
      <c r="AN554" s="208"/>
      <c r="AO554" s="119"/>
    </row>
    <row r="555" ht="15.75" customHeight="1"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215"/>
      <c r="P555" s="216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  <c r="AA555" s="119"/>
      <c r="AB555" s="119"/>
      <c r="AC555" s="119"/>
      <c r="AD555" s="119"/>
      <c r="AE555" s="119"/>
      <c r="AF555" s="119"/>
      <c r="AM555" s="119"/>
      <c r="AN555" s="208"/>
      <c r="AO555" s="119"/>
    </row>
    <row r="556" ht="15.75" customHeight="1"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215"/>
      <c r="P556" s="216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  <c r="AA556" s="119"/>
      <c r="AB556" s="119"/>
      <c r="AC556" s="119"/>
      <c r="AD556" s="119"/>
      <c r="AE556" s="119"/>
      <c r="AF556" s="119"/>
      <c r="AM556" s="119"/>
      <c r="AN556" s="208"/>
      <c r="AO556" s="119"/>
    </row>
    <row r="557" ht="15.75" customHeight="1"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215"/>
      <c r="P557" s="216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  <c r="AA557" s="119"/>
      <c r="AB557" s="119"/>
      <c r="AC557" s="119"/>
      <c r="AD557" s="119"/>
      <c r="AE557" s="119"/>
      <c r="AF557" s="119"/>
      <c r="AM557" s="119"/>
      <c r="AN557" s="208"/>
      <c r="AO557" s="119"/>
    </row>
    <row r="558" ht="15.75" customHeight="1"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215"/>
      <c r="P558" s="216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  <c r="AA558" s="119"/>
      <c r="AB558" s="119"/>
      <c r="AC558" s="119"/>
      <c r="AD558" s="119"/>
      <c r="AE558" s="119"/>
      <c r="AF558" s="119"/>
      <c r="AM558" s="119"/>
      <c r="AN558" s="208"/>
      <c r="AO558" s="119"/>
    </row>
    <row r="559" ht="15.75" customHeight="1"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215"/>
      <c r="P559" s="216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  <c r="AA559" s="119"/>
      <c r="AB559" s="119"/>
      <c r="AC559" s="119"/>
      <c r="AD559" s="119"/>
      <c r="AE559" s="119"/>
      <c r="AF559" s="119"/>
      <c r="AM559" s="119"/>
      <c r="AN559" s="208"/>
      <c r="AO559" s="119"/>
    </row>
    <row r="560" ht="15.75" customHeight="1"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215"/>
      <c r="P560" s="216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  <c r="AA560" s="119"/>
      <c r="AB560" s="119"/>
      <c r="AC560" s="119"/>
      <c r="AD560" s="119"/>
      <c r="AE560" s="119"/>
      <c r="AF560" s="119"/>
      <c r="AM560" s="119"/>
      <c r="AN560" s="208"/>
      <c r="AO560" s="119"/>
    </row>
    <row r="561" ht="15.75" customHeight="1"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215"/>
      <c r="P561" s="216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  <c r="AA561" s="119"/>
      <c r="AB561" s="119"/>
      <c r="AC561" s="119"/>
      <c r="AD561" s="119"/>
      <c r="AE561" s="119"/>
      <c r="AF561" s="119"/>
      <c r="AM561" s="119"/>
      <c r="AN561" s="208"/>
      <c r="AO561" s="119"/>
    </row>
    <row r="562" ht="15.75" customHeight="1"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215"/>
      <c r="P562" s="216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  <c r="AA562" s="119"/>
      <c r="AB562" s="119"/>
      <c r="AC562" s="119"/>
      <c r="AD562" s="119"/>
      <c r="AE562" s="119"/>
      <c r="AF562" s="119"/>
      <c r="AM562" s="119"/>
      <c r="AN562" s="208"/>
      <c r="AO562" s="119"/>
    </row>
    <row r="563" ht="15.75" customHeight="1"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215"/>
      <c r="P563" s="216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  <c r="AA563" s="119"/>
      <c r="AB563" s="119"/>
      <c r="AC563" s="119"/>
      <c r="AD563" s="119"/>
      <c r="AE563" s="119"/>
      <c r="AF563" s="119"/>
      <c r="AM563" s="119"/>
      <c r="AN563" s="208"/>
      <c r="AO563" s="119"/>
    </row>
    <row r="564" ht="15.75" customHeight="1"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215"/>
      <c r="P564" s="216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  <c r="AA564" s="119"/>
      <c r="AB564" s="119"/>
      <c r="AC564" s="119"/>
      <c r="AD564" s="119"/>
      <c r="AE564" s="119"/>
      <c r="AF564" s="119"/>
      <c r="AM564" s="119"/>
      <c r="AN564" s="208"/>
      <c r="AO564" s="119"/>
    </row>
    <row r="565" ht="15.75" customHeight="1"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215"/>
      <c r="P565" s="216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  <c r="AA565" s="119"/>
      <c r="AB565" s="119"/>
      <c r="AC565" s="119"/>
      <c r="AD565" s="119"/>
      <c r="AE565" s="119"/>
      <c r="AF565" s="119"/>
      <c r="AM565" s="119"/>
      <c r="AN565" s="208"/>
      <c r="AO565" s="119"/>
    </row>
    <row r="566" ht="15.75" customHeight="1"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215"/>
      <c r="P566" s="216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  <c r="AA566" s="119"/>
      <c r="AB566" s="119"/>
      <c r="AC566" s="119"/>
      <c r="AD566" s="119"/>
      <c r="AE566" s="119"/>
      <c r="AF566" s="119"/>
      <c r="AM566" s="119"/>
      <c r="AN566" s="208"/>
      <c r="AO566" s="119"/>
    </row>
    <row r="567" ht="15.75" customHeight="1"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215"/>
      <c r="P567" s="216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  <c r="AA567" s="119"/>
      <c r="AB567" s="119"/>
      <c r="AC567" s="119"/>
      <c r="AD567" s="119"/>
      <c r="AE567" s="119"/>
      <c r="AF567" s="119"/>
      <c r="AM567" s="119"/>
      <c r="AN567" s="208"/>
      <c r="AO567" s="119"/>
    </row>
    <row r="568" ht="15.75" customHeight="1"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215"/>
      <c r="P568" s="216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  <c r="AA568" s="119"/>
      <c r="AB568" s="119"/>
      <c r="AC568" s="119"/>
      <c r="AD568" s="119"/>
      <c r="AE568" s="119"/>
      <c r="AF568" s="119"/>
      <c r="AM568" s="119"/>
      <c r="AN568" s="208"/>
      <c r="AO568" s="119"/>
    </row>
    <row r="569" ht="15.75" customHeight="1"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215"/>
      <c r="P569" s="216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  <c r="AA569" s="119"/>
      <c r="AB569" s="119"/>
      <c r="AC569" s="119"/>
      <c r="AD569" s="119"/>
      <c r="AE569" s="119"/>
      <c r="AF569" s="119"/>
      <c r="AM569" s="119"/>
      <c r="AN569" s="208"/>
      <c r="AO569" s="119"/>
    </row>
    <row r="570" ht="15.75" customHeight="1"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215"/>
      <c r="P570" s="216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  <c r="AA570" s="119"/>
      <c r="AB570" s="119"/>
      <c r="AC570" s="119"/>
      <c r="AD570" s="119"/>
      <c r="AE570" s="119"/>
      <c r="AF570" s="119"/>
      <c r="AM570" s="119"/>
      <c r="AN570" s="208"/>
      <c r="AO570" s="119"/>
    </row>
    <row r="571" ht="15.75" customHeight="1"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215"/>
      <c r="P571" s="216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  <c r="AA571" s="119"/>
      <c r="AB571" s="119"/>
      <c r="AC571" s="119"/>
      <c r="AD571" s="119"/>
      <c r="AE571" s="119"/>
      <c r="AF571" s="119"/>
      <c r="AM571" s="119"/>
      <c r="AN571" s="208"/>
      <c r="AO571" s="119"/>
    </row>
    <row r="572" ht="15.75" customHeight="1"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215"/>
      <c r="P572" s="216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  <c r="AA572" s="119"/>
      <c r="AB572" s="119"/>
      <c r="AC572" s="119"/>
      <c r="AD572" s="119"/>
      <c r="AE572" s="119"/>
      <c r="AF572" s="119"/>
      <c r="AM572" s="119"/>
      <c r="AN572" s="208"/>
      <c r="AO572" s="119"/>
    </row>
    <row r="573" ht="15.75" customHeight="1"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215"/>
      <c r="P573" s="216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  <c r="AA573" s="119"/>
      <c r="AB573" s="119"/>
      <c r="AC573" s="119"/>
      <c r="AD573" s="119"/>
      <c r="AE573" s="119"/>
      <c r="AF573" s="119"/>
      <c r="AM573" s="119"/>
      <c r="AN573" s="208"/>
      <c r="AO573" s="119"/>
    </row>
    <row r="574" ht="15.75" customHeight="1"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215"/>
      <c r="P574" s="216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  <c r="AA574" s="119"/>
      <c r="AB574" s="119"/>
      <c r="AC574" s="119"/>
      <c r="AD574" s="119"/>
      <c r="AE574" s="119"/>
      <c r="AF574" s="119"/>
      <c r="AM574" s="119"/>
      <c r="AN574" s="208"/>
      <c r="AO574" s="119"/>
    </row>
    <row r="575" ht="15.75" customHeight="1"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215"/>
      <c r="P575" s="216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  <c r="AA575" s="119"/>
      <c r="AB575" s="119"/>
      <c r="AC575" s="119"/>
      <c r="AD575" s="119"/>
      <c r="AE575" s="119"/>
      <c r="AF575" s="119"/>
      <c r="AM575" s="119"/>
      <c r="AN575" s="208"/>
      <c r="AO575" s="119"/>
    </row>
    <row r="576" ht="15.75" customHeight="1"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215"/>
      <c r="P576" s="216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  <c r="AA576" s="119"/>
      <c r="AB576" s="119"/>
      <c r="AC576" s="119"/>
      <c r="AD576" s="119"/>
      <c r="AE576" s="119"/>
      <c r="AF576" s="119"/>
      <c r="AM576" s="119"/>
      <c r="AN576" s="208"/>
      <c r="AO576" s="119"/>
    </row>
    <row r="577" ht="15.75" customHeight="1"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215"/>
      <c r="P577" s="216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  <c r="AA577" s="119"/>
      <c r="AB577" s="119"/>
      <c r="AC577" s="119"/>
      <c r="AD577" s="119"/>
      <c r="AE577" s="119"/>
      <c r="AF577" s="119"/>
      <c r="AM577" s="119"/>
      <c r="AN577" s="208"/>
      <c r="AO577" s="119"/>
    </row>
    <row r="578" ht="15.75" customHeight="1"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215"/>
      <c r="P578" s="216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19"/>
      <c r="AB578" s="119"/>
      <c r="AC578" s="119"/>
      <c r="AD578" s="119"/>
      <c r="AE578" s="119"/>
      <c r="AF578" s="119"/>
      <c r="AM578" s="119"/>
      <c r="AN578" s="208"/>
      <c r="AO578" s="119"/>
    </row>
    <row r="579" ht="15.75" customHeight="1"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215"/>
      <c r="P579" s="216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  <c r="AA579" s="119"/>
      <c r="AB579" s="119"/>
      <c r="AC579" s="119"/>
      <c r="AD579" s="119"/>
      <c r="AE579" s="119"/>
      <c r="AF579" s="119"/>
      <c r="AM579" s="119"/>
      <c r="AN579" s="208"/>
      <c r="AO579" s="119"/>
    </row>
    <row r="580" ht="15.75" customHeight="1"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215"/>
      <c r="P580" s="216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  <c r="AA580" s="119"/>
      <c r="AB580" s="119"/>
      <c r="AC580" s="119"/>
      <c r="AD580" s="119"/>
      <c r="AE580" s="119"/>
      <c r="AF580" s="119"/>
      <c r="AM580" s="119"/>
      <c r="AN580" s="208"/>
      <c r="AO580" s="119"/>
    </row>
    <row r="581" ht="15.75" customHeight="1"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215"/>
      <c r="P581" s="216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  <c r="AA581" s="119"/>
      <c r="AB581" s="119"/>
      <c r="AC581" s="119"/>
      <c r="AD581" s="119"/>
      <c r="AE581" s="119"/>
      <c r="AF581" s="119"/>
      <c r="AM581" s="119"/>
      <c r="AN581" s="208"/>
      <c r="AO581" s="119"/>
    </row>
    <row r="582" ht="15.75" customHeight="1"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215"/>
      <c r="P582" s="216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  <c r="AA582" s="119"/>
      <c r="AB582" s="119"/>
      <c r="AC582" s="119"/>
      <c r="AD582" s="119"/>
      <c r="AE582" s="119"/>
      <c r="AF582" s="119"/>
      <c r="AM582" s="119"/>
      <c r="AN582" s="208"/>
      <c r="AO582" s="119"/>
    </row>
    <row r="583" ht="15.75" customHeight="1"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215"/>
      <c r="P583" s="216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  <c r="AA583" s="119"/>
      <c r="AB583" s="119"/>
      <c r="AC583" s="119"/>
      <c r="AD583" s="119"/>
      <c r="AE583" s="119"/>
      <c r="AF583" s="119"/>
      <c r="AM583" s="119"/>
      <c r="AN583" s="208"/>
      <c r="AO583" s="119"/>
    </row>
    <row r="584" ht="15.75" customHeight="1"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215"/>
      <c r="P584" s="216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  <c r="AA584" s="119"/>
      <c r="AB584" s="119"/>
      <c r="AC584" s="119"/>
      <c r="AD584" s="119"/>
      <c r="AE584" s="119"/>
      <c r="AF584" s="119"/>
      <c r="AM584" s="119"/>
      <c r="AN584" s="208"/>
      <c r="AO584" s="119"/>
    </row>
    <row r="585" ht="15.75" customHeight="1"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215"/>
      <c r="P585" s="216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  <c r="AA585" s="119"/>
      <c r="AB585" s="119"/>
      <c r="AC585" s="119"/>
      <c r="AD585" s="119"/>
      <c r="AE585" s="119"/>
      <c r="AF585" s="119"/>
      <c r="AM585" s="119"/>
      <c r="AN585" s="208"/>
      <c r="AO585" s="119"/>
    </row>
    <row r="586" ht="15.75" customHeight="1"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215"/>
      <c r="P586" s="216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  <c r="AA586" s="119"/>
      <c r="AB586" s="119"/>
      <c r="AC586" s="119"/>
      <c r="AD586" s="119"/>
      <c r="AE586" s="119"/>
      <c r="AF586" s="119"/>
      <c r="AM586" s="119"/>
      <c r="AN586" s="208"/>
      <c r="AO586" s="119"/>
    </row>
    <row r="587" ht="15.75" customHeight="1"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215"/>
      <c r="P587" s="216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  <c r="AA587" s="119"/>
      <c r="AB587" s="119"/>
      <c r="AC587" s="119"/>
      <c r="AD587" s="119"/>
      <c r="AE587" s="119"/>
      <c r="AF587" s="119"/>
      <c r="AM587" s="119"/>
      <c r="AN587" s="208"/>
      <c r="AO587" s="119"/>
    </row>
    <row r="588" ht="15.75" customHeight="1"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215"/>
      <c r="P588" s="216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  <c r="AA588" s="119"/>
      <c r="AB588" s="119"/>
      <c r="AC588" s="119"/>
      <c r="AD588" s="119"/>
      <c r="AE588" s="119"/>
      <c r="AF588" s="119"/>
      <c r="AM588" s="119"/>
      <c r="AN588" s="208"/>
      <c r="AO588" s="119"/>
    </row>
    <row r="589" ht="15.75" customHeight="1"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215"/>
      <c r="P589" s="216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  <c r="AA589" s="119"/>
      <c r="AB589" s="119"/>
      <c r="AC589" s="119"/>
      <c r="AD589" s="119"/>
      <c r="AE589" s="119"/>
      <c r="AF589" s="119"/>
      <c r="AM589" s="119"/>
      <c r="AN589" s="208"/>
      <c r="AO589" s="119"/>
    </row>
    <row r="590" ht="15.75" customHeight="1"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215"/>
      <c r="P590" s="216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  <c r="AA590" s="119"/>
      <c r="AB590" s="119"/>
      <c r="AC590" s="119"/>
      <c r="AD590" s="119"/>
      <c r="AE590" s="119"/>
      <c r="AF590" s="119"/>
      <c r="AM590" s="119"/>
      <c r="AN590" s="208"/>
      <c r="AO590" s="119"/>
    </row>
    <row r="591" ht="15.75" customHeight="1"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215"/>
      <c r="P591" s="216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  <c r="AA591" s="119"/>
      <c r="AB591" s="119"/>
      <c r="AC591" s="119"/>
      <c r="AD591" s="119"/>
      <c r="AE591" s="119"/>
      <c r="AF591" s="119"/>
      <c r="AM591" s="119"/>
      <c r="AN591" s="208"/>
      <c r="AO591" s="119"/>
    </row>
    <row r="592" ht="15.75" customHeight="1"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215"/>
      <c r="P592" s="216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  <c r="AA592" s="119"/>
      <c r="AB592" s="119"/>
      <c r="AC592" s="119"/>
      <c r="AD592" s="119"/>
      <c r="AE592" s="119"/>
      <c r="AF592" s="119"/>
      <c r="AM592" s="119"/>
      <c r="AN592" s="208"/>
      <c r="AO592" s="119"/>
    </row>
    <row r="593" ht="15.75" customHeight="1"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215"/>
      <c r="P593" s="216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  <c r="AA593" s="119"/>
      <c r="AB593" s="119"/>
      <c r="AC593" s="119"/>
      <c r="AD593" s="119"/>
      <c r="AE593" s="119"/>
      <c r="AF593" s="119"/>
      <c r="AM593" s="119"/>
      <c r="AN593" s="208"/>
      <c r="AO593" s="119"/>
    </row>
    <row r="594" ht="15.75" customHeight="1"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215"/>
      <c r="P594" s="216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  <c r="AA594" s="119"/>
      <c r="AB594" s="119"/>
      <c r="AC594" s="119"/>
      <c r="AD594" s="119"/>
      <c r="AE594" s="119"/>
      <c r="AF594" s="119"/>
      <c r="AM594" s="119"/>
      <c r="AN594" s="208"/>
      <c r="AO594" s="119"/>
    </row>
    <row r="595" ht="15.75" customHeight="1"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215"/>
      <c r="P595" s="216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  <c r="AA595" s="119"/>
      <c r="AB595" s="119"/>
      <c r="AC595" s="119"/>
      <c r="AD595" s="119"/>
      <c r="AE595" s="119"/>
      <c r="AF595" s="119"/>
      <c r="AM595" s="119"/>
      <c r="AN595" s="208"/>
      <c r="AO595" s="119"/>
    </row>
    <row r="596" ht="15.75" customHeight="1"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215"/>
      <c r="P596" s="216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  <c r="AA596" s="119"/>
      <c r="AB596" s="119"/>
      <c r="AC596" s="119"/>
      <c r="AD596" s="119"/>
      <c r="AE596" s="119"/>
      <c r="AF596" s="119"/>
      <c r="AM596" s="119"/>
      <c r="AN596" s="208"/>
      <c r="AO596" s="119"/>
    </row>
    <row r="597" ht="15.75" customHeight="1"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215"/>
      <c r="P597" s="216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  <c r="AA597" s="119"/>
      <c r="AB597" s="119"/>
      <c r="AC597" s="119"/>
      <c r="AD597" s="119"/>
      <c r="AE597" s="119"/>
      <c r="AF597" s="119"/>
      <c r="AM597" s="119"/>
      <c r="AN597" s="208"/>
      <c r="AO597" s="119"/>
    </row>
    <row r="598" ht="15.75" customHeight="1"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215"/>
      <c r="P598" s="216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  <c r="AA598" s="119"/>
      <c r="AB598" s="119"/>
      <c r="AC598" s="119"/>
      <c r="AD598" s="119"/>
      <c r="AE598" s="119"/>
      <c r="AF598" s="119"/>
      <c r="AM598" s="119"/>
      <c r="AN598" s="208"/>
      <c r="AO598" s="119"/>
    </row>
    <row r="599" ht="15.75" customHeight="1"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215"/>
      <c r="P599" s="216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  <c r="AA599" s="119"/>
      <c r="AB599" s="119"/>
      <c r="AC599" s="119"/>
      <c r="AD599" s="119"/>
      <c r="AE599" s="119"/>
      <c r="AF599" s="119"/>
      <c r="AM599" s="119"/>
      <c r="AN599" s="208"/>
      <c r="AO599" s="119"/>
    </row>
    <row r="600" ht="15.75" customHeight="1"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215"/>
      <c r="P600" s="216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  <c r="AA600" s="119"/>
      <c r="AB600" s="119"/>
      <c r="AC600" s="119"/>
      <c r="AD600" s="119"/>
      <c r="AE600" s="119"/>
      <c r="AF600" s="119"/>
      <c r="AM600" s="119"/>
      <c r="AN600" s="208"/>
      <c r="AO600" s="119"/>
    </row>
    <row r="601" ht="15.75" customHeight="1"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215"/>
      <c r="P601" s="216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  <c r="AA601" s="119"/>
      <c r="AB601" s="119"/>
      <c r="AC601" s="119"/>
      <c r="AD601" s="119"/>
      <c r="AE601" s="119"/>
      <c r="AF601" s="119"/>
      <c r="AM601" s="119"/>
      <c r="AN601" s="208"/>
      <c r="AO601" s="119"/>
    </row>
    <row r="602" ht="15.75" customHeight="1"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215"/>
      <c r="P602" s="216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  <c r="AA602" s="119"/>
      <c r="AB602" s="119"/>
      <c r="AC602" s="119"/>
      <c r="AD602" s="119"/>
      <c r="AE602" s="119"/>
      <c r="AF602" s="119"/>
      <c r="AM602" s="119"/>
      <c r="AN602" s="208"/>
      <c r="AO602" s="119"/>
    </row>
    <row r="603" ht="15.75" customHeight="1"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215"/>
      <c r="P603" s="216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  <c r="AA603" s="119"/>
      <c r="AB603" s="119"/>
      <c r="AC603" s="119"/>
      <c r="AD603" s="119"/>
      <c r="AE603" s="119"/>
      <c r="AF603" s="119"/>
      <c r="AM603" s="119"/>
      <c r="AN603" s="208"/>
      <c r="AO603" s="119"/>
    </row>
    <row r="604" ht="15.75" customHeight="1"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215"/>
      <c r="P604" s="216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  <c r="AA604" s="119"/>
      <c r="AB604" s="119"/>
      <c r="AC604" s="119"/>
      <c r="AD604" s="119"/>
      <c r="AE604" s="119"/>
      <c r="AF604" s="119"/>
      <c r="AM604" s="119"/>
      <c r="AN604" s="208"/>
      <c r="AO604" s="119"/>
    </row>
    <row r="605" ht="15.75" customHeight="1"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215"/>
      <c r="P605" s="216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  <c r="AA605" s="119"/>
      <c r="AB605" s="119"/>
      <c r="AC605" s="119"/>
      <c r="AD605" s="119"/>
      <c r="AE605" s="119"/>
      <c r="AF605" s="119"/>
      <c r="AM605" s="119"/>
      <c r="AN605" s="208"/>
      <c r="AO605" s="119"/>
    </row>
    <row r="606" ht="15.75" customHeight="1"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215"/>
      <c r="P606" s="216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  <c r="AA606" s="119"/>
      <c r="AB606" s="119"/>
      <c r="AC606" s="119"/>
      <c r="AD606" s="119"/>
      <c r="AE606" s="119"/>
      <c r="AF606" s="119"/>
      <c r="AM606" s="119"/>
      <c r="AN606" s="208"/>
      <c r="AO606" s="119"/>
    </row>
    <row r="607" ht="15.75" customHeight="1"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215"/>
      <c r="P607" s="216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  <c r="AA607" s="119"/>
      <c r="AB607" s="119"/>
      <c r="AC607" s="119"/>
      <c r="AD607" s="119"/>
      <c r="AE607" s="119"/>
      <c r="AF607" s="119"/>
      <c r="AM607" s="119"/>
      <c r="AN607" s="208"/>
      <c r="AO607" s="119"/>
    </row>
    <row r="608" ht="15.75" customHeight="1"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215"/>
      <c r="P608" s="216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  <c r="AA608" s="119"/>
      <c r="AB608" s="119"/>
      <c r="AC608" s="119"/>
      <c r="AD608" s="119"/>
      <c r="AE608" s="119"/>
      <c r="AF608" s="119"/>
      <c r="AM608" s="119"/>
      <c r="AN608" s="208"/>
      <c r="AO608" s="119"/>
    </row>
    <row r="609" ht="15.75" customHeight="1"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215"/>
      <c r="P609" s="216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  <c r="AA609" s="119"/>
      <c r="AB609" s="119"/>
      <c r="AC609" s="119"/>
      <c r="AD609" s="119"/>
      <c r="AE609" s="119"/>
      <c r="AF609" s="119"/>
      <c r="AM609" s="119"/>
      <c r="AN609" s="208"/>
      <c r="AO609" s="119"/>
    </row>
    <row r="610" ht="15.75" customHeight="1"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215"/>
      <c r="P610" s="216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  <c r="AA610" s="119"/>
      <c r="AB610" s="119"/>
      <c r="AC610" s="119"/>
      <c r="AD610" s="119"/>
      <c r="AE610" s="119"/>
      <c r="AF610" s="119"/>
      <c r="AM610" s="119"/>
      <c r="AN610" s="208"/>
      <c r="AO610" s="119"/>
    </row>
    <row r="611" ht="15.75" customHeight="1"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215"/>
      <c r="P611" s="216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  <c r="AA611" s="119"/>
      <c r="AB611" s="119"/>
      <c r="AC611" s="119"/>
      <c r="AD611" s="119"/>
      <c r="AE611" s="119"/>
      <c r="AF611" s="119"/>
      <c r="AM611" s="119"/>
      <c r="AN611" s="208"/>
      <c r="AO611" s="119"/>
    </row>
    <row r="612" ht="15.75" customHeight="1"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215"/>
      <c r="P612" s="216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  <c r="AA612" s="119"/>
      <c r="AB612" s="119"/>
      <c r="AC612" s="119"/>
      <c r="AD612" s="119"/>
      <c r="AE612" s="119"/>
      <c r="AF612" s="119"/>
      <c r="AM612" s="119"/>
      <c r="AN612" s="208"/>
      <c r="AO612" s="119"/>
    </row>
    <row r="613" ht="15.75" customHeight="1"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215"/>
      <c r="P613" s="216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  <c r="AA613" s="119"/>
      <c r="AB613" s="119"/>
      <c r="AC613" s="119"/>
      <c r="AD613" s="119"/>
      <c r="AE613" s="119"/>
      <c r="AF613" s="119"/>
      <c r="AM613" s="119"/>
      <c r="AN613" s="208"/>
      <c r="AO613" s="119"/>
    </row>
    <row r="614" ht="15.75" customHeight="1"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215"/>
      <c r="P614" s="216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  <c r="AA614" s="119"/>
      <c r="AB614" s="119"/>
      <c r="AC614" s="119"/>
      <c r="AD614" s="119"/>
      <c r="AE614" s="119"/>
      <c r="AF614" s="119"/>
      <c r="AM614" s="119"/>
      <c r="AN614" s="208"/>
      <c r="AO614" s="119"/>
    </row>
    <row r="615" ht="15.75" customHeight="1"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215"/>
      <c r="P615" s="216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  <c r="AA615" s="119"/>
      <c r="AB615" s="119"/>
      <c r="AC615" s="119"/>
      <c r="AD615" s="119"/>
      <c r="AE615" s="119"/>
      <c r="AF615" s="119"/>
      <c r="AM615" s="119"/>
      <c r="AN615" s="208"/>
      <c r="AO615" s="119"/>
    </row>
    <row r="616" ht="15.75" customHeight="1"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215"/>
      <c r="P616" s="216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  <c r="AA616" s="119"/>
      <c r="AB616" s="119"/>
      <c r="AC616" s="119"/>
      <c r="AD616" s="119"/>
      <c r="AE616" s="119"/>
      <c r="AF616" s="119"/>
      <c r="AM616" s="119"/>
      <c r="AN616" s="208"/>
      <c r="AO616" s="119"/>
    </row>
    <row r="617" ht="15.75" customHeight="1"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215"/>
      <c r="P617" s="216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  <c r="AA617" s="119"/>
      <c r="AB617" s="119"/>
      <c r="AC617" s="119"/>
      <c r="AD617" s="119"/>
      <c r="AE617" s="119"/>
      <c r="AF617" s="119"/>
      <c r="AM617" s="119"/>
      <c r="AN617" s="208"/>
      <c r="AO617" s="119"/>
    </row>
    <row r="618" ht="15.75" customHeight="1"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215"/>
      <c r="P618" s="216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  <c r="AA618" s="119"/>
      <c r="AB618" s="119"/>
      <c r="AC618" s="119"/>
      <c r="AD618" s="119"/>
      <c r="AE618" s="119"/>
      <c r="AF618" s="119"/>
      <c r="AM618" s="119"/>
      <c r="AN618" s="208"/>
      <c r="AO618" s="119"/>
    </row>
    <row r="619" ht="15.75" customHeight="1"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215"/>
      <c r="P619" s="216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  <c r="AA619" s="119"/>
      <c r="AB619" s="119"/>
      <c r="AC619" s="119"/>
      <c r="AD619" s="119"/>
      <c r="AE619" s="119"/>
      <c r="AF619" s="119"/>
      <c r="AM619" s="119"/>
      <c r="AN619" s="208"/>
      <c r="AO619" s="119"/>
    </row>
    <row r="620" ht="15.75" customHeight="1"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215"/>
      <c r="P620" s="216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  <c r="AA620" s="119"/>
      <c r="AB620" s="119"/>
      <c r="AC620" s="119"/>
      <c r="AD620" s="119"/>
      <c r="AE620" s="119"/>
      <c r="AF620" s="119"/>
      <c r="AM620" s="119"/>
      <c r="AN620" s="208"/>
      <c r="AO620" s="119"/>
    </row>
    <row r="621" ht="15.75" customHeight="1"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215"/>
      <c r="P621" s="216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  <c r="AA621" s="119"/>
      <c r="AB621" s="119"/>
      <c r="AC621" s="119"/>
      <c r="AD621" s="119"/>
      <c r="AE621" s="119"/>
      <c r="AF621" s="119"/>
      <c r="AM621" s="119"/>
      <c r="AN621" s="208"/>
      <c r="AO621" s="119"/>
    </row>
    <row r="622" ht="15.75" customHeight="1"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215"/>
      <c r="P622" s="216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  <c r="AA622" s="119"/>
      <c r="AB622" s="119"/>
      <c r="AC622" s="119"/>
      <c r="AD622" s="119"/>
      <c r="AE622" s="119"/>
      <c r="AF622" s="119"/>
      <c r="AM622" s="119"/>
      <c r="AN622" s="208"/>
      <c r="AO622" s="119"/>
    </row>
    <row r="623" ht="15.75" customHeight="1"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215"/>
      <c r="P623" s="216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  <c r="AA623" s="119"/>
      <c r="AB623" s="119"/>
      <c r="AC623" s="119"/>
      <c r="AD623" s="119"/>
      <c r="AE623" s="119"/>
      <c r="AF623" s="119"/>
      <c r="AM623" s="119"/>
      <c r="AN623" s="208"/>
      <c r="AO623" s="119"/>
    </row>
    <row r="624" ht="15.75" customHeight="1"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215"/>
      <c r="P624" s="216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  <c r="AA624" s="119"/>
      <c r="AB624" s="119"/>
      <c r="AC624" s="119"/>
      <c r="AD624" s="119"/>
      <c r="AE624" s="119"/>
      <c r="AF624" s="119"/>
      <c r="AM624" s="119"/>
      <c r="AN624" s="208"/>
      <c r="AO624" s="119"/>
    </row>
    <row r="625" ht="15.75" customHeight="1"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215"/>
      <c r="P625" s="216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  <c r="AA625" s="119"/>
      <c r="AB625" s="119"/>
      <c r="AC625" s="119"/>
      <c r="AD625" s="119"/>
      <c r="AE625" s="119"/>
      <c r="AF625" s="119"/>
      <c r="AM625" s="119"/>
      <c r="AN625" s="208"/>
      <c r="AO625" s="119"/>
    </row>
    <row r="626" ht="15.75" customHeight="1"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215"/>
      <c r="P626" s="216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  <c r="AA626" s="119"/>
      <c r="AB626" s="119"/>
      <c r="AC626" s="119"/>
      <c r="AD626" s="119"/>
      <c r="AE626" s="119"/>
      <c r="AF626" s="119"/>
      <c r="AM626" s="119"/>
      <c r="AN626" s="208"/>
      <c r="AO626" s="119"/>
    </row>
    <row r="627" ht="15.75" customHeight="1"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215"/>
      <c r="P627" s="216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  <c r="AA627" s="119"/>
      <c r="AB627" s="119"/>
      <c r="AC627" s="119"/>
      <c r="AD627" s="119"/>
      <c r="AE627" s="119"/>
      <c r="AF627" s="119"/>
      <c r="AM627" s="119"/>
      <c r="AN627" s="208"/>
      <c r="AO627" s="119"/>
    </row>
    <row r="628" ht="15.75" customHeight="1"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215"/>
      <c r="P628" s="216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  <c r="AA628" s="119"/>
      <c r="AB628" s="119"/>
      <c r="AC628" s="119"/>
      <c r="AD628" s="119"/>
      <c r="AE628" s="119"/>
      <c r="AF628" s="119"/>
      <c r="AM628" s="119"/>
      <c r="AN628" s="208"/>
      <c r="AO628" s="119"/>
    </row>
    <row r="629" ht="15.75" customHeight="1"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215"/>
      <c r="P629" s="216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  <c r="AA629" s="119"/>
      <c r="AB629" s="119"/>
      <c r="AC629" s="119"/>
      <c r="AD629" s="119"/>
      <c r="AE629" s="119"/>
      <c r="AF629" s="119"/>
      <c r="AM629" s="119"/>
      <c r="AN629" s="208"/>
      <c r="AO629" s="119"/>
    </row>
    <row r="630" ht="15.75" customHeight="1"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215"/>
      <c r="P630" s="216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  <c r="AA630" s="119"/>
      <c r="AB630" s="119"/>
      <c r="AC630" s="119"/>
      <c r="AD630" s="119"/>
      <c r="AE630" s="119"/>
      <c r="AF630" s="119"/>
      <c r="AM630" s="119"/>
      <c r="AN630" s="208"/>
      <c r="AO630" s="119"/>
    </row>
    <row r="631" ht="15.75" customHeight="1"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215"/>
      <c r="P631" s="216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  <c r="AA631" s="119"/>
      <c r="AB631" s="119"/>
      <c r="AC631" s="119"/>
      <c r="AD631" s="119"/>
      <c r="AE631" s="119"/>
      <c r="AF631" s="119"/>
      <c r="AM631" s="119"/>
      <c r="AN631" s="208"/>
      <c r="AO631" s="119"/>
    </row>
    <row r="632" ht="15.75" customHeight="1"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215"/>
      <c r="P632" s="216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  <c r="AA632" s="119"/>
      <c r="AB632" s="119"/>
      <c r="AC632" s="119"/>
      <c r="AD632" s="119"/>
      <c r="AE632" s="119"/>
      <c r="AF632" s="119"/>
      <c r="AM632" s="119"/>
      <c r="AN632" s="208"/>
      <c r="AO632" s="119"/>
    </row>
    <row r="633" ht="15.75" customHeight="1"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215"/>
      <c r="P633" s="216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  <c r="AA633" s="119"/>
      <c r="AB633" s="119"/>
      <c r="AC633" s="119"/>
      <c r="AD633" s="119"/>
      <c r="AE633" s="119"/>
      <c r="AF633" s="119"/>
      <c r="AM633" s="119"/>
      <c r="AN633" s="208"/>
      <c r="AO633" s="119"/>
    </row>
    <row r="634" ht="15.75" customHeight="1"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215"/>
      <c r="P634" s="216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  <c r="AA634" s="119"/>
      <c r="AB634" s="119"/>
      <c r="AC634" s="119"/>
      <c r="AD634" s="119"/>
      <c r="AE634" s="119"/>
      <c r="AF634" s="119"/>
      <c r="AM634" s="119"/>
      <c r="AN634" s="208"/>
      <c r="AO634" s="119"/>
    </row>
    <row r="635" ht="15.75" customHeight="1"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215"/>
      <c r="P635" s="216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  <c r="AA635" s="119"/>
      <c r="AB635" s="119"/>
      <c r="AC635" s="119"/>
      <c r="AD635" s="119"/>
      <c r="AE635" s="119"/>
      <c r="AF635" s="119"/>
      <c r="AM635" s="119"/>
      <c r="AN635" s="208"/>
      <c r="AO635" s="119"/>
    </row>
    <row r="636" ht="15.75" customHeight="1"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215"/>
      <c r="P636" s="216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  <c r="AA636" s="119"/>
      <c r="AB636" s="119"/>
      <c r="AC636" s="119"/>
      <c r="AD636" s="119"/>
      <c r="AE636" s="119"/>
      <c r="AF636" s="119"/>
      <c r="AM636" s="119"/>
      <c r="AN636" s="208"/>
      <c r="AO636" s="119"/>
    </row>
    <row r="637" ht="15.75" customHeight="1"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215"/>
      <c r="P637" s="216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  <c r="AA637" s="119"/>
      <c r="AB637" s="119"/>
      <c r="AC637" s="119"/>
      <c r="AD637" s="119"/>
      <c r="AE637" s="119"/>
      <c r="AF637" s="119"/>
      <c r="AM637" s="119"/>
      <c r="AN637" s="208"/>
      <c r="AO637" s="119"/>
    </row>
    <row r="638" ht="15.75" customHeight="1"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215"/>
      <c r="P638" s="216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  <c r="AA638" s="119"/>
      <c r="AB638" s="119"/>
      <c r="AC638" s="119"/>
      <c r="AD638" s="119"/>
      <c r="AE638" s="119"/>
      <c r="AF638" s="119"/>
      <c r="AM638" s="119"/>
      <c r="AN638" s="208"/>
      <c r="AO638" s="119"/>
    </row>
    <row r="639" ht="15.75" customHeight="1"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215"/>
      <c r="P639" s="216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  <c r="AA639" s="119"/>
      <c r="AB639" s="119"/>
      <c r="AC639" s="119"/>
      <c r="AD639" s="119"/>
      <c r="AE639" s="119"/>
      <c r="AF639" s="119"/>
      <c r="AM639" s="119"/>
      <c r="AN639" s="208"/>
      <c r="AO639" s="119"/>
    </row>
    <row r="640" ht="15.75" customHeight="1"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215"/>
      <c r="P640" s="216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  <c r="AA640" s="119"/>
      <c r="AB640" s="119"/>
      <c r="AC640" s="119"/>
      <c r="AD640" s="119"/>
      <c r="AE640" s="119"/>
      <c r="AF640" s="119"/>
      <c r="AM640" s="119"/>
      <c r="AN640" s="208"/>
      <c r="AO640" s="119"/>
    </row>
    <row r="641" ht="15.75" customHeight="1"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215"/>
      <c r="P641" s="216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  <c r="AA641" s="119"/>
      <c r="AB641" s="119"/>
      <c r="AC641" s="119"/>
      <c r="AD641" s="119"/>
      <c r="AE641" s="119"/>
      <c r="AF641" s="119"/>
      <c r="AM641" s="119"/>
      <c r="AN641" s="208"/>
      <c r="AO641" s="119"/>
    </row>
    <row r="642" ht="15.75" customHeight="1"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215"/>
      <c r="P642" s="216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  <c r="AA642" s="119"/>
      <c r="AB642" s="119"/>
      <c r="AC642" s="119"/>
      <c r="AD642" s="119"/>
      <c r="AE642" s="119"/>
      <c r="AF642" s="119"/>
      <c r="AM642" s="119"/>
      <c r="AN642" s="208"/>
      <c r="AO642" s="119"/>
    </row>
    <row r="643" ht="15.75" customHeight="1"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215"/>
      <c r="P643" s="216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  <c r="AA643" s="119"/>
      <c r="AB643" s="119"/>
      <c r="AC643" s="119"/>
      <c r="AD643" s="119"/>
      <c r="AE643" s="119"/>
      <c r="AF643" s="119"/>
      <c r="AM643" s="119"/>
      <c r="AN643" s="208"/>
      <c r="AO643" s="119"/>
    </row>
    <row r="644" ht="15.75" customHeight="1"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215"/>
      <c r="P644" s="216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  <c r="AA644" s="119"/>
      <c r="AB644" s="119"/>
      <c r="AC644" s="119"/>
      <c r="AD644" s="119"/>
      <c r="AE644" s="119"/>
      <c r="AF644" s="119"/>
      <c r="AM644" s="119"/>
      <c r="AN644" s="208"/>
      <c r="AO644" s="119"/>
    </row>
    <row r="645" ht="15.75" customHeight="1"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215"/>
      <c r="P645" s="216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  <c r="AA645" s="119"/>
      <c r="AB645" s="119"/>
      <c r="AC645" s="119"/>
      <c r="AD645" s="119"/>
      <c r="AE645" s="119"/>
      <c r="AF645" s="119"/>
      <c r="AM645" s="119"/>
      <c r="AN645" s="208"/>
      <c r="AO645" s="119"/>
    </row>
    <row r="646" ht="15.75" customHeight="1"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215"/>
      <c r="P646" s="216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  <c r="AA646" s="119"/>
      <c r="AB646" s="119"/>
      <c r="AC646" s="119"/>
      <c r="AD646" s="119"/>
      <c r="AE646" s="119"/>
      <c r="AF646" s="119"/>
      <c r="AM646" s="119"/>
      <c r="AN646" s="208"/>
      <c r="AO646" s="119"/>
    </row>
    <row r="647" ht="15.75" customHeight="1"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215"/>
      <c r="P647" s="216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  <c r="AA647" s="119"/>
      <c r="AB647" s="119"/>
      <c r="AC647" s="119"/>
      <c r="AD647" s="119"/>
      <c r="AE647" s="119"/>
      <c r="AF647" s="119"/>
      <c r="AM647" s="119"/>
      <c r="AN647" s="208"/>
      <c r="AO647" s="119"/>
    </row>
    <row r="648" ht="15.75" customHeight="1"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215"/>
      <c r="P648" s="216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  <c r="AA648" s="119"/>
      <c r="AB648" s="119"/>
      <c r="AC648" s="119"/>
      <c r="AD648" s="119"/>
      <c r="AE648" s="119"/>
      <c r="AF648" s="119"/>
      <c r="AM648" s="119"/>
      <c r="AN648" s="208"/>
      <c r="AO648" s="119"/>
    </row>
    <row r="649" ht="15.75" customHeight="1"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215"/>
      <c r="P649" s="216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  <c r="AA649" s="119"/>
      <c r="AB649" s="119"/>
      <c r="AC649" s="119"/>
      <c r="AD649" s="119"/>
      <c r="AE649" s="119"/>
      <c r="AF649" s="119"/>
      <c r="AM649" s="119"/>
      <c r="AN649" s="208"/>
      <c r="AO649" s="119"/>
    </row>
    <row r="650" ht="15.75" customHeight="1"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215"/>
      <c r="P650" s="216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  <c r="AA650" s="119"/>
      <c r="AB650" s="119"/>
      <c r="AC650" s="119"/>
      <c r="AD650" s="119"/>
      <c r="AE650" s="119"/>
      <c r="AF650" s="119"/>
      <c r="AM650" s="119"/>
      <c r="AN650" s="208"/>
      <c r="AO650" s="119"/>
    </row>
    <row r="651" ht="15.75" customHeight="1"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215"/>
      <c r="P651" s="216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  <c r="AA651" s="119"/>
      <c r="AB651" s="119"/>
      <c r="AC651" s="119"/>
      <c r="AD651" s="119"/>
      <c r="AE651" s="119"/>
      <c r="AF651" s="119"/>
      <c r="AM651" s="119"/>
      <c r="AN651" s="208"/>
      <c r="AO651" s="119"/>
    </row>
    <row r="652" ht="15.75" customHeight="1"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215"/>
      <c r="P652" s="216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  <c r="AA652" s="119"/>
      <c r="AB652" s="119"/>
      <c r="AC652" s="119"/>
      <c r="AD652" s="119"/>
      <c r="AE652" s="119"/>
      <c r="AF652" s="119"/>
      <c r="AM652" s="119"/>
      <c r="AN652" s="208"/>
      <c r="AO652" s="119"/>
    </row>
    <row r="653" ht="15.75" customHeight="1"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215"/>
      <c r="P653" s="216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  <c r="AA653" s="119"/>
      <c r="AB653" s="119"/>
      <c r="AC653" s="119"/>
      <c r="AD653" s="119"/>
      <c r="AE653" s="119"/>
      <c r="AF653" s="119"/>
      <c r="AM653" s="119"/>
      <c r="AN653" s="208"/>
      <c r="AO653" s="119"/>
    </row>
    <row r="654" ht="15.75" customHeight="1"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215"/>
      <c r="P654" s="216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  <c r="AA654" s="119"/>
      <c r="AB654" s="119"/>
      <c r="AC654" s="119"/>
      <c r="AD654" s="119"/>
      <c r="AE654" s="119"/>
      <c r="AF654" s="119"/>
      <c r="AM654" s="119"/>
      <c r="AN654" s="208"/>
      <c r="AO654" s="119"/>
    </row>
    <row r="655" ht="15.75" customHeight="1"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215"/>
      <c r="P655" s="216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  <c r="AA655" s="119"/>
      <c r="AB655" s="119"/>
      <c r="AC655" s="119"/>
      <c r="AD655" s="119"/>
      <c r="AE655" s="119"/>
      <c r="AF655" s="119"/>
      <c r="AM655" s="119"/>
      <c r="AN655" s="208"/>
      <c r="AO655" s="119"/>
    </row>
    <row r="656" ht="15.75" customHeight="1"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215"/>
      <c r="P656" s="216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  <c r="AA656" s="119"/>
      <c r="AB656" s="119"/>
      <c r="AC656" s="119"/>
      <c r="AD656" s="119"/>
      <c r="AE656" s="119"/>
      <c r="AF656" s="119"/>
      <c r="AM656" s="119"/>
      <c r="AN656" s="208"/>
      <c r="AO656" s="119"/>
    </row>
    <row r="657" ht="15.75" customHeight="1"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215"/>
      <c r="P657" s="216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  <c r="AA657" s="119"/>
      <c r="AB657" s="119"/>
      <c r="AC657" s="119"/>
      <c r="AD657" s="119"/>
      <c r="AE657" s="119"/>
      <c r="AF657" s="119"/>
      <c r="AM657" s="119"/>
      <c r="AN657" s="208"/>
      <c r="AO657" s="119"/>
    </row>
    <row r="658" ht="15.75" customHeight="1"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215"/>
      <c r="P658" s="216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  <c r="AA658" s="119"/>
      <c r="AB658" s="119"/>
      <c r="AC658" s="119"/>
      <c r="AD658" s="119"/>
      <c r="AE658" s="119"/>
      <c r="AF658" s="119"/>
      <c r="AM658" s="119"/>
      <c r="AN658" s="208"/>
      <c r="AO658" s="119"/>
    </row>
    <row r="659" ht="15.75" customHeight="1"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215"/>
      <c r="P659" s="216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  <c r="AA659" s="119"/>
      <c r="AB659" s="119"/>
      <c r="AC659" s="119"/>
      <c r="AD659" s="119"/>
      <c r="AE659" s="119"/>
      <c r="AF659" s="119"/>
      <c r="AM659" s="119"/>
      <c r="AN659" s="208"/>
      <c r="AO659" s="119"/>
    </row>
    <row r="660" ht="15.75" customHeight="1"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215"/>
      <c r="P660" s="216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  <c r="AA660" s="119"/>
      <c r="AB660" s="119"/>
      <c r="AC660" s="119"/>
      <c r="AD660" s="119"/>
      <c r="AE660" s="119"/>
      <c r="AF660" s="119"/>
      <c r="AM660" s="119"/>
      <c r="AN660" s="208"/>
      <c r="AO660" s="119"/>
    </row>
    <row r="661" ht="15.75" customHeight="1"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215"/>
      <c r="P661" s="216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  <c r="AA661" s="119"/>
      <c r="AB661" s="119"/>
      <c r="AC661" s="119"/>
      <c r="AD661" s="119"/>
      <c r="AE661" s="119"/>
      <c r="AF661" s="119"/>
      <c r="AM661" s="119"/>
      <c r="AN661" s="208"/>
      <c r="AO661" s="119"/>
    </row>
    <row r="662" ht="15.75" customHeight="1"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215"/>
      <c r="P662" s="216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  <c r="AA662" s="119"/>
      <c r="AB662" s="119"/>
      <c r="AC662" s="119"/>
      <c r="AD662" s="119"/>
      <c r="AE662" s="119"/>
      <c r="AF662" s="119"/>
      <c r="AM662" s="119"/>
      <c r="AN662" s="208"/>
      <c r="AO662" s="119"/>
    </row>
    <row r="663" ht="15.75" customHeight="1"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215"/>
      <c r="P663" s="216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  <c r="AA663" s="119"/>
      <c r="AB663" s="119"/>
      <c r="AC663" s="119"/>
      <c r="AD663" s="119"/>
      <c r="AE663" s="119"/>
      <c r="AF663" s="119"/>
      <c r="AM663" s="119"/>
      <c r="AN663" s="208"/>
      <c r="AO663" s="119"/>
    </row>
    <row r="664" ht="15.75" customHeight="1"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215"/>
      <c r="P664" s="216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  <c r="AA664" s="119"/>
      <c r="AB664" s="119"/>
      <c r="AC664" s="119"/>
      <c r="AD664" s="119"/>
      <c r="AE664" s="119"/>
      <c r="AF664" s="119"/>
      <c r="AM664" s="119"/>
      <c r="AN664" s="208"/>
      <c r="AO664" s="119"/>
    </row>
    <row r="665" ht="15.75" customHeight="1"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215"/>
      <c r="P665" s="216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  <c r="AA665" s="119"/>
      <c r="AB665" s="119"/>
      <c r="AC665" s="119"/>
      <c r="AD665" s="119"/>
      <c r="AE665" s="119"/>
      <c r="AF665" s="119"/>
      <c r="AM665" s="119"/>
      <c r="AN665" s="208"/>
      <c r="AO665" s="119"/>
    </row>
    <row r="666" ht="15.75" customHeight="1"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215"/>
      <c r="P666" s="216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  <c r="AA666" s="119"/>
      <c r="AB666" s="119"/>
      <c r="AC666" s="119"/>
      <c r="AD666" s="119"/>
      <c r="AE666" s="119"/>
      <c r="AF666" s="119"/>
      <c r="AM666" s="119"/>
      <c r="AN666" s="208"/>
      <c r="AO666" s="119"/>
    </row>
    <row r="667" ht="15.75" customHeight="1"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215"/>
      <c r="P667" s="216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  <c r="AA667" s="119"/>
      <c r="AB667" s="119"/>
      <c r="AC667" s="119"/>
      <c r="AD667" s="119"/>
      <c r="AE667" s="119"/>
      <c r="AF667" s="119"/>
      <c r="AM667" s="119"/>
      <c r="AN667" s="208"/>
      <c r="AO667" s="119"/>
    </row>
    <row r="668" ht="15.75" customHeight="1"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215"/>
      <c r="P668" s="216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  <c r="AA668" s="119"/>
      <c r="AB668" s="119"/>
      <c r="AC668" s="119"/>
      <c r="AD668" s="119"/>
      <c r="AE668" s="119"/>
      <c r="AF668" s="119"/>
      <c r="AM668" s="119"/>
      <c r="AN668" s="208"/>
      <c r="AO668" s="119"/>
    </row>
    <row r="669" ht="15.75" customHeight="1"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215"/>
      <c r="P669" s="216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  <c r="AA669" s="119"/>
      <c r="AB669" s="119"/>
      <c r="AC669" s="119"/>
      <c r="AD669" s="119"/>
      <c r="AE669" s="119"/>
      <c r="AF669" s="119"/>
      <c r="AM669" s="119"/>
      <c r="AN669" s="208"/>
      <c r="AO669" s="119"/>
    </row>
    <row r="670" ht="15.75" customHeight="1"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215"/>
      <c r="P670" s="216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  <c r="AA670" s="119"/>
      <c r="AB670" s="119"/>
      <c r="AC670" s="119"/>
      <c r="AD670" s="119"/>
      <c r="AE670" s="119"/>
      <c r="AF670" s="119"/>
      <c r="AM670" s="119"/>
      <c r="AN670" s="208"/>
      <c r="AO670" s="119"/>
    </row>
    <row r="671" ht="15.75" customHeight="1"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215"/>
      <c r="P671" s="216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  <c r="AA671" s="119"/>
      <c r="AB671" s="119"/>
      <c r="AC671" s="119"/>
      <c r="AD671" s="119"/>
      <c r="AE671" s="119"/>
      <c r="AF671" s="119"/>
      <c r="AM671" s="119"/>
      <c r="AN671" s="208"/>
      <c r="AO671" s="119"/>
    </row>
    <row r="672" ht="15.75" customHeight="1"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215"/>
      <c r="P672" s="216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  <c r="AA672" s="119"/>
      <c r="AB672" s="119"/>
      <c r="AC672" s="119"/>
      <c r="AD672" s="119"/>
      <c r="AE672" s="119"/>
      <c r="AF672" s="119"/>
      <c r="AM672" s="119"/>
      <c r="AN672" s="208"/>
      <c r="AO672" s="119"/>
    </row>
    <row r="673" ht="15.75" customHeight="1"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215"/>
      <c r="P673" s="216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  <c r="AA673" s="119"/>
      <c r="AB673" s="119"/>
      <c r="AC673" s="119"/>
      <c r="AD673" s="119"/>
      <c r="AE673" s="119"/>
      <c r="AF673" s="119"/>
      <c r="AM673" s="119"/>
      <c r="AN673" s="208"/>
      <c r="AO673" s="119"/>
    </row>
    <row r="674" ht="15.75" customHeight="1"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215"/>
      <c r="P674" s="216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  <c r="AA674" s="119"/>
      <c r="AB674" s="119"/>
      <c r="AC674" s="119"/>
      <c r="AD674" s="119"/>
      <c r="AE674" s="119"/>
      <c r="AF674" s="119"/>
      <c r="AM674" s="119"/>
      <c r="AN674" s="208"/>
      <c r="AO674" s="119"/>
    </row>
    <row r="675" ht="15.75" customHeight="1"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215"/>
      <c r="P675" s="216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  <c r="AA675" s="119"/>
      <c r="AB675" s="119"/>
      <c r="AC675" s="119"/>
      <c r="AD675" s="119"/>
      <c r="AE675" s="119"/>
      <c r="AF675" s="119"/>
      <c r="AM675" s="119"/>
      <c r="AN675" s="208"/>
      <c r="AO675" s="119"/>
    </row>
    <row r="676" ht="15.75" customHeight="1"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215"/>
      <c r="P676" s="216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  <c r="AA676" s="119"/>
      <c r="AB676" s="119"/>
      <c r="AC676" s="119"/>
      <c r="AD676" s="119"/>
      <c r="AE676" s="119"/>
      <c r="AF676" s="119"/>
      <c r="AM676" s="119"/>
      <c r="AN676" s="208"/>
      <c r="AO676" s="119"/>
    </row>
    <row r="677" ht="15.75" customHeight="1"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215"/>
      <c r="P677" s="216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  <c r="AA677" s="119"/>
      <c r="AB677" s="119"/>
      <c r="AC677" s="119"/>
      <c r="AD677" s="119"/>
      <c r="AE677" s="119"/>
      <c r="AF677" s="119"/>
      <c r="AM677" s="119"/>
      <c r="AN677" s="208"/>
      <c r="AO677" s="119"/>
    </row>
    <row r="678" ht="15.75" customHeight="1"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215"/>
      <c r="P678" s="216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  <c r="AA678" s="119"/>
      <c r="AB678" s="119"/>
      <c r="AC678" s="119"/>
      <c r="AD678" s="119"/>
      <c r="AE678" s="119"/>
      <c r="AF678" s="119"/>
      <c r="AM678" s="119"/>
      <c r="AN678" s="208"/>
      <c r="AO678" s="119"/>
    </row>
    <row r="679" ht="15.75" customHeight="1"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215"/>
      <c r="P679" s="216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  <c r="AA679" s="119"/>
      <c r="AB679" s="119"/>
      <c r="AC679" s="119"/>
      <c r="AD679" s="119"/>
      <c r="AE679" s="119"/>
      <c r="AF679" s="119"/>
      <c r="AM679" s="119"/>
      <c r="AN679" s="208"/>
      <c r="AO679" s="119"/>
    </row>
    <row r="680" ht="15.75" customHeight="1"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215"/>
      <c r="P680" s="216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  <c r="AA680" s="119"/>
      <c r="AB680" s="119"/>
      <c r="AC680" s="119"/>
      <c r="AD680" s="119"/>
      <c r="AE680" s="119"/>
      <c r="AF680" s="119"/>
      <c r="AM680" s="119"/>
      <c r="AN680" s="208"/>
      <c r="AO680" s="119"/>
    </row>
    <row r="681" ht="15.75" customHeight="1"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215"/>
      <c r="P681" s="216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  <c r="AA681" s="119"/>
      <c r="AB681" s="119"/>
      <c r="AC681" s="119"/>
      <c r="AD681" s="119"/>
      <c r="AE681" s="119"/>
      <c r="AF681" s="119"/>
      <c r="AM681" s="119"/>
      <c r="AN681" s="208"/>
      <c r="AO681" s="119"/>
    </row>
    <row r="682" ht="15.75" customHeight="1"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215"/>
      <c r="P682" s="216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  <c r="AA682" s="119"/>
      <c r="AB682" s="119"/>
      <c r="AC682" s="119"/>
      <c r="AD682" s="119"/>
      <c r="AE682" s="119"/>
      <c r="AF682" s="119"/>
      <c r="AM682" s="119"/>
      <c r="AN682" s="208"/>
      <c r="AO682" s="119"/>
    </row>
    <row r="683" ht="15.75" customHeight="1"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215"/>
      <c r="P683" s="216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  <c r="AA683" s="119"/>
      <c r="AB683" s="119"/>
      <c r="AC683" s="119"/>
      <c r="AD683" s="119"/>
      <c r="AE683" s="119"/>
      <c r="AF683" s="119"/>
      <c r="AM683" s="119"/>
      <c r="AN683" s="208"/>
      <c r="AO683" s="119"/>
    </row>
    <row r="684" ht="15.75" customHeight="1"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215"/>
      <c r="P684" s="216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  <c r="AA684" s="119"/>
      <c r="AB684" s="119"/>
      <c r="AC684" s="119"/>
      <c r="AD684" s="119"/>
      <c r="AE684" s="119"/>
      <c r="AF684" s="119"/>
      <c r="AM684" s="119"/>
      <c r="AN684" s="208"/>
      <c r="AO684" s="119"/>
    </row>
    <row r="685" ht="15.75" customHeight="1"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215"/>
      <c r="P685" s="216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  <c r="AA685" s="119"/>
      <c r="AB685" s="119"/>
      <c r="AC685" s="119"/>
      <c r="AD685" s="119"/>
      <c r="AE685" s="119"/>
      <c r="AF685" s="119"/>
      <c r="AM685" s="119"/>
      <c r="AN685" s="208"/>
      <c r="AO685" s="119"/>
    </row>
    <row r="686" ht="15.75" customHeight="1"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215"/>
      <c r="P686" s="216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  <c r="AA686" s="119"/>
      <c r="AB686" s="119"/>
      <c r="AC686" s="119"/>
      <c r="AD686" s="119"/>
      <c r="AE686" s="119"/>
      <c r="AF686" s="119"/>
      <c r="AM686" s="119"/>
      <c r="AN686" s="208"/>
      <c r="AO686" s="119"/>
    </row>
    <row r="687" ht="15.75" customHeight="1"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215"/>
      <c r="P687" s="216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  <c r="AA687" s="119"/>
      <c r="AB687" s="119"/>
      <c r="AC687" s="119"/>
      <c r="AD687" s="119"/>
      <c r="AE687" s="119"/>
      <c r="AF687" s="119"/>
      <c r="AM687" s="119"/>
      <c r="AN687" s="208"/>
      <c r="AO687" s="119"/>
    </row>
    <row r="688" ht="15.75" customHeight="1"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215"/>
      <c r="P688" s="216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  <c r="AA688" s="119"/>
      <c r="AB688" s="119"/>
      <c r="AC688" s="119"/>
      <c r="AD688" s="119"/>
      <c r="AE688" s="119"/>
      <c r="AF688" s="119"/>
      <c r="AM688" s="119"/>
      <c r="AN688" s="208"/>
      <c r="AO688" s="119"/>
    </row>
    <row r="689" ht="15.75" customHeight="1"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215"/>
      <c r="P689" s="216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  <c r="AA689" s="119"/>
      <c r="AB689" s="119"/>
      <c r="AC689" s="119"/>
      <c r="AD689" s="119"/>
      <c r="AE689" s="119"/>
      <c r="AF689" s="119"/>
      <c r="AM689" s="119"/>
      <c r="AN689" s="208"/>
      <c r="AO689" s="119"/>
    </row>
    <row r="690" ht="15.75" customHeight="1"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215"/>
      <c r="P690" s="216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  <c r="AA690" s="119"/>
      <c r="AB690" s="119"/>
      <c r="AC690" s="119"/>
      <c r="AD690" s="119"/>
      <c r="AE690" s="119"/>
      <c r="AF690" s="119"/>
      <c r="AM690" s="119"/>
      <c r="AN690" s="208"/>
      <c r="AO690" s="119"/>
    </row>
    <row r="691" ht="15.75" customHeight="1"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215"/>
      <c r="P691" s="216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  <c r="AA691" s="119"/>
      <c r="AB691" s="119"/>
      <c r="AC691" s="119"/>
      <c r="AD691" s="119"/>
      <c r="AE691" s="119"/>
      <c r="AF691" s="119"/>
      <c r="AM691" s="119"/>
      <c r="AN691" s="208"/>
      <c r="AO691" s="119"/>
    </row>
    <row r="692" ht="15.75" customHeight="1"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215"/>
      <c r="P692" s="216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  <c r="AA692" s="119"/>
      <c r="AB692" s="119"/>
      <c r="AC692" s="119"/>
      <c r="AD692" s="119"/>
      <c r="AE692" s="119"/>
      <c r="AF692" s="119"/>
      <c r="AM692" s="119"/>
      <c r="AN692" s="208"/>
      <c r="AO692" s="119"/>
    </row>
    <row r="693" ht="15.75" customHeight="1"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215"/>
      <c r="P693" s="216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  <c r="AA693" s="119"/>
      <c r="AB693" s="119"/>
      <c r="AC693" s="119"/>
      <c r="AD693" s="119"/>
      <c r="AE693" s="119"/>
      <c r="AF693" s="119"/>
      <c r="AM693" s="119"/>
      <c r="AN693" s="208"/>
      <c r="AO693" s="119"/>
    </row>
    <row r="694" ht="15.75" customHeight="1"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215"/>
      <c r="P694" s="216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  <c r="AA694" s="119"/>
      <c r="AB694" s="119"/>
      <c r="AC694" s="119"/>
      <c r="AD694" s="119"/>
      <c r="AE694" s="119"/>
      <c r="AF694" s="119"/>
      <c r="AM694" s="119"/>
      <c r="AN694" s="208"/>
      <c r="AO694" s="119"/>
    </row>
    <row r="695" ht="15.75" customHeight="1"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215"/>
      <c r="P695" s="216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  <c r="AA695" s="119"/>
      <c r="AB695" s="119"/>
      <c r="AC695" s="119"/>
      <c r="AD695" s="119"/>
      <c r="AE695" s="119"/>
      <c r="AF695" s="119"/>
      <c r="AM695" s="119"/>
      <c r="AN695" s="208"/>
      <c r="AO695" s="119"/>
    </row>
    <row r="696" ht="15.75" customHeight="1"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215"/>
      <c r="P696" s="216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  <c r="AA696" s="119"/>
      <c r="AB696" s="119"/>
      <c r="AC696" s="119"/>
      <c r="AD696" s="119"/>
      <c r="AE696" s="119"/>
      <c r="AF696" s="119"/>
      <c r="AM696" s="119"/>
      <c r="AN696" s="208"/>
      <c r="AO696" s="119"/>
    </row>
    <row r="697" ht="15.75" customHeight="1"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215"/>
      <c r="P697" s="216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  <c r="AA697" s="119"/>
      <c r="AB697" s="119"/>
      <c r="AC697" s="119"/>
      <c r="AD697" s="119"/>
      <c r="AE697" s="119"/>
      <c r="AF697" s="119"/>
      <c r="AM697" s="119"/>
      <c r="AN697" s="208"/>
      <c r="AO697" s="119"/>
    </row>
    <row r="698" ht="15.75" customHeight="1"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215"/>
      <c r="P698" s="216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  <c r="AA698" s="119"/>
      <c r="AB698" s="119"/>
      <c r="AC698" s="119"/>
      <c r="AD698" s="119"/>
      <c r="AE698" s="119"/>
      <c r="AF698" s="119"/>
      <c r="AM698" s="119"/>
      <c r="AN698" s="208"/>
      <c r="AO698" s="119"/>
    </row>
    <row r="699" ht="15.75" customHeight="1"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215"/>
      <c r="P699" s="216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  <c r="AA699" s="119"/>
      <c r="AB699" s="119"/>
      <c r="AC699" s="119"/>
      <c r="AD699" s="119"/>
      <c r="AE699" s="119"/>
      <c r="AF699" s="119"/>
      <c r="AM699" s="119"/>
      <c r="AN699" s="208"/>
      <c r="AO699" s="119"/>
    </row>
    <row r="700" ht="15.75" customHeight="1"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215"/>
      <c r="P700" s="216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  <c r="AA700" s="119"/>
      <c r="AB700" s="119"/>
      <c r="AC700" s="119"/>
      <c r="AD700" s="119"/>
      <c r="AE700" s="119"/>
      <c r="AF700" s="119"/>
      <c r="AM700" s="119"/>
      <c r="AN700" s="208"/>
      <c r="AO700" s="119"/>
    </row>
    <row r="701" ht="15.75" customHeight="1"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215"/>
      <c r="P701" s="216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  <c r="AA701" s="119"/>
      <c r="AB701" s="119"/>
      <c r="AC701" s="119"/>
      <c r="AD701" s="119"/>
      <c r="AE701" s="119"/>
      <c r="AF701" s="119"/>
      <c r="AM701" s="119"/>
      <c r="AN701" s="208"/>
      <c r="AO701" s="119"/>
    </row>
    <row r="702" ht="15.75" customHeight="1"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215"/>
      <c r="P702" s="216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  <c r="AA702" s="119"/>
      <c r="AB702" s="119"/>
      <c r="AC702" s="119"/>
      <c r="AD702" s="119"/>
      <c r="AE702" s="119"/>
      <c r="AF702" s="119"/>
      <c r="AM702" s="119"/>
      <c r="AN702" s="208"/>
      <c r="AO702" s="119"/>
    </row>
    <row r="703" ht="15.75" customHeight="1"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215"/>
      <c r="P703" s="216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  <c r="AA703" s="119"/>
      <c r="AB703" s="119"/>
      <c r="AC703" s="119"/>
      <c r="AD703" s="119"/>
      <c r="AE703" s="119"/>
      <c r="AF703" s="119"/>
      <c r="AM703" s="119"/>
      <c r="AN703" s="208"/>
      <c r="AO703" s="119"/>
    </row>
    <row r="704" ht="15.75" customHeight="1"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215"/>
      <c r="P704" s="216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  <c r="AA704" s="119"/>
      <c r="AB704" s="119"/>
      <c r="AC704" s="119"/>
      <c r="AD704" s="119"/>
      <c r="AE704" s="119"/>
      <c r="AF704" s="119"/>
      <c r="AM704" s="119"/>
      <c r="AN704" s="208"/>
      <c r="AO704" s="119"/>
    </row>
    <row r="705" ht="15.75" customHeight="1"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215"/>
      <c r="P705" s="216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  <c r="AA705" s="119"/>
      <c r="AB705" s="119"/>
      <c r="AC705" s="119"/>
      <c r="AD705" s="119"/>
      <c r="AE705" s="119"/>
      <c r="AF705" s="119"/>
      <c r="AM705" s="119"/>
      <c r="AN705" s="208"/>
      <c r="AO705" s="119"/>
    </row>
    <row r="706" ht="15.75" customHeight="1"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215"/>
      <c r="P706" s="216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  <c r="AA706" s="119"/>
      <c r="AB706" s="119"/>
      <c r="AC706" s="119"/>
      <c r="AD706" s="119"/>
      <c r="AE706" s="119"/>
      <c r="AF706" s="119"/>
      <c r="AM706" s="119"/>
      <c r="AN706" s="208"/>
      <c r="AO706" s="119"/>
    </row>
    <row r="707" ht="15.75" customHeight="1"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215"/>
      <c r="P707" s="216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  <c r="AA707" s="119"/>
      <c r="AB707" s="119"/>
      <c r="AC707" s="119"/>
      <c r="AD707" s="119"/>
      <c r="AE707" s="119"/>
      <c r="AF707" s="119"/>
      <c r="AM707" s="119"/>
      <c r="AN707" s="208"/>
      <c r="AO707" s="119"/>
    </row>
    <row r="708" ht="15.75" customHeight="1"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215"/>
      <c r="P708" s="216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  <c r="AA708" s="119"/>
      <c r="AB708" s="119"/>
      <c r="AC708" s="119"/>
      <c r="AD708" s="119"/>
      <c r="AE708" s="119"/>
      <c r="AF708" s="119"/>
      <c r="AM708" s="119"/>
      <c r="AN708" s="208"/>
      <c r="AO708" s="119"/>
    </row>
    <row r="709" ht="15.75" customHeight="1"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215"/>
      <c r="P709" s="216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  <c r="AA709" s="119"/>
      <c r="AB709" s="119"/>
      <c r="AC709" s="119"/>
      <c r="AD709" s="119"/>
      <c r="AE709" s="119"/>
      <c r="AF709" s="119"/>
      <c r="AM709" s="119"/>
      <c r="AN709" s="208"/>
      <c r="AO709" s="119"/>
    </row>
    <row r="710" ht="15.75" customHeight="1"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215"/>
      <c r="P710" s="216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  <c r="AA710" s="119"/>
      <c r="AB710" s="119"/>
      <c r="AC710" s="119"/>
      <c r="AD710" s="119"/>
      <c r="AE710" s="119"/>
      <c r="AF710" s="119"/>
      <c r="AM710" s="119"/>
      <c r="AN710" s="208"/>
      <c r="AO710" s="119"/>
    </row>
    <row r="711" ht="15.75" customHeight="1"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215"/>
      <c r="P711" s="216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  <c r="AA711" s="119"/>
      <c r="AB711" s="119"/>
      <c r="AC711" s="119"/>
      <c r="AD711" s="119"/>
      <c r="AE711" s="119"/>
      <c r="AF711" s="119"/>
      <c r="AM711" s="119"/>
      <c r="AN711" s="208"/>
      <c r="AO711" s="119"/>
    </row>
    <row r="712" ht="15.75" customHeight="1"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215"/>
      <c r="P712" s="216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  <c r="AA712" s="119"/>
      <c r="AB712" s="119"/>
      <c r="AC712" s="119"/>
      <c r="AD712" s="119"/>
      <c r="AE712" s="119"/>
      <c r="AF712" s="119"/>
      <c r="AM712" s="119"/>
      <c r="AN712" s="208"/>
      <c r="AO712" s="119"/>
    </row>
    <row r="713" ht="15.75" customHeight="1"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215"/>
      <c r="P713" s="216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  <c r="AA713" s="119"/>
      <c r="AB713" s="119"/>
      <c r="AC713" s="119"/>
      <c r="AD713" s="119"/>
      <c r="AE713" s="119"/>
      <c r="AF713" s="119"/>
      <c r="AM713" s="119"/>
      <c r="AN713" s="208"/>
      <c r="AO713" s="119"/>
    </row>
    <row r="714" ht="15.75" customHeight="1"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215"/>
      <c r="P714" s="216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  <c r="AA714" s="119"/>
      <c r="AB714" s="119"/>
      <c r="AC714" s="119"/>
      <c r="AD714" s="119"/>
      <c r="AE714" s="119"/>
      <c r="AF714" s="119"/>
      <c r="AM714" s="119"/>
      <c r="AN714" s="208"/>
      <c r="AO714" s="119"/>
    </row>
    <row r="715" ht="15.75" customHeight="1"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215"/>
      <c r="P715" s="216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  <c r="AA715" s="119"/>
      <c r="AB715" s="119"/>
      <c r="AC715" s="119"/>
      <c r="AD715" s="119"/>
      <c r="AE715" s="119"/>
      <c r="AF715" s="119"/>
      <c r="AM715" s="119"/>
      <c r="AN715" s="208"/>
      <c r="AO715" s="119"/>
    </row>
    <row r="716" ht="15.75" customHeight="1"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215"/>
      <c r="P716" s="216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  <c r="AA716" s="119"/>
      <c r="AB716" s="119"/>
      <c r="AC716" s="119"/>
      <c r="AD716" s="119"/>
      <c r="AE716" s="119"/>
      <c r="AF716" s="119"/>
      <c r="AM716" s="119"/>
      <c r="AN716" s="208"/>
      <c r="AO716" s="119"/>
    </row>
    <row r="717" ht="15.75" customHeight="1"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215"/>
      <c r="P717" s="216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  <c r="AA717" s="119"/>
      <c r="AB717" s="119"/>
      <c r="AC717" s="119"/>
      <c r="AD717" s="119"/>
      <c r="AE717" s="119"/>
      <c r="AF717" s="119"/>
      <c r="AM717" s="119"/>
      <c r="AN717" s="208"/>
      <c r="AO717" s="119"/>
    </row>
    <row r="718" ht="15.75" customHeight="1"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215"/>
      <c r="P718" s="216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  <c r="AA718" s="119"/>
      <c r="AB718" s="119"/>
      <c r="AC718" s="119"/>
      <c r="AD718" s="119"/>
      <c r="AE718" s="119"/>
      <c r="AF718" s="119"/>
      <c r="AM718" s="119"/>
      <c r="AN718" s="208"/>
      <c r="AO718" s="119"/>
    </row>
    <row r="719" ht="15.75" customHeight="1"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215"/>
      <c r="P719" s="216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  <c r="AA719" s="119"/>
      <c r="AB719" s="119"/>
      <c r="AC719" s="119"/>
      <c r="AD719" s="119"/>
      <c r="AE719" s="119"/>
      <c r="AF719" s="119"/>
      <c r="AM719" s="119"/>
      <c r="AN719" s="208"/>
      <c r="AO719" s="119"/>
    </row>
    <row r="720" ht="15.75" customHeight="1"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215"/>
      <c r="P720" s="216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  <c r="AA720" s="119"/>
      <c r="AB720" s="119"/>
      <c r="AC720" s="119"/>
      <c r="AD720" s="119"/>
      <c r="AE720" s="119"/>
      <c r="AF720" s="119"/>
      <c r="AM720" s="119"/>
      <c r="AN720" s="208"/>
      <c r="AO720" s="119"/>
    </row>
    <row r="721" ht="15.75" customHeight="1"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215"/>
      <c r="P721" s="216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  <c r="AA721" s="119"/>
      <c r="AB721" s="119"/>
      <c r="AC721" s="119"/>
      <c r="AD721" s="119"/>
      <c r="AE721" s="119"/>
      <c r="AF721" s="119"/>
      <c r="AM721" s="119"/>
      <c r="AN721" s="208"/>
      <c r="AO721" s="119"/>
    </row>
    <row r="722" ht="15.75" customHeight="1"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215"/>
      <c r="P722" s="216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  <c r="AA722" s="119"/>
      <c r="AB722" s="119"/>
      <c r="AC722" s="119"/>
      <c r="AD722" s="119"/>
      <c r="AE722" s="119"/>
      <c r="AF722" s="119"/>
      <c r="AM722" s="119"/>
      <c r="AN722" s="208"/>
      <c r="AO722" s="119"/>
    </row>
    <row r="723" ht="15.75" customHeight="1"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215"/>
      <c r="P723" s="216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  <c r="AA723" s="119"/>
      <c r="AB723" s="119"/>
      <c r="AC723" s="119"/>
      <c r="AD723" s="119"/>
      <c r="AE723" s="119"/>
      <c r="AF723" s="119"/>
      <c r="AM723" s="119"/>
      <c r="AN723" s="208"/>
      <c r="AO723" s="119"/>
    </row>
    <row r="724" ht="15.75" customHeight="1"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215"/>
      <c r="P724" s="216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  <c r="AA724" s="119"/>
      <c r="AB724" s="119"/>
      <c r="AC724" s="119"/>
      <c r="AD724" s="119"/>
      <c r="AE724" s="119"/>
      <c r="AF724" s="119"/>
      <c r="AM724" s="119"/>
      <c r="AN724" s="208"/>
      <c r="AO724" s="119"/>
    </row>
    <row r="725" ht="15.75" customHeight="1"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215"/>
      <c r="P725" s="216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  <c r="AA725" s="119"/>
      <c r="AB725" s="119"/>
      <c r="AC725" s="119"/>
      <c r="AD725" s="119"/>
      <c r="AE725" s="119"/>
      <c r="AF725" s="119"/>
      <c r="AM725" s="119"/>
      <c r="AN725" s="208"/>
      <c r="AO725" s="119"/>
    </row>
    <row r="726" ht="15.75" customHeight="1"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215"/>
      <c r="P726" s="216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  <c r="AA726" s="119"/>
      <c r="AB726" s="119"/>
      <c r="AC726" s="119"/>
      <c r="AD726" s="119"/>
      <c r="AE726" s="119"/>
      <c r="AF726" s="119"/>
      <c r="AM726" s="119"/>
      <c r="AN726" s="208"/>
      <c r="AO726" s="119"/>
    </row>
    <row r="727" ht="15.75" customHeight="1"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215"/>
      <c r="P727" s="216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  <c r="AA727" s="119"/>
      <c r="AB727" s="119"/>
      <c r="AC727" s="119"/>
      <c r="AD727" s="119"/>
      <c r="AE727" s="119"/>
      <c r="AF727" s="119"/>
      <c r="AM727" s="119"/>
      <c r="AN727" s="208"/>
      <c r="AO727" s="119"/>
    </row>
    <row r="728" ht="15.75" customHeight="1"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215"/>
      <c r="P728" s="216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  <c r="AA728" s="119"/>
      <c r="AB728" s="119"/>
      <c r="AC728" s="119"/>
      <c r="AD728" s="119"/>
      <c r="AE728" s="119"/>
      <c r="AF728" s="119"/>
      <c r="AM728" s="119"/>
      <c r="AN728" s="208"/>
      <c r="AO728" s="119"/>
    </row>
    <row r="729" ht="15.75" customHeight="1"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215"/>
      <c r="P729" s="216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  <c r="AA729" s="119"/>
      <c r="AB729" s="119"/>
      <c r="AC729" s="119"/>
      <c r="AD729" s="119"/>
      <c r="AE729" s="119"/>
      <c r="AF729" s="119"/>
      <c r="AM729" s="119"/>
      <c r="AN729" s="208"/>
      <c r="AO729" s="119"/>
    </row>
    <row r="730" ht="15.75" customHeight="1"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215"/>
      <c r="P730" s="216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  <c r="AA730" s="119"/>
      <c r="AB730" s="119"/>
      <c r="AC730" s="119"/>
      <c r="AD730" s="119"/>
      <c r="AE730" s="119"/>
      <c r="AF730" s="119"/>
      <c r="AM730" s="119"/>
      <c r="AN730" s="208"/>
      <c r="AO730" s="119"/>
    </row>
    <row r="731" ht="15.75" customHeight="1"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215"/>
      <c r="P731" s="216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  <c r="AA731" s="119"/>
      <c r="AB731" s="119"/>
      <c r="AC731" s="119"/>
      <c r="AD731" s="119"/>
      <c r="AE731" s="119"/>
      <c r="AF731" s="119"/>
      <c r="AM731" s="119"/>
      <c r="AN731" s="208"/>
      <c r="AO731" s="119"/>
    </row>
    <row r="732" ht="15.75" customHeight="1"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215"/>
      <c r="P732" s="216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  <c r="AA732" s="119"/>
      <c r="AB732" s="119"/>
      <c r="AC732" s="119"/>
      <c r="AD732" s="119"/>
      <c r="AE732" s="119"/>
      <c r="AF732" s="119"/>
      <c r="AM732" s="119"/>
      <c r="AN732" s="208"/>
      <c r="AO732" s="119"/>
    </row>
    <row r="733" ht="15.75" customHeight="1"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215"/>
      <c r="P733" s="216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  <c r="AA733" s="119"/>
      <c r="AB733" s="119"/>
      <c r="AC733" s="119"/>
      <c r="AD733" s="119"/>
      <c r="AE733" s="119"/>
      <c r="AF733" s="119"/>
      <c r="AM733" s="119"/>
      <c r="AN733" s="208"/>
      <c r="AO733" s="119"/>
    </row>
    <row r="734" ht="15.75" customHeight="1"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215"/>
      <c r="P734" s="216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  <c r="AA734" s="119"/>
      <c r="AB734" s="119"/>
      <c r="AC734" s="119"/>
      <c r="AD734" s="119"/>
      <c r="AE734" s="119"/>
      <c r="AF734" s="119"/>
      <c r="AM734" s="119"/>
      <c r="AN734" s="208"/>
      <c r="AO734" s="119"/>
    </row>
    <row r="735" ht="15.75" customHeight="1"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215"/>
      <c r="P735" s="216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  <c r="AA735" s="119"/>
      <c r="AB735" s="119"/>
      <c r="AC735" s="119"/>
      <c r="AD735" s="119"/>
      <c r="AE735" s="119"/>
      <c r="AF735" s="119"/>
      <c r="AM735" s="119"/>
      <c r="AN735" s="208"/>
      <c r="AO735" s="119"/>
    </row>
    <row r="736" ht="15.75" customHeight="1"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215"/>
      <c r="P736" s="216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  <c r="AA736" s="119"/>
      <c r="AB736" s="119"/>
      <c r="AC736" s="119"/>
      <c r="AD736" s="119"/>
      <c r="AE736" s="119"/>
      <c r="AF736" s="119"/>
      <c r="AM736" s="119"/>
      <c r="AN736" s="208"/>
      <c r="AO736" s="119"/>
    </row>
    <row r="737" ht="15.75" customHeight="1"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215"/>
      <c r="P737" s="216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  <c r="AA737" s="119"/>
      <c r="AB737" s="119"/>
      <c r="AC737" s="119"/>
      <c r="AD737" s="119"/>
      <c r="AE737" s="119"/>
      <c r="AF737" s="119"/>
      <c r="AM737" s="119"/>
      <c r="AN737" s="208"/>
      <c r="AO737" s="119"/>
    </row>
    <row r="738" ht="15.75" customHeight="1"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215"/>
      <c r="P738" s="216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  <c r="AA738" s="119"/>
      <c r="AB738" s="119"/>
      <c r="AC738" s="119"/>
      <c r="AD738" s="119"/>
      <c r="AE738" s="119"/>
      <c r="AF738" s="119"/>
      <c r="AM738" s="119"/>
      <c r="AN738" s="208"/>
      <c r="AO738" s="119"/>
    </row>
    <row r="739" ht="15.75" customHeight="1"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215"/>
      <c r="P739" s="216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  <c r="AB739" s="119"/>
      <c r="AC739" s="119"/>
      <c r="AD739" s="119"/>
      <c r="AE739" s="119"/>
      <c r="AF739" s="119"/>
      <c r="AM739" s="119"/>
      <c r="AN739" s="208"/>
      <c r="AO739" s="119"/>
    </row>
    <row r="740" ht="15.75" customHeight="1"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215"/>
      <c r="P740" s="216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  <c r="AA740" s="119"/>
      <c r="AB740" s="119"/>
      <c r="AC740" s="119"/>
      <c r="AD740" s="119"/>
      <c r="AE740" s="119"/>
      <c r="AF740" s="119"/>
      <c r="AM740" s="119"/>
      <c r="AN740" s="208"/>
      <c r="AO740" s="119"/>
    </row>
    <row r="741" ht="15.75" customHeight="1"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215"/>
      <c r="P741" s="216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  <c r="AA741" s="119"/>
      <c r="AB741" s="119"/>
      <c r="AC741" s="119"/>
      <c r="AD741" s="119"/>
      <c r="AE741" s="119"/>
      <c r="AF741" s="119"/>
      <c r="AM741" s="119"/>
      <c r="AN741" s="208"/>
      <c r="AO741" s="119"/>
    </row>
    <row r="742" ht="15.75" customHeight="1"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215"/>
      <c r="P742" s="216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  <c r="AA742" s="119"/>
      <c r="AB742" s="119"/>
      <c r="AC742" s="119"/>
      <c r="AD742" s="119"/>
      <c r="AE742" s="119"/>
      <c r="AF742" s="119"/>
      <c r="AM742" s="119"/>
      <c r="AN742" s="208"/>
      <c r="AO742" s="119"/>
    </row>
    <row r="743" ht="15.75" customHeight="1"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215"/>
      <c r="P743" s="216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  <c r="AA743" s="119"/>
      <c r="AB743" s="119"/>
      <c r="AC743" s="119"/>
      <c r="AD743" s="119"/>
      <c r="AE743" s="119"/>
      <c r="AF743" s="119"/>
      <c r="AM743" s="119"/>
      <c r="AN743" s="208"/>
      <c r="AO743" s="119"/>
    </row>
    <row r="744" ht="15.75" customHeight="1"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215"/>
      <c r="P744" s="216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  <c r="AA744" s="119"/>
      <c r="AB744" s="119"/>
      <c r="AC744" s="119"/>
      <c r="AD744" s="119"/>
      <c r="AE744" s="119"/>
      <c r="AF744" s="119"/>
      <c r="AM744" s="119"/>
      <c r="AN744" s="208"/>
      <c r="AO744" s="119"/>
    </row>
    <row r="745" ht="15.75" customHeight="1"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215"/>
      <c r="P745" s="216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  <c r="AA745" s="119"/>
      <c r="AB745" s="119"/>
      <c r="AC745" s="119"/>
      <c r="AD745" s="119"/>
      <c r="AE745" s="119"/>
      <c r="AF745" s="119"/>
      <c r="AM745" s="119"/>
      <c r="AN745" s="208"/>
      <c r="AO745" s="119"/>
    </row>
    <row r="746" ht="15.75" customHeight="1"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215"/>
      <c r="P746" s="216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  <c r="AA746" s="119"/>
      <c r="AB746" s="119"/>
      <c r="AC746" s="119"/>
      <c r="AD746" s="119"/>
      <c r="AE746" s="119"/>
      <c r="AF746" s="119"/>
      <c r="AM746" s="119"/>
      <c r="AN746" s="208"/>
      <c r="AO746" s="119"/>
    </row>
    <row r="747" ht="15.75" customHeight="1"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215"/>
      <c r="P747" s="216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  <c r="AA747" s="119"/>
      <c r="AB747" s="119"/>
      <c r="AC747" s="119"/>
      <c r="AD747" s="119"/>
      <c r="AE747" s="119"/>
      <c r="AF747" s="119"/>
      <c r="AM747" s="119"/>
      <c r="AN747" s="208"/>
      <c r="AO747" s="119"/>
    </row>
    <row r="748" ht="15.75" customHeight="1"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215"/>
      <c r="P748" s="216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  <c r="AA748" s="119"/>
      <c r="AB748" s="119"/>
      <c r="AC748" s="119"/>
      <c r="AD748" s="119"/>
      <c r="AE748" s="119"/>
      <c r="AF748" s="119"/>
      <c r="AM748" s="119"/>
      <c r="AN748" s="208"/>
      <c r="AO748" s="119"/>
    </row>
    <row r="749" ht="15.75" customHeight="1"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215"/>
      <c r="P749" s="216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  <c r="AA749" s="119"/>
      <c r="AB749" s="119"/>
      <c r="AC749" s="119"/>
      <c r="AD749" s="119"/>
      <c r="AE749" s="119"/>
      <c r="AF749" s="119"/>
      <c r="AM749" s="119"/>
      <c r="AN749" s="208"/>
      <c r="AO749" s="119"/>
    </row>
    <row r="750" ht="15.75" customHeight="1"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215"/>
      <c r="P750" s="216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  <c r="AA750" s="119"/>
      <c r="AB750" s="119"/>
      <c r="AC750" s="119"/>
      <c r="AD750" s="119"/>
      <c r="AE750" s="119"/>
      <c r="AF750" s="119"/>
      <c r="AM750" s="119"/>
      <c r="AN750" s="208"/>
      <c r="AO750" s="119"/>
    </row>
    <row r="751" ht="15.75" customHeight="1"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215"/>
      <c r="P751" s="216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  <c r="AA751" s="119"/>
      <c r="AB751" s="119"/>
      <c r="AC751" s="119"/>
      <c r="AD751" s="119"/>
      <c r="AE751" s="119"/>
      <c r="AF751" s="119"/>
      <c r="AM751" s="119"/>
      <c r="AN751" s="208"/>
      <c r="AO751" s="119"/>
    </row>
    <row r="752" ht="15.75" customHeight="1"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215"/>
      <c r="P752" s="216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  <c r="AA752" s="119"/>
      <c r="AB752" s="119"/>
      <c r="AC752" s="119"/>
      <c r="AD752" s="119"/>
      <c r="AE752" s="119"/>
      <c r="AF752" s="119"/>
      <c r="AM752" s="119"/>
      <c r="AN752" s="208"/>
      <c r="AO752" s="119"/>
    </row>
    <row r="753" ht="15.75" customHeight="1"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215"/>
      <c r="P753" s="216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  <c r="AA753" s="119"/>
      <c r="AB753" s="119"/>
      <c r="AC753" s="119"/>
      <c r="AD753" s="119"/>
      <c r="AE753" s="119"/>
      <c r="AF753" s="119"/>
      <c r="AM753" s="119"/>
      <c r="AN753" s="208"/>
      <c r="AO753" s="119"/>
    </row>
    <row r="754" ht="15.75" customHeight="1"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215"/>
      <c r="P754" s="216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  <c r="AA754" s="119"/>
      <c r="AB754" s="119"/>
      <c r="AC754" s="119"/>
      <c r="AD754" s="119"/>
      <c r="AE754" s="119"/>
      <c r="AF754" s="119"/>
      <c r="AM754" s="119"/>
      <c r="AN754" s="208"/>
      <c r="AO754" s="119"/>
    </row>
    <row r="755" ht="15.75" customHeight="1"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215"/>
      <c r="P755" s="216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  <c r="AA755" s="119"/>
      <c r="AB755" s="119"/>
      <c r="AC755" s="119"/>
      <c r="AD755" s="119"/>
      <c r="AE755" s="119"/>
      <c r="AF755" s="119"/>
      <c r="AM755" s="119"/>
      <c r="AN755" s="208"/>
      <c r="AO755" s="119"/>
    </row>
    <row r="756" ht="15.75" customHeight="1"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215"/>
      <c r="P756" s="216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  <c r="AA756" s="119"/>
      <c r="AB756" s="119"/>
      <c r="AC756" s="119"/>
      <c r="AD756" s="119"/>
      <c r="AE756" s="119"/>
      <c r="AF756" s="119"/>
      <c r="AM756" s="119"/>
      <c r="AN756" s="208"/>
      <c r="AO756" s="119"/>
    </row>
    <row r="757" ht="15.75" customHeight="1"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215"/>
      <c r="P757" s="216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  <c r="AA757" s="119"/>
      <c r="AB757" s="119"/>
      <c r="AC757" s="119"/>
      <c r="AD757" s="119"/>
      <c r="AE757" s="119"/>
      <c r="AF757" s="119"/>
      <c r="AM757" s="119"/>
      <c r="AN757" s="208"/>
      <c r="AO757" s="119"/>
    </row>
    <row r="758" ht="15.75" customHeight="1"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215"/>
      <c r="P758" s="216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  <c r="AA758" s="119"/>
      <c r="AB758" s="119"/>
      <c r="AC758" s="119"/>
      <c r="AD758" s="119"/>
      <c r="AE758" s="119"/>
      <c r="AF758" s="119"/>
      <c r="AM758" s="119"/>
      <c r="AN758" s="208"/>
      <c r="AO758" s="119"/>
    </row>
    <row r="759" ht="15.75" customHeight="1"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215"/>
      <c r="P759" s="216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  <c r="AA759" s="119"/>
      <c r="AB759" s="119"/>
      <c r="AC759" s="119"/>
      <c r="AD759" s="119"/>
      <c r="AE759" s="119"/>
      <c r="AF759" s="119"/>
      <c r="AM759" s="119"/>
      <c r="AN759" s="208"/>
      <c r="AO759" s="119"/>
    </row>
    <row r="760" ht="15.75" customHeight="1"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215"/>
      <c r="P760" s="216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  <c r="AA760" s="119"/>
      <c r="AB760" s="119"/>
      <c r="AC760" s="119"/>
      <c r="AD760" s="119"/>
      <c r="AE760" s="119"/>
      <c r="AF760" s="119"/>
      <c r="AM760" s="119"/>
      <c r="AN760" s="208"/>
      <c r="AO760" s="119"/>
    </row>
    <row r="761" ht="15.75" customHeight="1"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215"/>
      <c r="P761" s="216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  <c r="AA761" s="119"/>
      <c r="AB761" s="119"/>
      <c r="AC761" s="119"/>
      <c r="AD761" s="119"/>
      <c r="AE761" s="119"/>
      <c r="AF761" s="119"/>
      <c r="AM761" s="119"/>
      <c r="AN761" s="208"/>
      <c r="AO761" s="119"/>
    </row>
    <row r="762" ht="15.75" customHeight="1"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215"/>
      <c r="P762" s="216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  <c r="AA762" s="119"/>
      <c r="AB762" s="119"/>
      <c r="AC762" s="119"/>
      <c r="AD762" s="119"/>
      <c r="AE762" s="119"/>
      <c r="AF762" s="119"/>
      <c r="AM762" s="119"/>
      <c r="AN762" s="208"/>
      <c r="AO762" s="119"/>
    </row>
    <row r="763" ht="15.75" customHeight="1"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215"/>
      <c r="P763" s="216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  <c r="AA763" s="119"/>
      <c r="AB763" s="119"/>
      <c r="AC763" s="119"/>
      <c r="AD763" s="119"/>
      <c r="AE763" s="119"/>
      <c r="AF763" s="119"/>
      <c r="AM763" s="119"/>
      <c r="AN763" s="208"/>
      <c r="AO763" s="119"/>
    </row>
    <row r="764" ht="15.75" customHeight="1"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215"/>
      <c r="P764" s="216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  <c r="AA764" s="119"/>
      <c r="AB764" s="119"/>
      <c r="AC764" s="119"/>
      <c r="AD764" s="119"/>
      <c r="AE764" s="119"/>
      <c r="AF764" s="119"/>
      <c r="AM764" s="119"/>
      <c r="AN764" s="208"/>
      <c r="AO764" s="119"/>
    </row>
    <row r="765" ht="15.75" customHeight="1"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215"/>
      <c r="P765" s="216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  <c r="AA765" s="119"/>
      <c r="AB765" s="119"/>
      <c r="AC765" s="119"/>
      <c r="AD765" s="119"/>
      <c r="AE765" s="119"/>
      <c r="AF765" s="119"/>
      <c r="AM765" s="119"/>
      <c r="AN765" s="208"/>
      <c r="AO765" s="119"/>
    </row>
    <row r="766" ht="15.75" customHeight="1"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215"/>
      <c r="P766" s="216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  <c r="AA766" s="119"/>
      <c r="AB766" s="119"/>
      <c r="AC766" s="119"/>
      <c r="AD766" s="119"/>
      <c r="AE766" s="119"/>
      <c r="AF766" s="119"/>
      <c r="AM766" s="119"/>
      <c r="AN766" s="208"/>
      <c r="AO766" s="119"/>
    </row>
    <row r="767" ht="15.75" customHeight="1"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215"/>
      <c r="P767" s="216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  <c r="AA767" s="119"/>
      <c r="AB767" s="119"/>
      <c r="AC767" s="119"/>
      <c r="AD767" s="119"/>
      <c r="AE767" s="119"/>
      <c r="AF767" s="119"/>
      <c r="AM767" s="119"/>
      <c r="AN767" s="208"/>
      <c r="AO767" s="119"/>
    </row>
    <row r="768" ht="15.75" customHeight="1"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215"/>
      <c r="P768" s="216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  <c r="AA768" s="119"/>
      <c r="AB768" s="119"/>
      <c r="AC768" s="119"/>
      <c r="AD768" s="119"/>
      <c r="AE768" s="119"/>
      <c r="AF768" s="119"/>
      <c r="AM768" s="119"/>
      <c r="AN768" s="208"/>
      <c r="AO768" s="119"/>
    </row>
    <row r="769" ht="15.75" customHeight="1"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215"/>
      <c r="P769" s="216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  <c r="AA769" s="119"/>
      <c r="AB769" s="119"/>
      <c r="AC769" s="119"/>
      <c r="AD769" s="119"/>
      <c r="AE769" s="119"/>
      <c r="AF769" s="119"/>
      <c r="AM769" s="119"/>
      <c r="AN769" s="208"/>
      <c r="AO769" s="119"/>
    </row>
    <row r="770" ht="15.75" customHeight="1"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215"/>
      <c r="P770" s="216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  <c r="AA770" s="119"/>
      <c r="AB770" s="119"/>
      <c r="AC770" s="119"/>
      <c r="AD770" s="119"/>
      <c r="AE770" s="119"/>
      <c r="AF770" s="119"/>
      <c r="AM770" s="119"/>
      <c r="AN770" s="208"/>
      <c r="AO770" s="119"/>
    </row>
    <row r="771" ht="15.75" customHeight="1"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215"/>
      <c r="P771" s="216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  <c r="AA771" s="119"/>
      <c r="AB771" s="119"/>
      <c r="AC771" s="119"/>
      <c r="AD771" s="119"/>
      <c r="AE771" s="119"/>
      <c r="AF771" s="119"/>
      <c r="AM771" s="119"/>
      <c r="AN771" s="208"/>
      <c r="AO771" s="119"/>
    </row>
    <row r="772" ht="15.75" customHeight="1"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215"/>
      <c r="P772" s="216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  <c r="AA772" s="119"/>
      <c r="AB772" s="119"/>
      <c r="AC772" s="119"/>
      <c r="AD772" s="119"/>
      <c r="AE772" s="119"/>
      <c r="AF772" s="119"/>
      <c r="AM772" s="119"/>
      <c r="AN772" s="208"/>
      <c r="AO772" s="119"/>
    </row>
    <row r="773" ht="15.75" customHeight="1"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215"/>
      <c r="P773" s="216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  <c r="AA773" s="119"/>
      <c r="AB773" s="119"/>
      <c r="AC773" s="119"/>
      <c r="AD773" s="119"/>
      <c r="AE773" s="119"/>
      <c r="AF773" s="119"/>
      <c r="AM773" s="119"/>
      <c r="AN773" s="208"/>
      <c r="AO773" s="119"/>
    </row>
    <row r="774" ht="15.75" customHeight="1"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215"/>
      <c r="P774" s="216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  <c r="AA774" s="119"/>
      <c r="AB774" s="119"/>
      <c r="AC774" s="119"/>
      <c r="AD774" s="119"/>
      <c r="AE774" s="119"/>
      <c r="AF774" s="119"/>
      <c r="AM774" s="119"/>
      <c r="AN774" s="208"/>
      <c r="AO774" s="119"/>
    </row>
    <row r="775" ht="15.75" customHeight="1"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215"/>
      <c r="P775" s="216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  <c r="AA775" s="119"/>
      <c r="AB775" s="119"/>
      <c r="AC775" s="119"/>
      <c r="AD775" s="119"/>
      <c r="AE775" s="119"/>
      <c r="AF775" s="119"/>
      <c r="AM775" s="119"/>
      <c r="AN775" s="208"/>
      <c r="AO775" s="119"/>
    </row>
    <row r="776" ht="15.75" customHeight="1"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215"/>
      <c r="P776" s="216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  <c r="AA776" s="119"/>
      <c r="AB776" s="119"/>
      <c r="AC776" s="119"/>
      <c r="AD776" s="119"/>
      <c r="AE776" s="119"/>
      <c r="AF776" s="119"/>
      <c r="AM776" s="119"/>
      <c r="AN776" s="208"/>
      <c r="AO776" s="119"/>
    </row>
    <row r="777" ht="15.75" customHeight="1"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215"/>
      <c r="P777" s="216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  <c r="AA777" s="119"/>
      <c r="AB777" s="119"/>
      <c r="AC777" s="119"/>
      <c r="AD777" s="119"/>
      <c r="AE777" s="119"/>
      <c r="AF777" s="119"/>
      <c r="AM777" s="119"/>
      <c r="AN777" s="208"/>
      <c r="AO777" s="119"/>
    </row>
    <row r="778" ht="15.75" customHeight="1"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215"/>
      <c r="P778" s="216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  <c r="AA778" s="119"/>
      <c r="AB778" s="119"/>
      <c r="AC778" s="119"/>
      <c r="AD778" s="119"/>
      <c r="AE778" s="119"/>
      <c r="AF778" s="119"/>
      <c r="AM778" s="119"/>
      <c r="AN778" s="208"/>
      <c r="AO778" s="119"/>
    </row>
    <row r="779" ht="15.75" customHeight="1"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215"/>
      <c r="P779" s="216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  <c r="AA779" s="119"/>
      <c r="AB779" s="119"/>
      <c r="AC779" s="119"/>
      <c r="AD779" s="119"/>
      <c r="AE779" s="119"/>
      <c r="AF779" s="119"/>
      <c r="AM779" s="119"/>
      <c r="AN779" s="208"/>
      <c r="AO779" s="119"/>
    </row>
    <row r="780" ht="15.75" customHeight="1"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215"/>
      <c r="P780" s="216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  <c r="AA780" s="119"/>
      <c r="AB780" s="119"/>
      <c r="AC780" s="119"/>
      <c r="AD780" s="119"/>
      <c r="AE780" s="119"/>
      <c r="AF780" s="119"/>
      <c r="AM780" s="119"/>
      <c r="AN780" s="208"/>
      <c r="AO780" s="119"/>
    </row>
    <row r="781" ht="15.75" customHeight="1"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215"/>
      <c r="P781" s="216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  <c r="AA781" s="119"/>
      <c r="AB781" s="119"/>
      <c r="AC781" s="119"/>
      <c r="AD781" s="119"/>
      <c r="AE781" s="119"/>
      <c r="AF781" s="119"/>
      <c r="AM781" s="119"/>
      <c r="AN781" s="208"/>
      <c r="AO781" s="119"/>
    </row>
    <row r="782" ht="15.75" customHeight="1"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215"/>
      <c r="P782" s="216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  <c r="AA782" s="119"/>
      <c r="AB782" s="119"/>
      <c r="AC782" s="119"/>
      <c r="AD782" s="119"/>
      <c r="AE782" s="119"/>
      <c r="AF782" s="119"/>
      <c r="AM782" s="119"/>
      <c r="AN782" s="208"/>
      <c r="AO782" s="119"/>
    </row>
    <row r="783" ht="15.75" customHeight="1"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215"/>
      <c r="P783" s="216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  <c r="AA783" s="119"/>
      <c r="AB783" s="119"/>
      <c r="AC783" s="119"/>
      <c r="AD783" s="119"/>
      <c r="AE783" s="119"/>
      <c r="AF783" s="119"/>
      <c r="AM783" s="119"/>
      <c r="AN783" s="208"/>
      <c r="AO783" s="119"/>
    </row>
    <row r="784" ht="15.75" customHeight="1"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215"/>
      <c r="P784" s="216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  <c r="AA784" s="119"/>
      <c r="AB784" s="119"/>
      <c r="AC784" s="119"/>
      <c r="AD784" s="119"/>
      <c r="AE784" s="119"/>
      <c r="AF784" s="119"/>
      <c r="AM784" s="119"/>
      <c r="AN784" s="208"/>
      <c r="AO784" s="119"/>
    </row>
    <row r="785" ht="15.75" customHeight="1"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215"/>
      <c r="P785" s="216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  <c r="AA785" s="119"/>
      <c r="AB785" s="119"/>
      <c r="AC785" s="119"/>
      <c r="AD785" s="119"/>
      <c r="AE785" s="119"/>
      <c r="AF785" s="119"/>
      <c r="AM785" s="119"/>
      <c r="AN785" s="208"/>
      <c r="AO785" s="119"/>
    </row>
    <row r="786" ht="15.75" customHeight="1"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215"/>
      <c r="P786" s="216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  <c r="AA786" s="119"/>
      <c r="AB786" s="119"/>
      <c r="AC786" s="119"/>
      <c r="AD786" s="119"/>
      <c r="AE786" s="119"/>
      <c r="AF786" s="119"/>
      <c r="AM786" s="119"/>
      <c r="AN786" s="208"/>
      <c r="AO786" s="119"/>
    </row>
    <row r="787" ht="15.75" customHeight="1"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215"/>
      <c r="P787" s="216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  <c r="AA787" s="119"/>
      <c r="AB787" s="119"/>
      <c r="AC787" s="119"/>
      <c r="AD787" s="119"/>
      <c r="AE787" s="119"/>
      <c r="AF787" s="119"/>
      <c r="AM787" s="119"/>
      <c r="AN787" s="208"/>
      <c r="AO787" s="119"/>
    </row>
    <row r="788" ht="15.75" customHeight="1"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215"/>
      <c r="P788" s="216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  <c r="AA788" s="119"/>
      <c r="AB788" s="119"/>
      <c r="AC788" s="119"/>
      <c r="AD788" s="119"/>
      <c r="AE788" s="119"/>
      <c r="AF788" s="119"/>
      <c r="AM788" s="119"/>
      <c r="AN788" s="208"/>
      <c r="AO788" s="119"/>
    </row>
    <row r="789" ht="15.75" customHeight="1"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215"/>
      <c r="P789" s="216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  <c r="AA789" s="119"/>
      <c r="AB789" s="119"/>
      <c r="AC789" s="119"/>
      <c r="AD789" s="119"/>
      <c r="AE789" s="119"/>
      <c r="AF789" s="119"/>
      <c r="AM789" s="119"/>
      <c r="AN789" s="208"/>
      <c r="AO789" s="119"/>
    </row>
    <row r="790" ht="15.75" customHeight="1"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215"/>
      <c r="P790" s="216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  <c r="AA790" s="119"/>
      <c r="AB790" s="119"/>
      <c r="AC790" s="119"/>
      <c r="AD790" s="119"/>
      <c r="AE790" s="119"/>
      <c r="AF790" s="119"/>
      <c r="AM790" s="119"/>
      <c r="AN790" s="208"/>
      <c r="AO790" s="119"/>
    </row>
    <row r="791" ht="15.75" customHeight="1"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215"/>
      <c r="P791" s="216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  <c r="AA791" s="119"/>
      <c r="AB791" s="119"/>
      <c r="AC791" s="119"/>
      <c r="AD791" s="119"/>
      <c r="AE791" s="119"/>
      <c r="AF791" s="119"/>
      <c r="AM791" s="119"/>
      <c r="AN791" s="208"/>
      <c r="AO791" s="119"/>
    </row>
    <row r="792" ht="15.75" customHeight="1"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215"/>
      <c r="P792" s="216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  <c r="AA792" s="119"/>
      <c r="AB792" s="119"/>
      <c r="AC792" s="119"/>
      <c r="AD792" s="119"/>
      <c r="AE792" s="119"/>
      <c r="AF792" s="119"/>
      <c r="AM792" s="119"/>
      <c r="AN792" s="208"/>
      <c r="AO792" s="119"/>
    </row>
    <row r="793" ht="15.75" customHeight="1"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215"/>
      <c r="P793" s="216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  <c r="AA793" s="119"/>
      <c r="AB793" s="119"/>
      <c r="AC793" s="119"/>
      <c r="AD793" s="119"/>
      <c r="AE793" s="119"/>
      <c r="AF793" s="119"/>
      <c r="AM793" s="119"/>
      <c r="AN793" s="208"/>
      <c r="AO793" s="119"/>
    </row>
    <row r="794" ht="15.75" customHeight="1"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215"/>
      <c r="P794" s="216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  <c r="AA794" s="119"/>
      <c r="AB794" s="119"/>
      <c r="AC794" s="119"/>
      <c r="AD794" s="119"/>
      <c r="AE794" s="119"/>
      <c r="AF794" s="119"/>
      <c r="AM794" s="119"/>
      <c r="AN794" s="208"/>
      <c r="AO794" s="119"/>
    </row>
    <row r="795" ht="15.75" customHeight="1"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215"/>
      <c r="P795" s="216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  <c r="AA795" s="119"/>
      <c r="AB795" s="119"/>
      <c r="AC795" s="119"/>
      <c r="AD795" s="119"/>
      <c r="AE795" s="119"/>
      <c r="AF795" s="119"/>
      <c r="AM795" s="119"/>
      <c r="AN795" s="208"/>
      <c r="AO795" s="119"/>
    </row>
    <row r="796" ht="15.75" customHeight="1"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215"/>
      <c r="P796" s="216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  <c r="AA796" s="119"/>
      <c r="AB796" s="119"/>
      <c r="AC796" s="119"/>
      <c r="AD796" s="119"/>
      <c r="AE796" s="119"/>
      <c r="AF796" s="119"/>
      <c r="AM796" s="119"/>
      <c r="AN796" s="208"/>
      <c r="AO796" s="119"/>
    </row>
    <row r="797" ht="15.75" customHeight="1"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215"/>
      <c r="P797" s="216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  <c r="AA797" s="119"/>
      <c r="AB797" s="119"/>
      <c r="AC797" s="119"/>
      <c r="AD797" s="119"/>
      <c r="AE797" s="119"/>
      <c r="AF797" s="119"/>
      <c r="AM797" s="119"/>
      <c r="AN797" s="208"/>
      <c r="AO797" s="119"/>
    </row>
    <row r="798" ht="15.75" customHeight="1"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215"/>
      <c r="P798" s="216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  <c r="AA798" s="119"/>
      <c r="AB798" s="119"/>
      <c r="AC798" s="119"/>
      <c r="AD798" s="119"/>
      <c r="AE798" s="119"/>
      <c r="AF798" s="119"/>
      <c r="AM798" s="119"/>
      <c r="AN798" s="208"/>
      <c r="AO798" s="119"/>
    </row>
    <row r="799" ht="15.75" customHeight="1"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215"/>
      <c r="P799" s="216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  <c r="AA799" s="119"/>
      <c r="AB799" s="119"/>
      <c r="AC799" s="119"/>
      <c r="AD799" s="119"/>
      <c r="AE799" s="119"/>
      <c r="AF799" s="119"/>
      <c r="AM799" s="119"/>
      <c r="AN799" s="208"/>
      <c r="AO799" s="119"/>
    </row>
    <row r="800" ht="15.75" customHeight="1"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215"/>
      <c r="P800" s="216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  <c r="AA800" s="119"/>
      <c r="AB800" s="119"/>
      <c r="AC800" s="119"/>
      <c r="AD800" s="119"/>
      <c r="AE800" s="119"/>
      <c r="AF800" s="119"/>
      <c r="AM800" s="119"/>
      <c r="AN800" s="208"/>
      <c r="AO800" s="119"/>
    </row>
    <row r="801" ht="15.75" customHeight="1"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215"/>
      <c r="P801" s="216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  <c r="AA801" s="119"/>
      <c r="AB801" s="119"/>
      <c r="AC801" s="119"/>
      <c r="AD801" s="119"/>
      <c r="AE801" s="119"/>
      <c r="AF801" s="119"/>
      <c r="AM801" s="119"/>
      <c r="AN801" s="208"/>
      <c r="AO801" s="119"/>
    </row>
    <row r="802" ht="15.75" customHeight="1"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215"/>
      <c r="P802" s="216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  <c r="AA802" s="119"/>
      <c r="AB802" s="119"/>
      <c r="AC802" s="119"/>
      <c r="AD802" s="119"/>
      <c r="AE802" s="119"/>
      <c r="AF802" s="119"/>
      <c r="AM802" s="119"/>
      <c r="AN802" s="208"/>
      <c r="AO802" s="119"/>
    </row>
    <row r="803" ht="15.75" customHeight="1"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215"/>
      <c r="P803" s="216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  <c r="AA803" s="119"/>
      <c r="AB803" s="119"/>
      <c r="AC803" s="119"/>
      <c r="AD803" s="119"/>
      <c r="AE803" s="119"/>
      <c r="AF803" s="119"/>
      <c r="AM803" s="119"/>
      <c r="AN803" s="208"/>
      <c r="AO803" s="119"/>
    </row>
    <row r="804" ht="15.75" customHeight="1"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215"/>
      <c r="P804" s="216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  <c r="AA804" s="119"/>
      <c r="AB804" s="119"/>
      <c r="AC804" s="119"/>
      <c r="AD804" s="119"/>
      <c r="AE804" s="119"/>
      <c r="AF804" s="119"/>
      <c r="AM804" s="119"/>
      <c r="AN804" s="208"/>
      <c r="AO804" s="119"/>
    </row>
    <row r="805" ht="15.75" customHeight="1"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215"/>
      <c r="P805" s="216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  <c r="AA805" s="119"/>
      <c r="AB805" s="119"/>
      <c r="AC805" s="119"/>
      <c r="AD805" s="119"/>
      <c r="AE805" s="119"/>
      <c r="AF805" s="119"/>
      <c r="AM805" s="119"/>
      <c r="AN805" s="208"/>
      <c r="AO805" s="119"/>
    </row>
    <row r="806" ht="15.75" customHeight="1"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215"/>
      <c r="P806" s="216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  <c r="AA806" s="119"/>
      <c r="AB806" s="119"/>
      <c r="AC806" s="119"/>
      <c r="AD806" s="119"/>
      <c r="AE806" s="119"/>
      <c r="AF806" s="119"/>
      <c r="AM806" s="119"/>
      <c r="AN806" s="208"/>
      <c r="AO806" s="119"/>
    </row>
    <row r="807" ht="15.75" customHeight="1"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215"/>
      <c r="P807" s="216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  <c r="AA807" s="119"/>
      <c r="AB807" s="119"/>
      <c r="AC807" s="119"/>
      <c r="AD807" s="119"/>
      <c r="AE807" s="119"/>
      <c r="AF807" s="119"/>
      <c r="AM807" s="119"/>
      <c r="AN807" s="208"/>
      <c r="AO807" s="119"/>
    </row>
    <row r="808" ht="15.75" customHeight="1"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215"/>
      <c r="P808" s="216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  <c r="AA808" s="119"/>
      <c r="AB808" s="119"/>
      <c r="AC808" s="119"/>
      <c r="AD808" s="119"/>
      <c r="AE808" s="119"/>
      <c r="AF808" s="119"/>
      <c r="AM808" s="119"/>
      <c r="AN808" s="208"/>
      <c r="AO808" s="119"/>
    </row>
    <row r="809" ht="15.75" customHeight="1"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215"/>
      <c r="P809" s="216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  <c r="AA809" s="119"/>
      <c r="AB809" s="119"/>
      <c r="AC809" s="119"/>
      <c r="AD809" s="119"/>
      <c r="AE809" s="119"/>
      <c r="AF809" s="119"/>
      <c r="AM809" s="119"/>
      <c r="AN809" s="208"/>
      <c r="AO809" s="119"/>
    </row>
    <row r="810" ht="15.75" customHeight="1"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215"/>
      <c r="P810" s="216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  <c r="AA810" s="119"/>
      <c r="AB810" s="119"/>
      <c r="AC810" s="119"/>
      <c r="AD810" s="119"/>
      <c r="AE810" s="119"/>
      <c r="AF810" s="119"/>
      <c r="AM810" s="119"/>
      <c r="AN810" s="208"/>
      <c r="AO810" s="119"/>
    </row>
    <row r="811" ht="15.75" customHeight="1"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215"/>
      <c r="P811" s="216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  <c r="AA811" s="119"/>
      <c r="AB811" s="119"/>
      <c r="AC811" s="119"/>
      <c r="AD811" s="119"/>
      <c r="AE811" s="119"/>
      <c r="AF811" s="119"/>
      <c r="AM811" s="119"/>
      <c r="AN811" s="208"/>
      <c r="AO811" s="119"/>
    </row>
    <row r="812" ht="15.75" customHeight="1"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215"/>
      <c r="P812" s="216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  <c r="AA812" s="119"/>
      <c r="AB812" s="119"/>
      <c r="AC812" s="119"/>
      <c r="AD812" s="119"/>
      <c r="AE812" s="119"/>
      <c r="AF812" s="119"/>
      <c r="AM812" s="119"/>
      <c r="AN812" s="208"/>
      <c r="AO812" s="119"/>
    </row>
    <row r="813" ht="15.75" customHeight="1"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215"/>
      <c r="P813" s="216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  <c r="AA813" s="119"/>
      <c r="AB813" s="119"/>
      <c r="AC813" s="119"/>
      <c r="AD813" s="119"/>
      <c r="AE813" s="119"/>
      <c r="AF813" s="119"/>
      <c r="AM813" s="119"/>
      <c r="AN813" s="208"/>
      <c r="AO813" s="119"/>
    </row>
    <row r="814" ht="15.75" customHeight="1"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215"/>
      <c r="P814" s="216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  <c r="AA814" s="119"/>
      <c r="AB814" s="119"/>
      <c r="AC814" s="119"/>
      <c r="AD814" s="119"/>
      <c r="AE814" s="119"/>
      <c r="AF814" s="119"/>
      <c r="AM814" s="119"/>
      <c r="AN814" s="208"/>
      <c r="AO814" s="119"/>
    </row>
    <row r="815" ht="15.75" customHeight="1"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215"/>
      <c r="P815" s="216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  <c r="AA815" s="119"/>
      <c r="AB815" s="119"/>
      <c r="AC815" s="119"/>
      <c r="AD815" s="119"/>
      <c r="AE815" s="119"/>
      <c r="AF815" s="119"/>
      <c r="AM815" s="119"/>
      <c r="AN815" s="208"/>
      <c r="AO815" s="119"/>
    </row>
    <row r="816" ht="15.75" customHeight="1"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215"/>
      <c r="P816" s="216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  <c r="AA816" s="119"/>
      <c r="AB816" s="119"/>
      <c r="AC816" s="119"/>
      <c r="AD816" s="119"/>
      <c r="AE816" s="119"/>
      <c r="AF816" s="119"/>
      <c r="AM816" s="119"/>
      <c r="AN816" s="208"/>
      <c r="AO816" s="119"/>
    </row>
    <row r="817" ht="15.75" customHeight="1"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215"/>
      <c r="P817" s="216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  <c r="AA817" s="119"/>
      <c r="AB817" s="119"/>
      <c r="AC817" s="119"/>
      <c r="AD817" s="119"/>
      <c r="AE817" s="119"/>
      <c r="AF817" s="119"/>
      <c r="AM817" s="119"/>
      <c r="AN817" s="208"/>
      <c r="AO817" s="119"/>
    </row>
    <row r="818" ht="15.75" customHeight="1"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215"/>
      <c r="P818" s="216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  <c r="AA818" s="119"/>
      <c r="AB818" s="119"/>
      <c r="AC818" s="119"/>
      <c r="AD818" s="119"/>
      <c r="AE818" s="119"/>
      <c r="AF818" s="119"/>
      <c r="AM818" s="119"/>
      <c r="AN818" s="208"/>
      <c r="AO818" s="119"/>
    </row>
    <row r="819" ht="15.75" customHeight="1"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215"/>
      <c r="P819" s="216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  <c r="AA819" s="119"/>
      <c r="AB819" s="119"/>
      <c r="AC819" s="119"/>
      <c r="AD819" s="119"/>
      <c r="AE819" s="119"/>
      <c r="AF819" s="119"/>
      <c r="AM819" s="119"/>
      <c r="AN819" s="208"/>
      <c r="AO819" s="119"/>
    </row>
    <row r="820" ht="15.75" customHeight="1"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215"/>
      <c r="P820" s="216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  <c r="AA820" s="119"/>
      <c r="AB820" s="119"/>
      <c r="AC820" s="119"/>
      <c r="AD820" s="119"/>
      <c r="AE820" s="119"/>
      <c r="AF820" s="119"/>
      <c r="AM820" s="119"/>
      <c r="AN820" s="208"/>
      <c r="AO820" s="119"/>
    </row>
    <row r="821" ht="15.75" customHeight="1"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215"/>
      <c r="P821" s="216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  <c r="AA821" s="119"/>
      <c r="AB821" s="119"/>
      <c r="AC821" s="119"/>
      <c r="AD821" s="119"/>
      <c r="AE821" s="119"/>
      <c r="AF821" s="119"/>
      <c r="AM821" s="119"/>
      <c r="AN821" s="208"/>
      <c r="AO821" s="119"/>
    </row>
    <row r="822" ht="15.75" customHeight="1"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215"/>
      <c r="P822" s="216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  <c r="AA822" s="119"/>
      <c r="AB822" s="119"/>
      <c r="AC822" s="119"/>
      <c r="AD822" s="119"/>
      <c r="AE822" s="119"/>
      <c r="AF822" s="119"/>
      <c r="AM822" s="119"/>
      <c r="AN822" s="208"/>
      <c r="AO822" s="119"/>
    </row>
    <row r="823" ht="15.75" customHeight="1"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215"/>
      <c r="P823" s="216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  <c r="AA823" s="119"/>
      <c r="AB823" s="119"/>
      <c r="AC823" s="119"/>
      <c r="AD823" s="119"/>
      <c r="AE823" s="119"/>
      <c r="AF823" s="119"/>
      <c r="AM823" s="119"/>
      <c r="AN823" s="208"/>
      <c r="AO823" s="119"/>
    </row>
    <row r="824" ht="15.75" customHeight="1"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215"/>
      <c r="P824" s="216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  <c r="AA824" s="119"/>
      <c r="AB824" s="119"/>
      <c r="AC824" s="119"/>
      <c r="AD824" s="119"/>
      <c r="AE824" s="119"/>
      <c r="AF824" s="119"/>
      <c r="AM824" s="119"/>
      <c r="AN824" s="208"/>
      <c r="AO824" s="119"/>
    </row>
    <row r="825" ht="15.75" customHeight="1"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215"/>
      <c r="P825" s="216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  <c r="AA825" s="119"/>
      <c r="AB825" s="119"/>
      <c r="AC825" s="119"/>
      <c r="AD825" s="119"/>
      <c r="AE825" s="119"/>
      <c r="AF825" s="119"/>
      <c r="AM825" s="119"/>
      <c r="AN825" s="208"/>
      <c r="AO825" s="119"/>
    </row>
    <row r="826" ht="15.75" customHeight="1"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215"/>
      <c r="P826" s="216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  <c r="AA826" s="119"/>
      <c r="AB826" s="119"/>
      <c r="AC826" s="119"/>
      <c r="AD826" s="119"/>
      <c r="AE826" s="119"/>
      <c r="AF826" s="119"/>
      <c r="AM826" s="119"/>
      <c r="AN826" s="208"/>
      <c r="AO826" s="119"/>
    </row>
    <row r="827" ht="15.75" customHeight="1"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215"/>
      <c r="P827" s="216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  <c r="AA827" s="119"/>
      <c r="AB827" s="119"/>
      <c r="AC827" s="119"/>
      <c r="AD827" s="119"/>
      <c r="AE827" s="119"/>
      <c r="AF827" s="119"/>
      <c r="AM827" s="119"/>
      <c r="AN827" s="208"/>
      <c r="AO827" s="119"/>
    </row>
    <row r="828" ht="15.75" customHeight="1"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215"/>
      <c r="P828" s="216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  <c r="AA828" s="119"/>
      <c r="AB828" s="119"/>
      <c r="AC828" s="119"/>
      <c r="AD828" s="119"/>
      <c r="AE828" s="119"/>
      <c r="AF828" s="119"/>
      <c r="AM828" s="119"/>
      <c r="AN828" s="208"/>
      <c r="AO828" s="119"/>
    </row>
    <row r="829" ht="15.75" customHeight="1"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215"/>
      <c r="P829" s="216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  <c r="AA829" s="119"/>
      <c r="AB829" s="119"/>
      <c r="AC829" s="119"/>
      <c r="AD829" s="119"/>
      <c r="AE829" s="119"/>
      <c r="AF829" s="119"/>
      <c r="AM829" s="119"/>
      <c r="AN829" s="208"/>
      <c r="AO829" s="119"/>
    </row>
    <row r="830" ht="15.75" customHeight="1"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215"/>
      <c r="P830" s="216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  <c r="AA830" s="119"/>
      <c r="AB830" s="119"/>
      <c r="AC830" s="119"/>
      <c r="AD830" s="119"/>
      <c r="AE830" s="119"/>
      <c r="AF830" s="119"/>
      <c r="AM830" s="119"/>
      <c r="AN830" s="208"/>
      <c r="AO830" s="119"/>
    </row>
    <row r="831" ht="15.75" customHeight="1"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215"/>
      <c r="P831" s="216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  <c r="AA831" s="119"/>
      <c r="AB831" s="119"/>
      <c r="AC831" s="119"/>
      <c r="AD831" s="119"/>
      <c r="AE831" s="119"/>
      <c r="AF831" s="119"/>
      <c r="AM831" s="119"/>
      <c r="AN831" s="208"/>
      <c r="AO831" s="119"/>
    </row>
    <row r="832" ht="15.75" customHeight="1"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215"/>
      <c r="P832" s="216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  <c r="AA832" s="119"/>
      <c r="AB832" s="119"/>
      <c r="AC832" s="119"/>
      <c r="AD832" s="119"/>
      <c r="AE832" s="119"/>
      <c r="AF832" s="119"/>
      <c r="AM832" s="119"/>
      <c r="AN832" s="208"/>
      <c r="AO832" s="119"/>
    </row>
    <row r="833" ht="15.75" customHeight="1"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215"/>
      <c r="P833" s="216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  <c r="AA833" s="119"/>
      <c r="AB833" s="119"/>
      <c r="AC833" s="119"/>
      <c r="AD833" s="119"/>
      <c r="AE833" s="119"/>
      <c r="AF833" s="119"/>
      <c r="AM833" s="119"/>
      <c r="AN833" s="208"/>
      <c r="AO833" s="119"/>
    </row>
    <row r="834" ht="15.75" customHeight="1"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215"/>
      <c r="P834" s="216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  <c r="AA834" s="119"/>
      <c r="AB834" s="119"/>
      <c r="AC834" s="119"/>
      <c r="AD834" s="119"/>
      <c r="AE834" s="119"/>
      <c r="AF834" s="119"/>
      <c r="AM834" s="119"/>
      <c r="AN834" s="208"/>
      <c r="AO834" s="119"/>
    </row>
    <row r="835" ht="15.75" customHeight="1"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215"/>
      <c r="P835" s="216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  <c r="AA835" s="119"/>
      <c r="AB835" s="119"/>
      <c r="AC835" s="119"/>
      <c r="AD835" s="119"/>
      <c r="AE835" s="119"/>
      <c r="AF835" s="119"/>
      <c r="AM835" s="119"/>
      <c r="AN835" s="208"/>
      <c r="AO835" s="119"/>
    </row>
    <row r="836" ht="15.75" customHeight="1"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215"/>
      <c r="P836" s="216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  <c r="AA836" s="119"/>
      <c r="AB836" s="119"/>
      <c r="AC836" s="119"/>
      <c r="AD836" s="119"/>
      <c r="AE836" s="119"/>
      <c r="AF836" s="119"/>
      <c r="AM836" s="119"/>
      <c r="AN836" s="208"/>
      <c r="AO836" s="119"/>
    </row>
    <row r="837" ht="15.75" customHeight="1"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215"/>
      <c r="P837" s="216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  <c r="AA837" s="119"/>
      <c r="AB837" s="119"/>
      <c r="AC837" s="119"/>
      <c r="AD837" s="119"/>
      <c r="AE837" s="119"/>
      <c r="AF837" s="119"/>
      <c r="AM837" s="119"/>
      <c r="AN837" s="208"/>
      <c r="AO837" s="119"/>
    </row>
    <row r="838" ht="15.75" customHeight="1"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215"/>
      <c r="P838" s="216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  <c r="AA838" s="119"/>
      <c r="AB838" s="119"/>
      <c r="AC838" s="119"/>
      <c r="AD838" s="119"/>
      <c r="AE838" s="119"/>
      <c r="AF838" s="119"/>
      <c r="AM838" s="119"/>
      <c r="AN838" s="208"/>
      <c r="AO838" s="119"/>
    </row>
    <row r="839" ht="15.75" customHeight="1"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215"/>
      <c r="P839" s="216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  <c r="AA839" s="119"/>
      <c r="AB839" s="119"/>
      <c r="AC839" s="119"/>
      <c r="AD839" s="119"/>
      <c r="AE839" s="119"/>
      <c r="AF839" s="119"/>
      <c r="AM839" s="119"/>
      <c r="AN839" s="208"/>
      <c r="AO839" s="119"/>
    </row>
    <row r="840" ht="15.75" customHeight="1"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215"/>
      <c r="P840" s="216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  <c r="AA840" s="119"/>
      <c r="AB840" s="119"/>
      <c r="AC840" s="119"/>
      <c r="AD840" s="119"/>
      <c r="AE840" s="119"/>
      <c r="AF840" s="119"/>
      <c r="AM840" s="119"/>
      <c r="AN840" s="208"/>
      <c r="AO840" s="119"/>
    </row>
    <row r="841" ht="15.75" customHeight="1"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215"/>
      <c r="P841" s="216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  <c r="AA841" s="119"/>
      <c r="AB841" s="119"/>
      <c r="AC841" s="119"/>
      <c r="AD841" s="119"/>
      <c r="AE841" s="119"/>
      <c r="AF841" s="119"/>
      <c r="AM841" s="119"/>
      <c r="AN841" s="208"/>
      <c r="AO841" s="119"/>
    </row>
    <row r="842" ht="15.75" customHeight="1"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215"/>
      <c r="P842" s="216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  <c r="AA842" s="119"/>
      <c r="AB842" s="119"/>
      <c r="AC842" s="119"/>
      <c r="AD842" s="119"/>
      <c r="AE842" s="119"/>
      <c r="AF842" s="119"/>
      <c r="AM842" s="119"/>
      <c r="AN842" s="208"/>
      <c r="AO842" s="119"/>
    </row>
    <row r="843" ht="15.75" customHeight="1"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215"/>
      <c r="P843" s="216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  <c r="AA843" s="119"/>
      <c r="AB843" s="119"/>
      <c r="AC843" s="119"/>
      <c r="AD843" s="119"/>
      <c r="AE843" s="119"/>
      <c r="AF843" s="119"/>
      <c r="AM843" s="119"/>
      <c r="AN843" s="208"/>
      <c r="AO843" s="119"/>
    </row>
    <row r="844" ht="15.75" customHeight="1"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215"/>
      <c r="P844" s="216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  <c r="AA844" s="119"/>
      <c r="AB844" s="119"/>
      <c r="AC844" s="119"/>
      <c r="AD844" s="119"/>
      <c r="AE844" s="119"/>
      <c r="AF844" s="119"/>
      <c r="AM844" s="119"/>
      <c r="AN844" s="208"/>
      <c r="AO844" s="119"/>
    </row>
    <row r="845" ht="15.75" customHeight="1"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215"/>
      <c r="P845" s="216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  <c r="AA845" s="119"/>
      <c r="AB845" s="119"/>
      <c r="AC845" s="119"/>
      <c r="AD845" s="119"/>
      <c r="AE845" s="119"/>
      <c r="AF845" s="119"/>
      <c r="AM845" s="119"/>
      <c r="AN845" s="208"/>
      <c r="AO845" s="119"/>
    </row>
    <row r="846" ht="15.75" customHeight="1"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215"/>
      <c r="P846" s="216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  <c r="AA846" s="119"/>
      <c r="AB846" s="119"/>
      <c r="AC846" s="119"/>
      <c r="AD846" s="119"/>
      <c r="AE846" s="119"/>
      <c r="AF846" s="119"/>
      <c r="AM846" s="119"/>
      <c r="AN846" s="208"/>
      <c r="AO846" s="119"/>
    </row>
    <row r="847" ht="15.75" customHeight="1"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215"/>
      <c r="P847" s="216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  <c r="AA847" s="119"/>
      <c r="AB847" s="119"/>
      <c r="AC847" s="119"/>
      <c r="AD847" s="119"/>
      <c r="AE847" s="119"/>
      <c r="AF847" s="119"/>
      <c r="AM847" s="119"/>
      <c r="AN847" s="208"/>
      <c r="AO847" s="119"/>
    </row>
    <row r="848" ht="15.75" customHeight="1"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215"/>
      <c r="P848" s="216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  <c r="AA848" s="119"/>
      <c r="AB848" s="119"/>
      <c r="AC848" s="119"/>
      <c r="AD848" s="119"/>
      <c r="AE848" s="119"/>
      <c r="AF848" s="119"/>
      <c r="AM848" s="119"/>
      <c r="AN848" s="208"/>
      <c r="AO848" s="119"/>
    </row>
    <row r="849" ht="15.75" customHeight="1"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215"/>
      <c r="P849" s="216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  <c r="AA849" s="119"/>
      <c r="AB849" s="119"/>
      <c r="AC849" s="119"/>
      <c r="AD849" s="119"/>
      <c r="AE849" s="119"/>
      <c r="AF849" s="119"/>
      <c r="AM849" s="119"/>
      <c r="AN849" s="208"/>
      <c r="AO849" s="119"/>
    </row>
    <row r="850" ht="15.75" customHeight="1"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215"/>
      <c r="P850" s="216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  <c r="AA850" s="119"/>
      <c r="AB850" s="119"/>
      <c r="AC850" s="119"/>
      <c r="AD850" s="119"/>
      <c r="AE850" s="119"/>
      <c r="AF850" s="119"/>
      <c r="AM850" s="119"/>
      <c r="AN850" s="208"/>
      <c r="AO850" s="119"/>
    </row>
    <row r="851" ht="15.75" customHeight="1"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215"/>
      <c r="P851" s="216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  <c r="AA851" s="119"/>
      <c r="AB851" s="119"/>
      <c r="AC851" s="119"/>
      <c r="AD851" s="119"/>
      <c r="AE851" s="119"/>
      <c r="AF851" s="119"/>
      <c r="AM851" s="119"/>
      <c r="AN851" s="208"/>
      <c r="AO851" s="119"/>
    </row>
    <row r="852" ht="15.75" customHeight="1"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215"/>
      <c r="P852" s="216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  <c r="AA852" s="119"/>
      <c r="AB852" s="119"/>
      <c r="AC852" s="119"/>
      <c r="AD852" s="119"/>
      <c r="AE852" s="119"/>
      <c r="AF852" s="119"/>
      <c r="AM852" s="119"/>
      <c r="AN852" s="208"/>
      <c r="AO852" s="119"/>
    </row>
    <row r="853" ht="15.75" customHeight="1"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215"/>
      <c r="P853" s="216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  <c r="AA853" s="119"/>
      <c r="AB853" s="119"/>
      <c r="AC853" s="119"/>
      <c r="AD853" s="119"/>
      <c r="AE853" s="119"/>
      <c r="AF853" s="119"/>
      <c r="AM853" s="119"/>
      <c r="AN853" s="208"/>
      <c r="AO853" s="119"/>
    </row>
    <row r="854" ht="15.75" customHeight="1"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215"/>
      <c r="P854" s="216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  <c r="AA854" s="119"/>
      <c r="AB854" s="119"/>
      <c r="AC854" s="119"/>
      <c r="AD854" s="119"/>
      <c r="AE854" s="119"/>
      <c r="AF854" s="119"/>
      <c r="AM854" s="119"/>
      <c r="AN854" s="208"/>
      <c r="AO854" s="119"/>
    </row>
    <row r="855" ht="15.75" customHeight="1"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215"/>
      <c r="P855" s="216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  <c r="AA855" s="119"/>
      <c r="AB855" s="119"/>
      <c r="AC855" s="119"/>
      <c r="AD855" s="119"/>
      <c r="AE855" s="119"/>
      <c r="AF855" s="119"/>
      <c r="AM855" s="119"/>
      <c r="AN855" s="208"/>
      <c r="AO855" s="119"/>
    </row>
    <row r="856" ht="15.75" customHeight="1"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215"/>
      <c r="P856" s="216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  <c r="AA856" s="119"/>
      <c r="AB856" s="119"/>
      <c r="AC856" s="119"/>
      <c r="AD856" s="119"/>
      <c r="AE856" s="119"/>
      <c r="AF856" s="119"/>
      <c r="AM856" s="119"/>
      <c r="AN856" s="208"/>
      <c r="AO856" s="119"/>
    </row>
    <row r="857" ht="15.75" customHeight="1"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215"/>
      <c r="P857" s="216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  <c r="AA857" s="119"/>
      <c r="AB857" s="119"/>
      <c r="AC857" s="119"/>
      <c r="AD857" s="119"/>
      <c r="AE857" s="119"/>
      <c r="AF857" s="119"/>
      <c r="AM857" s="119"/>
      <c r="AN857" s="208"/>
      <c r="AO857" s="119"/>
    </row>
    <row r="858" ht="15.75" customHeight="1"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215"/>
      <c r="P858" s="216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  <c r="AA858" s="119"/>
      <c r="AB858" s="119"/>
      <c r="AC858" s="119"/>
      <c r="AD858" s="119"/>
      <c r="AE858" s="119"/>
      <c r="AF858" s="119"/>
      <c r="AM858" s="119"/>
      <c r="AN858" s="208"/>
      <c r="AO858" s="119"/>
    </row>
    <row r="859" ht="15.75" customHeight="1"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215"/>
      <c r="P859" s="216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  <c r="AA859" s="119"/>
      <c r="AB859" s="119"/>
      <c r="AC859" s="119"/>
      <c r="AD859" s="119"/>
      <c r="AE859" s="119"/>
      <c r="AF859" s="119"/>
      <c r="AM859" s="119"/>
      <c r="AN859" s="208"/>
      <c r="AO859" s="119"/>
    </row>
    <row r="860" ht="15.75" customHeight="1"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215"/>
      <c r="P860" s="216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  <c r="AA860" s="119"/>
      <c r="AB860" s="119"/>
      <c r="AC860" s="119"/>
      <c r="AD860" s="119"/>
      <c r="AE860" s="119"/>
      <c r="AF860" s="119"/>
      <c r="AM860" s="119"/>
      <c r="AN860" s="208"/>
      <c r="AO860" s="119"/>
    </row>
    <row r="861" ht="15.75" customHeight="1"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215"/>
      <c r="P861" s="216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  <c r="AA861" s="119"/>
      <c r="AB861" s="119"/>
      <c r="AC861" s="119"/>
      <c r="AD861" s="119"/>
      <c r="AE861" s="119"/>
      <c r="AF861" s="119"/>
      <c r="AM861" s="119"/>
      <c r="AN861" s="208"/>
      <c r="AO861" s="119"/>
    </row>
    <row r="862" ht="15.75" customHeight="1"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215"/>
      <c r="P862" s="216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  <c r="AA862" s="119"/>
      <c r="AB862" s="119"/>
      <c r="AC862" s="119"/>
      <c r="AD862" s="119"/>
      <c r="AE862" s="119"/>
      <c r="AF862" s="119"/>
      <c r="AM862" s="119"/>
      <c r="AN862" s="208"/>
      <c r="AO862" s="119"/>
    </row>
    <row r="863" ht="15.75" customHeight="1"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215"/>
      <c r="P863" s="216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  <c r="AA863" s="119"/>
      <c r="AB863" s="119"/>
      <c r="AC863" s="119"/>
      <c r="AD863" s="119"/>
      <c r="AE863" s="119"/>
      <c r="AF863" s="119"/>
      <c r="AM863" s="119"/>
      <c r="AN863" s="208"/>
      <c r="AO863" s="119"/>
    </row>
    <row r="864" ht="15.75" customHeight="1"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215"/>
      <c r="P864" s="216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  <c r="AA864" s="119"/>
      <c r="AB864" s="119"/>
      <c r="AC864" s="119"/>
      <c r="AD864" s="119"/>
      <c r="AE864" s="119"/>
      <c r="AF864" s="119"/>
      <c r="AM864" s="119"/>
      <c r="AN864" s="208"/>
      <c r="AO864" s="119"/>
    </row>
    <row r="865" ht="15.75" customHeight="1"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215"/>
      <c r="P865" s="216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  <c r="AA865" s="119"/>
      <c r="AB865" s="119"/>
      <c r="AC865" s="119"/>
      <c r="AD865" s="119"/>
      <c r="AE865" s="119"/>
      <c r="AF865" s="119"/>
      <c r="AM865" s="119"/>
      <c r="AN865" s="208"/>
      <c r="AO865" s="119"/>
    </row>
    <row r="866" ht="15.75" customHeight="1"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215"/>
      <c r="P866" s="216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  <c r="AA866" s="119"/>
      <c r="AB866" s="119"/>
      <c r="AC866" s="119"/>
      <c r="AD866" s="119"/>
      <c r="AE866" s="119"/>
      <c r="AF866" s="119"/>
      <c r="AM866" s="119"/>
      <c r="AN866" s="208"/>
      <c r="AO866" s="119"/>
    </row>
    <row r="867" ht="15.75" customHeight="1"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215"/>
      <c r="P867" s="216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  <c r="AA867" s="119"/>
      <c r="AB867" s="119"/>
      <c r="AC867" s="119"/>
      <c r="AD867" s="119"/>
      <c r="AE867" s="119"/>
      <c r="AF867" s="119"/>
      <c r="AM867" s="119"/>
      <c r="AN867" s="208"/>
      <c r="AO867" s="119"/>
    </row>
    <row r="868" ht="15.75" customHeight="1"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215"/>
      <c r="P868" s="216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  <c r="AA868" s="119"/>
      <c r="AB868" s="119"/>
      <c r="AC868" s="119"/>
      <c r="AD868" s="119"/>
      <c r="AE868" s="119"/>
      <c r="AF868" s="119"/>
      <c r="AM868" s="119"/>
      <c r="AN868" s="208"/>
      <c r="AO868" s="119"/>
    </row>
    <row r="869" ht="15.75" customHeight="1"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215"/>
      <c r="P869" s="216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  <c r="AA869" s="119"/>
      <c r="AB869" s="119"/>
      <c r="AC869" s="119"/>
      <c r="AD869" s="119"/>
      <c r="AE869" s="119"/>
      <c r="AF869" s="119"/>
      <c r="AM869" s="119"/>
      <c r="AN869" s="208"/>
      <c r="AO869" s="119"/>
    </row>
    <row r="870" ht="15.75" customHeight="1"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215"/>
      <c r="P870" s="216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  <c r="AA870" s="119"/>
      <c r="AB870" s="119"/>
      <c r="AC870" s="119"/>
      <c r="AD870" s="119"/>
      <c r="AE870" s="119"/>
      <c r="AF870" s="119"/>
      <c r="AM870" s="119"/>
      <c r="AN870" s="208"/>
      <c r="AO870" s="119"/>
    </row>
    <row r="871" ht="15.75" customHeight="1"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215"/>
      <c r="P871" s="216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  <c r="AA871" s="119"/>
      <c r="AB871" s="119"/>
      <c r="AC871" s="119"/>
      <c r="AD871" s="119"/>
      <c r="AE871" s="119"/>
      <c r="AF871" s="119"/>
      <c r="AM871" s="119"/>
      <c r="AN871" s="208"/>
      <c r="AO871" s="119"/>
    </row>
    <row r="872" ht="15.75" customHeight="1"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215"/>
      <c r="P872" s="216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  <c r="AA872" s="119"/>
      <c r="AB872" s="119"/>
      <c r="AC872" s="119"/>
      <c r="AD872" s="119"/>
      <c r="AE872" s="119"/>
      <c r="AF872" s="119"/>
      <c r="AM872" s="119"/>
      <c r="AN872" s="208"/>
      <c r="AO872" s="119"/>
    </row>
    <row r="873" ht="15.75" customHeight="1"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215"/>
      <c r="P873" s="216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  <c r="AA873" s="119"/>
      <c r="AB873" s="119"/>
      <c r="AC873" s="119"/>
      <c r="AD873" s="119"/>
      <c r="AE873" s="119"/>
      <c r="AF873" s="119"/>
      <c r="AM873" s="119"/>
      <c r="AN873" s="208"/>
      <c r="AO873" s="119"/>
    </row>
    <row r="874" ht="15.75" customHeight="1"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215"/>
      <c r="P874" s="216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  <c r="AA874" s="119"/>
      <c r="AB874" s="119"/>
      <c r="AC874" s="119"/>
      <c r="AD874" s="119"/>
      <c r="AE874" s="119"/>
      <c r="AF874" s="119"/>
      <c r="AM874" s="119"/>
      <c r="AN874" s="208"/>
      <c r="AO874" s="119"/>
    </row>
    <row r="875" ht="15.75" customHeight="1"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215"/>
      <c r="P875" s="216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  <c r="AA875" s="119"/>
      <c r="AB875" s="119"/>
      <c r="AC875" s="119"/>
      <c r="AD875" s="119"/>
      <c r="AE875" s="119"/>
      <c r="AF875" s="119"/>
      <c r="AM875" s="119"/>
      <c r="AN875" s="208"/>
      <c r="AO875" s="119"/>
    </row>
    <row r="876" ht="15.75" customHeight="1"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215"/>
      <c r="P876" s="216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  <c r="AA876" s="119"/>
      <c r="AB876" s="119"/>
      <c r="AC876" s="119"/>
      <c r="AD876" s="119"/>
      <c r="AE876" s="119"/>
      <c r="AF876" s="119"/>
      <c r="AM876" s="119"/>
      <c r="AN876" s="208"/>
      <c r="AO876" s="119"/>
    </row>
    <row r="877" ht="15.75" customHeight="1"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215"/>
      <c r="P877" s="216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  <c r="AA877" s="119"/>
      <c r="AB877" s="119"/>
      <c r="AC877" s="119"/>
      <c r="AD877" s="119"/>
      <c r="AE877" s="119"/>
      <c r="AF877" s="119"/>
      <c r="AM877" s="119"/>
      <c r="AN877" s="208"/>
      <c r="AO877" s="119"/>
    </row>
    <row r="878" ht="15.75" customHeight="1"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215"/>
      <c r="P878" s="216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  <c r="AA878" s="119"/>
      <c r="AB878" s="119"/>
      <c r="AC878" s="119"/>
      <c r="AD878" s="119"/>
      <c r="AE878" s="119"/>
      <c r="AF878" s="119"/>
      <c r="AM878" s="119"/>
      <c r="AN878" s="208"/>
      <c r="AO878" s="119"/>
    </row>
    <row r="879" ht="15.75" customHeight="1"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215"/>
      <c r="P879" s="216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  <c r="AA879" s="119"/>
      <c r="AB879" s="119"/>
      <c r="AC879" s="119"/>
      <c r="AD879" s="119"/>
      <c r="AE879" s="119"/>
      <c r="AF879" s="119"/>
      <c r="AM879" s="119"/>
      <c r="AN879" s="208"/>
      <c r="AO879" s="119"/>
    </row>
    <row r="880" ht="15.75" customHeight="1"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215"/>
      <c r="P880" s="216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  <c r="AA880" s="119"/>
      <c r="AB880" s="119"/>
      <c r="AC880" s="119"/>
      <c r="AD880" s="119"/>
      <c r="AE880" s="119"/>
      <c r="AF880" s="119"/>
      <c r="AM880" s="119"/>
      <c r="AN880" s="208"/>
      <c r="AO880" s="119"/>
    </row>
    <row r="881" ht="15.75" customHeight="1"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215"/>
      <c r="P881" s="216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  <c r="AA881" s="119"/>
      <c r="AB881" s="119"/>
      <c r="AC881" s="119"/>
      <c r="AD881" s="119"/>
      <c r="AE881" s="119"/>
      <c r="AF881" s="119"/>
      <c r="AM881" s="119"/>
      <c r="AN881" s="208"/>
      <c r="AO881" s="119"/>
    </row>
    <row r="882" ht="15.75" customHeight="1"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215"/>
      <c r="P882" s="216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  <c r="AA882" s="119"/>
      <c r="AB882" s="119"/>
      <c r="AC882" s="119"/>
      <c r="AD882" s="119"/>
      <c r="AE882" s="119"/>
      <c r="AF882" s="119"/>
      <c r="AM882" s="119"/>
      <c r="AN882" s="208"/>
      <c r="AO882" s="119"/>
    </row>
    <row r="883" ht="15.75" customHeight="1"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215"/>
      <c r="P883" s="216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  <c r="AA883" s="119"/>
      <c r="AB883" s="119"/>
      <c r="AC883" s="119"/>
      <c r="AD883" s="119"/>
      <c r="AE883" s="119"/>
      <c r="AF883" s="119"/>
      <c r="AM883" s="119"/>
      <c r="AN883" s="208"/>
      <c r="AO883" s="119"/>
    </row>
    <row r="884" ht="15.75" customHeight="1"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215"/>
      <c r="P884" s="216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  <c r="AA884" s="119"/>
      <c r="AB884" s="119"/>
      <c r="AC884" s="119"/>
      <c r="AD884" s="119"/>
      <c r="AE884" s="119"/>
      <c r="AF884" s="119"/>
      <c r="AM884" s="119"/>
      <c r="AN884" s="208"/>
      <c r="AO884" s="119"/>
    </row>
    <row r="885" ht="15.75" customHeight="1"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215"/>
      <c r="P885" s="216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  <c r="AA885" s="119"/>
      <c r="AB885" s="119"/>
      <c r="AC885" s="119"/>
      <c r="AD885" s="119"/>
      <c r="AE885" s="119"/>
      <c r="AF885" s="119"/>
      <c r="AM885" s="119"/>
      <c r="AN885" s="208"/>
      <c r="AO885" s="119"/>
    </row>
    <row r="886" ht="15.75" customHeight="1"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215"/>
      <c r="P886" s="216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  <c r="AA886" s="119"/>
      <c r="AB886" s="119"/>
      <c r="AC886" s="119"/>
      <c r="AD886" s="119"/>
      <c r="AE886" s="119"/>
      <c r="AF886" s="119"/>
      <c r="AM886" s="119"/>
      <c r="AN886" s="208"/>
      <c r="AO886" s="119"/>
    </row>
    <row r="887" ht="15.75" customHeight="1"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215"/>
      <c r="P887" s="216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  <c r="AA887" s="119"/>
      <c r="AB887" s="119"/>
      <c r="AC887" s="119"/>
      <c r="AD887" s="119"/>
      <c r="AE887" s="119"/>
      <c r="AF887" s="119"/>
      <c r="AM887" s="119"/>
      <c r="AN887" s="208"/>
      <c r="AO887" s="119"/>
    </row>
    <row r="888" ht="15.75" customHeight="1"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215"/>
      <c r="P888" s="216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  <c r="AA888" s="119"/>
      <c r="AB888" s="119"/>
      <c r="AC888" s="119"/>
      <c r="AD888" s="119"/>
      <c r="AE888" s="119"/>
      <c r="AF888" s="119"/>
      <c r="AM888" s="119"/>
      <c r="AN888" s="208"/>
      <c r="AO888" s="119"/>
    </row>
    <row r="889" ht="15.75" customHeight="1"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215"/>
      <c r="P889" s="216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  <c r="AA889" s="119"/>
      <c r="AB889" s="119"/>
      <c r="AC889" s="119"/>
      <c r="AD889" s="119"/>
      <c r="AE889" s="119"/>
      <c r="AF889" s="119"/>
      <c r="AM889" s="119"/>
      <c r="AN889" s="208"/>
      <c r="AO889" s="119"/>
    </row>
    <row r="890" ht="15.75" customHeight="1"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215"/>
      <c r="P890" s="216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  <c r="AA890" s="119"/>
      <c r="AB890" s="119"/>
      <c r="AC890" s="119"/>
      <c r="AD890" s="119"/>
      <c r="AE890" s="119"/>
      <c r="AF890" s="119"/>
      <c r="AM890" s="119"/>
      <c r="AN890" s="208"/>
      <c r="AO890" s="119"/>
    </row>
    <row r="891" ht="15.75" customHeight="1"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215"/>
      <c r="P891" s="216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  <c r="AA891" s="119"/>
      <c r="AB891" s="119"/>
      <c r="AC891" s="119"/>
      <c r="AD891" s="119"/>
      <c r="AE891" s="119"/>
      <c r="AF891" s="119"/>
      <c r="AM891" s="119"/>
      <c r="AN891" s="208"/>
      <c r="AO891" s="119"/>
    </row>
    <row r="892" ht="15.75" customHeight="1"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215"/>
      <c r="P892" s="216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  <c r="AA892" s="119"/>
      <c r="AB892" s="119"/>
      <c r="AC892" s="119"/>
      <c r="AD892" s="119"/>
      <c r="AE892" s="119"/>
      <c r="AF892" s="119"/>
      <c r="AM892" s="119"/>
      <c r="AN892" s="208"/>
      <c r="AO892" s="119"/>
    </row>
    <row r="893" ht="15.75" customHeight="1"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215"/>
      <c r="P893" s="216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  <c r="AA893" s="119"/>
      <c r="AB893" s="119"/>
      <c r="AC893" s="119"/>
      <c r="AD893" s="119"/>
      <c r="AE893" s="119"/>
      <c r="AF893" s="119"/>
      <c r="AM893" s="119"/>
      <c r="AN893" s="208"/>
      <c r="AO893" s="119"/>
    </row>
    <row r="894" ht="15.75" customHeight="1"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215"/>
      <c r="P894" s="216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  <c r="AA894" s="119"/>
      <c r="AB894" s="119"/>
      <c r="AC894" s="119"/>
      <c r="AD894" s="119"/>
      <c r="AE894" s="119"/>
      <c r="AF894" s="119"/>
      <c r="AM894" s="119"/>
      <c r="AN894" s="208"/>
      <c r="AO894" s="119"/>
    </row>
    <row r="895" ht="15.75" customHeight="1"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215"/>
      <c r="P895" s="216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  <c r="AA895" s="119"/>
      <c r="AB895" s="119"/>
      <c r="AC895" s="119"/>
      <c r="AD895" s="119"/>
      <c r="AE895" s="119"/>
      <c r="AF895" s="119"/>
      <c r="AM895" s="119"/>
      <c r="AN895" s="208"/>
      <c r="AO895" s="119"/>
    </row>
    <row r="896" ht="15.75" customHeight="1"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215"/>
      <c r="P896" s="216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  <c r="AA896" s="119"/>
      <c r="AB896" s="119"/>
      <c r="AC896" s="119"/>
      <c r="AD896" s="119"/>
      <c r="AE896" s="119"/>
      <c r="AF896" s="119"/>
      <c r="AM896" s="119"/>
      <c r="AN896" s="208"/>
      <c r="AO896" s="119"/>
    </row>
    <row r="897" ht="15.75" customHeight="1"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215"/>
      <c r="P897" s="216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  <c r="AA897" s="119"/>
      <c r="AB897" s="119"/>
      <c r="AC897" s="119"/>
      <c r="AD897" s="119"/>
      <c r="AE897" s="119"/>
      <c r="AF897" s="119"/>
      <c r="AM897" s="119"/>
      <c r="AN897" s="208"/>
      <c r="AO897" s="119"/>
    </row>
    <row r="898" ht="15.75" customHeight="1"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215"/>
      <c r="P898" s="216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  <c r="AA898" s="119"/>
      <c r="AB898" s="119"/>
      <c r="AC898" s="119"/>
      <c r="AD898" s="119"/>
      <c r="AE898" s="119"/>
      <c r="AF898" s="119"/>
      <c r="AM898" s="119"/>
      <c r="AN898" s="208"/>
      <c r="AO898" s="119"/>
    </row>
    <row r="899" ht="15.75" customHeight="1"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215"/>
      <c r="P899" s="216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  <c r="AA899" s="119"/>
      <c r="AB899" s="119"/>
      <c r="AC899" s="119"/>
      <c r="AD899" s="119"/>
      <c r="AE899" s="119"/>
      <c r="AF899" s="119"/>
      <c r="AM899" s="119"/>
      <c r="AN899" s="208"/>
      <c r="AO899" s="119"/>
    </row>
    <row r="900" ht="15.75" customHeight="1"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215"/>
      <c r="P900" s="216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  <c r="AA900" s="119"/>
      <c r="AB900" s="119"/>
      <c r="AC900" s="119"/>
      <c r="AD900" s="119"/>
      <c r="AE900" s="119"/>
      <c r="AF900" s="119"/>
      <c r="AM900" s="119"/>
      <c r="AN900" s="208"/>
      <c r="AO900" s="119"/>
    </row>
    <row r="901" ht="15.75" customHeight="1"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215"/>
      <c r="P901" s="216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  <c r="AA901" s="119"/>
      <c r="AB901" s="119"/>
      <c r="AC901" s="119"/>
      <c r="AD901" s="119"/>
      <c r="AE901" s="119"/>
      <c r="AF901" s="119"/>
      <c r="AM901" s="119"/>
      <c r="AN901" s="208"/>
      <c r="AO901" s="119"/>
    </row>
    <row r="902" ht="15.75" customHeight="1"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215"/>
      <c r="P902" s="216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  <c r="AA902" s="119"/>
      <c r="AB902" s="119"/>
      <c r="AC902" s="119"/>
      <c r="AD902" s="119"/>
      <c r="AE902" s="119"/>
      <c r="AF902" s="119"/>
      <c r="AM902" s="119"/>
      <c r="AN902" s="208"/>
      <c r="AO902" s="119"/>
    </row>
    <row r="903" ht="15.75" customHeight="1"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215"/>
      <c r="P903" s="216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  <c r="AA903" s="119"/>
      <c r="AB903" s="119"/>
      <c r="AC903" s="119"/>
      <c r="AD903" s="119"/>
      <c r="AE903" s="119"/>
      <c r="AF903" s="119"/>
      <c r="AM903" s="119"/>
      <c r="AN903" s="208"/>
      <c r="AO903" s="119"/>
    </row>
    <row r="904" ht="15.75" customHeight="1"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215"/>
      <c r="P904" s="216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  <c r="AA904" s="119"/>
      <c r="AB904" s="119"/>
      <c r="AC904" s="119"/>
      <c r="AD904" s="119"/>
      <c r="AE904" s="119"/>
      <c r="AF904" s="119"/>
      <c r="AM904" s="119"/>
      <c r="AN904" s="208"/>
      <c r="AO904" s="119"/>
    </row>
    <row r="905" ht="15.75" customHeight="1"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215"/>
      <c r="P905" s="216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  <c r="AA905" s="119"/>
      <c r="AB905" s="119"/>
      <c r="AC905" s="119"/>
      <c r="AD905" s="119"/>
      <c r="AE905" s="119"/>
      <c r="AF905" s="119"/>
      <c r="AM905" s="119"/>
      <c r="AN905" s="208"/>
      <c r="AO905" s="119"/>
    </row>
    <row r="906" ht="15.75" customHeight="1"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215"/>
      <c r="P906" s="216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  <c r="AA906" s="119"/>
      <c r="AB906" s="119"/>
      <c r="AC906" s="119"/>
      <c r="AD906" s="119"/>
      <c r="AE906" s="119"/>
      <c r="AF906" s="119"/>
      <c r="AM906" s="119"/>
      <c r="AN906" s="208"/>
      <c r="AO906" s="119"/>
    </row>
    <row r="907" ht="15.75" customHeight="1"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215"/>
      <c r="P907" s="216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  <c r="AA907" s="119"/>
      <c r="AB907" s="119"/>
      <c r="AC907" s="119"/>
      <c r="AD907" s="119"/>
      <c r="AE907" s="119"/>
      <c r="AF907" s="119"/>
      <c r="AM907" s="119"/>
      <c r="AN907" s="208"/>
      <c r="AO907" s="119"/>
    </row>
    <row r="908" ht="15.75" customHeight="1"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215"/>
      <c r="P908" s="216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  <c r="AA908" s="119"/>
      <c r="AB908" s="119"/>
      <c r="AC908" s="119"/>
      <c r="AD908" s="119"/>
      <c r="AE908" s="119"/>
      <c r="AF908" s="119"/>
      <c r="AM908" s="119"/>
      <c r="AN908" s="208"/>
      <c r="AO908" s="119"/>
    </row>
    <row r="909" ht="15.75" customHeight="1"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215"/>
      <c r="P909" s="216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  <c r="AA909" s="119"/>
      <c r="AB909" s="119"/>
      <c r="AC909" s="119"/>
      <c r="AD909" s="119"/>
      <c r="AE909" s="119"/>
      <c r="AF909" s="119"/>
      <c r="AM909" s="119"/>
      <c r="AN909" s="208"/>
      <c r="AO909" s="119"/>
    </row>
    <row r="910" ht="15.75" customHeight="1"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215"/>
      <c r="P910" s="216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  <c r="AA910" s="119"/>
      <c r="AB910" s="119"/>
      <c r="AC910" s="119"/>
      <c r="AD910" s="119"/>
      <c r="AE910" s="119"/>
      <c r="AF910" s="119"/>
      <c r="AM910" s="119"/>
      <c r="AN910" s="208"/>
      <c r="AO910" s="119"/>
    </row>
    <row r="911" ht="15.75" customHeight="1"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215"/>
      <c r="P911" s="216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  <c r="AA911" s="119"/>
      <c r="AB911" s="119"/>
      <c r="AC911" s="119"/>
      <c r="AD911" s="119"/>
      <c r="AE911" s="119"/>
      <c r="AF911" s="119"/>
      <c r="AM911" s="119"/>
      <c r="AN911" s="208"/>
      <c r="AO911" s="119"/>
    </row>
    <row r="912" ht="15.75" customHeight="1"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215"/>
      <c r="P912" s="216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  <c r="AA912" s="119"/>
      <c r="AB912" s="119"/>
      <c r="AC912" s="119"/>
      <c r="AD912" s="119"/>
      <c r="AE912" s="119"/>
      <c r="AF912" s="119"/>
      <c r="AM912" s="119"/>
      <c r="AN912" s="208"/>
      <c r="AO912" s="119"/>
    </row>
    <row r="913" ht="15.75" customHeight="1"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215"/>
      <c r="P913" s="216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  <c r="AA913" s="119"/>
      <c r="AB913" s="119"/>
      <c r="AC913" s="119"/>
      <c r="AD913" s="119"/>
      <c r="AE913" s="119"/>
      <c r="AF913" s="119"/>
      <c r="AM913" s="119"/>
      <c r="AN913" s="208"/>
      <c r="AO913" s="119"/>
    </row>
    <row r="914" ht="15.75" customHeight="1"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215"/>
      <c r="P914" s="216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  <c r="AA914" s="119"/>
      <c r="AB914" s="119"/>
      <c r="AC914" s="119"/>
      <c r="AD914" s="119"/>
      <c r="AE914" s="119"/>
      <c r="AF914" s="119"/>
      <c r="AM914" s="119"/>
      <c r="AN914" s="208"/>
      <c r="AO914" s="119"/>
    </row>
    <row r="915" ht="15.75" customHeight="1"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215"/>
      <c r="P915" s="216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  <c r="AA915" s="119"/>
      <c r="AB915" s="119"/>
      <c r="AC915" s="119"/>
      <c r="AD915" s="119"/>
      <c r="AE915" s="119"/>
      <c r="AF915" s="119"/>
      <c r="AM915" s="119"/>
      <c r="AN915" s="208"/>
      <c r="AO915" s="119"/>
    </row>
    <row r="916" ht="15.75" customHeight="1"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215"/>
      <c r="P916" s="216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  <c r="AA916" s="119"/>
      <c r="AB916" s="119"/>
      <c r="AC916" s="119"/>
      <c r="AD916" s="119"/>
      <c r="AE916" s="119"/>
      <c r="AF916" s="119"/>
      <c r="AM916" s="119"/>
      <c r="AN916" s="208"/>
      <c r="AO916" s="119"/>
    </row>
    <row r="917" ht="15.75" customHeight="1"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215"/>
      <c r="P917" s="216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  <c r="AA917" s="119"/>
      <c r="AB917" s="119"/>
      <c r="AC917" s="119"/>
      <c r="AD917" s="119"/>
      <c r="AE917" s="119"/>
      <c r="AF917" s="119"/>
      <c r="AM917" s="119"/>
      <c r="AN917" s="208"/>
      <c r="AO917" s="119"/>
    </row>
    <row r="918" ht="15.75" customHeight="1"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215"/>
      <c r="P918" s="216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  <c r="AA918" s="119"/>
      <c r="AB918" s="119"/>
      <c r="AC918" s="119"/>
      <c r="AD918" s="119"/>
      <c r="AE918" s="119"/>
      <c r="AF918" s="119"/>
      <c r="AM918" s="119"/>
      <c r="AN918" s="208"/>
      <c r="AO918" s="119"/>
    </row>
    <row r="919" ht="15.75" customHeight="1"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215"/>
      <c r="P919" s="216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  <c r="AA919" s="119"/>
      <c r="AB919" s="119"/>
      <c r="AC919" s="119"/>
      <c r="AD919" s="119"/>
      <c r="AE919" s="119"/>
      <c r="AF919" s="119"/>
      <c r="AM919" s="119"/>
      <c r="AN919" s="208"/>
      <c r="AO919" s="119"/>
    </row>
    <row r="920" ht="15.75" customHeight="1"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215"/>
      <c r="P920" s="216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  <c r="AA920" s="119"/>
      <c r="AB920" s="119"/>
      <c r="AC920" s="119"/>
      <c r="AD920" s="119"/>
      <c r="AE920" s="119"/>
      <c r="AF920" s="119"/>
      <c r="AM920" s="119"/>
      <c r="AN920" s="208"/>
      <c r="AO920" s="119"/>
    </row>
    <row r="921" ht="15.75" customHeight="1"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215"/>
      <c r="P921" s="216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  <c r="AA921" s="119"/>
      <c r="AB921" s="119"/>
      <c r="AC921" s="119"/>
      <c r="AD921" s="119"/>
      <c r="AE921" s="119"/>
      <c r="AF921" s="119"/>
      <c r="AM921" s="119"/>
      <c r="AN921" s="208"/>
      <c r="AO921" s="119"/>
    </row>
    <row r="922" ht="15.75" customHeight="1"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215"/>
      <c r="P922" s="216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  <c r="AA922" s="119"/>
      <c r="AB922" s="119"/>
      <c r="AC922" s="119"/>
      <c r="AD922" s="119"/>
      <c r="AE922" s="119"/>
      <c r="AF922" s="119"/>
      <c r="AM922" s="119"/>
      <c r="AN922" s="208"/>
      <c r="AO922" s="119"/>
    </row>
    <row r="923" ht="15.75" customHeight="1"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215"/>
      <c r="P923" s="216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  <c r="AA923" s="119"/>
      <c r="AB923" s="119"/>
      <c r="AC923" s="119"/>
      <c r="AD923" s="119"/>
      <c r="AE923" s="119"/>
      <c r="AF923" s="119"/>
      <c r="AM923" s="119"/>
      <c r="AN923" s="208"/>
      <c r="AO923" s="119"/>
    </row>
    <row r="924" ht="15.75" customHeight="1"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215"/>
      <c r="P924" s="216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  <c r="AA924" s="119"/>
      <c r="AB924" s="119"/>
      <c r="AC924" s="119"/>
      <c r="AD924" s="119"/>
      <c r="AE924" s="119"/>
      <c r="AF924" s="119"/>
      <c r="AM924" s="119"/>
      <c r="AN924" s="208"/>
      <c r="AO924" s="119"/>
    </row>
    <row r="925" ht="15.75" customHeight="1"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215"/>
      <c r="P925" s="216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  <c r="AA925" s="119"/>
      <c r="AB925" s="119"/>
      <c r="AC925" s="119"/>
      <c r="AD925" s="119"/>
      <c r="AE925" s="119"/>
      <c r="AF925" s="119"/>
      <c r="AM925" s="119"/>
      <c r="AN925" s="208"/>
      <c r="AO925" s="119"/>
    </row>
    <row r="926" ht="15.75" customHeight="1"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215"/>
      <c r="P926" s="216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  <c r="AA926" s="119"/>
      <c r="AB926" s="119"/>
      <c r="AC926" s="119"/>
      <c r="AD926" s="119"/>
      <c r="AE926" s="119"/>
      <c r="AF926" s="119"/>
      <c r="AM926" s="119"/>
      <c r="AN926" s="208"/>
      <c r="AO926" s="119"/>
    </row>
    <row r="927" ht="15.75" customHeight="1"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215"/>
      <c r="P927" s="216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  <c r="AA927" s="119"/>
      <c r="AB927" s="119"/>
      <c r="AC927" s="119"/>
      <c r="AD927" s="119"/>
      <c r="AE927" s="119"/>
      <c r="AF927" s="119"/>
      <c r="AM927" s="119"/>
      <c r="AN927" s="208"/>
      <c r="AO927" s="119"/>
    </row>
    <row r="928" ht="15.75" customHeight="1"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215"/>
      <c r="P928" s="216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  <c r="AA928" s="119"/>
      <c r="AB928" s="119"/>
      <c r="AC928" s="119"/>
      <c r="AD928" s="119"/>
      <c r="AE928" s="119"/>
      <c r="AF928" s="119"/>
      <c r="AM928" s="119"/>
      <c r="AN928" s="208"/>
      <c r="AO928" s="119"/>
    </row>
    <row r="929" ht="15.75" customHeight="1"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215"/>
      <c r="P929" s="216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  <c r="AA929" s="119"/>
      <c r="AB929" s="119"/>
      <c r="AC929" s="119"/>
      <c r="AD929" s="119"/>
      <c r="AE929" s="119"/>
      <c r="AF929" s="119"/>
      <c r="AM929" s="119"/>
      <c r="AN929" s="208"/>
      <c r="AO929" s="119"/>
    </row>
    <row r="930" ht="15.75" customHeight="1"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215"/>
      <c r="P930" s="216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  <c r="AA930" s="119"/>
      <c r="AB930" s="119"/>
      <c r="AC930" s="119"/>
      <c r="AD930" s="119"/>
      <c r="AE930" s="119"/>
      <c r="AF930" s="119"/>
      <c r="AM930" s="119"/>
      <c r="AN930" s="208"/>
      <c r="AO930" s="119"/>
    </row>
    <row r="931" ht="15.75" customHeight="1"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215"/>
      <c r="P931" s="216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  <c r="AA931" s="119"/>
      <c r="AB931" s="119"/>
      <c r="AC931" s="119"/>
      <c r="AD931" s="119"/>
      <c r="AE931" s="119"/>
      <c r="AF931" s="119"/>
      <c r="AM931" s="119"/>
      <c r="AN931" s="208"/>
      <c r="AO931" s="119"/>
    </row>
    <row r="932" ht="15.75" customHeight="1"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215"/>
      <c r="P932" s="216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  <c r="AA932" s="119"/>
      <c r="AB932" s="119"/>
      <c r="AC932" s="119"/>
      <c r="AD932" s="119"/>
      <c r="AE932" s="119"/>
      <c r="AF932" s="119"/>
      <c r="AM932" s="119"/>
      <c r="AN932" s="208"/>
      <c r="AO932" s="119"/>
    </row>
    <row r="933" ht="15.75" customHeight="1"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215"/>
      <c r="P933" s="216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  <c r="AA933" s="119"/>
      <c r="AB933" s="119"/>
      <c r="AC933" s="119"/>
      <c r="AD933" s="119"/>
      <c r="AE933" s="119"/>
      <c r="AF933" s="119"/>
      <c r="AM933" s="119"/>
      <c r="AN933" s="208"/>
      <c r="AO933" s="119"/>
    </row>
    <row r="934" ht="15.75" customHeight="1"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215"/>
      <c r="P934" s="216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  <c r="AA934" s="119"/>
      <c r="AB934" s="119"/>
      <c r="AC934" s="119"/>
      <c r="AD934" s="119"/>
      <c r="AE934" s="119"/>
      <c r="AF934" s="119"/>
      <c r="AM934" s="119"/>
      <c r="AN934" s="208"/>
      <c r="AO934" s="119"/>
    </row>
    <row r="935" ht="15.75" customHeight="1"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215"/>
      <c r="P935" s="216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  <c r="AA935" s="119"/>
      <c r="AB935" s="119"/>
      <c r="AC935" s="119"/>
      <c r="AD935" s="119"/>
      <c r="AE935" s="119"/>
      <c r="AF935" s="119"/>
      <c r="AM935" s="119"/>
      <c r="AN935" s="208"/>
      <c r="AO935" s="119"/>
    </row>
    <row r="936" ht="15.75" customHeight="1"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215"/>
      <c r="P936" s="216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  <c r="AA936" s="119"/>
      <c r="AB936" s="119"/>
      <c r="AC936" s="119"/>
      <c r="AD936" s="119"/>
      <c r="AE936" s="119"/>
      <c r="AF936" s="119"/>
      <c r="AM936" s="119"/>
      <c r="AN936" s="208"/>
      <c r="AO936" s="119"/>
    </row>
    <row r="937" ht="15.75" customHeight="1"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215"/>
      <c r="P937" s="216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  <c r="AA937" s="119"/>
      <c r="AB937" s="119"/>
      <c r="AC937" s="119"/>
      <c r="AD937" s="119"/>
      <c r="AE937" s="119"/>
      <c r="AF937" s="119"/>
      <c r="AM937" s="119"/>
      <c r="AN937" s="208"/>
      <c r="AO937" s="119"/>
    </row>
    <row r="938" ht="15.75" customHeight="1"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215"/>
      <c r="P938" s="216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  <c r="AA938" s="119"/>
      <c r="AB938" s="119"/>
      <c r="AC938" s="119"/>
      <c r="AD938" s="119"/>
      <c r="AE938" s="119"/>
      <c r="AF938" s="119"/>
      <c r="AM938" s="119"/>
      <c r="AN938" s="208"/>
      <c r="AO938" s="119"/>
    </row>
    <row r="939" ht="15.75" customHeight="1"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215"/>
      <c r="P939" s="216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  <c r="AA939" s="119"/>
      <c r="AB939" s="119"/>
      <c r="AC939" s="119"/>
      <c r="AD939" s="119"/>
      <c r="AE939" s="119"/>
      <c r="AF939" s="119"/>
      <c r="AM939" s="119"/>
      <c r="AN939" s="208"/>
      <c r="AO939" s="119"/>
    </row>
    <row r="940" ht="15.75" customHeight="1"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215"/>
      <c r="P940" s="216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  <c r="AA940" s="119"/>
      <c r="AB940" s="119"/>
      <c r="AC940" s="119"/>
      <c r="AD940" s="119"/>
      <c r="AE940" s="119"/>
      <c r="AF940" s="119"/>
      <c r="AM940" s="119"/>
      <c r="AN940" s="208"/>
      <c r="AO940" s="119"/>
    </row>
    <row r="941" ht="15.75" customHeight="1"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215"/>
      <c r="P941" s="216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  <c r="AA941" s="119"/>
      <c r="AB941" s="119"/>
      <c r="AC941" s="119"/>
      <c r="AD941" s="119"/>
      <c r="AE941" s="119"/>
      <c r="AF941" s="119"/>
      <c r="AM941" s="119"/>
      <c r="AN941" s="208"/>
      <c r="AO941" s="119"/>
    </row>
    <row r="942" ht="15.75" customHeight="1"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215"/>
      <c r="P942" s="216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  <c r="AA942" s="119"/>
      <c r="AB942" s="119"/>
      <c r="AC942" s="119"/>
      <c r="AD942" s="119"/>
      <c r="AE942" s="119"/>
      <c r="AF942" s="119"/>
      <c r="AM942" s="119"/>
      <c r="AN942" s="208"/>
      <c r="AO942" s="119"/>
    </row>
    <row r="943" ht="15.75" customHeight="1"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215"/>
      <c r="P943" s="216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  <c r="AA943" s="119"/>
      <c r="AB943" s="119"/>
      <c r="AC943" s="119"/>
      <c r="AD943" s="119"/>
      <c r="AE943" s="119"/>
      <c r="AF943" s="119"/>
      <c r="AM943" s="119"/>
      <c r="AN943" s="208"/>
      <c r="AO943" s="119"/>
    </row>
    <row r="944" ht="15.75" customHeight="1"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215"/>
      <c r="P944" s="216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  <c r="AA944" s="119"/>
      <c r="AB944" s="119"/>
      <c r="AC944" s="119"/>
      <c r="AD944" s="119"/>
      <c r="AE944" s="119"/>
      <c r="AF944" s="119"/>
      <c r="AM944" s="119"/>
      <c r="AN944" s="208"/>
      <c r="AO944" s="119"/>
    </row>
    <row r="945" ht="15.75" customHeight="1"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215"/>
      <c r="P945" s="216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  <c r="AA945" s="119"/>
      <c r="AB945" s="119"/>
      <c r="AC945" s="119"/>
      <c r="AD945" s="119"/>
      <c r="AE945" s="119"/>
      <c r="AF945" s="119"/>
      <c r="AM945" s="119"/>
      <c r="AN945" s="208"/>
      <c r="AO945" s="119"/>
    </row>
    <row r="946" ht="15.75" customHeight="1"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215"/>
      <c r="P946" s="216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  <c r="AA946" s="119"/>
      <c r="AB946" s="119"/>
      <c r="AC946" s="119"/>
      <c r="AD946" s="119"/>
      <c r="AE946" s="119"/>
      <c r="AF946" s="119"/>
      <c r="AM946" s="119"/>
      <c r="AN946" s="208"/>
      <c r="AO946" s="119"/>
    </row>
    <row r="947" ht="15.75" customHeight="1"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215"/>
      <c r="P947" s="216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  <c r="AA947" s="119"/>
      <c r="AB947" s="119"/>
      <c r="AC947" s="119"/>
      <c r="AD947" s="119"/>
      <c r="AE947" s="119"/>
      <c r="AF947" s="119"/>
      <c r="AM947" s="119"/>
      <c r="AN947" s="208"/>
      <c r="AO947" s="119"/>
    </row>
    <row r="948" ht="15.75" customHeight="1"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215"/>
      <c r="P948" s="216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  <c r="AA948" s="119"/>
      <c r="AB948" s="119"/>
      <c r="AC948" s="119"/>
      <c r="AD948" s="119"/>
      <c r="AE948" s="119"/>
      <c r="AF948" s="119"/>
      <c r="AM948" s="119"/>
      <c r="AN948" s="208"/>
      <c r="AO948" s="119"/>
    </row>
    <row r="949" ht="15.75" customHeight="1"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215"/>
      <c r="P949" s="216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  <c r="AA949" s="119"/>
      <c r="AB949" s="119"/>
      <c r="AC949" s="119"/>
      <c r="AD949" s="119"/>
      <c r="AE949" s="119"/>
      <c r="AF949" s="119"/>
      <c r="AM949" s="119"/>
      <c r="AN949" s="208"/>
      <c r="AO949" s="119"/>
    </row>
    <row r="950" ht="15.75" customHeight="1"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215"/>
      <c r="P950" s="216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  <c r="AA950" s="119"/>
      <c r="AB950" s="119"/>
      <c r="AC950" s="119"/>
      <c r="AD950" s="119"/>
      <c r="AE950" s="119"/>
      <c r="AF950" s="119"/>
      <c r="AM950" s="119"/>
      <c r="AN950" s="208"/>
      <c r="AO950" s="119"/>
    </row>
    <row r="951" ht="15.75" customHeight="1"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215"/>
      <c r="P951" s="216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  <c r="AA951" s="119"/>
      <c r="AB951" s="119"/>
      <c r="AC951" s="119"/>
      <c r="AD951" s="119"/>
      <c r="AE951" s="119"/>
      <c r="AF951" s="119"/>
      <c r="AM951" s="119"/>
      <c r="AN951" s="208"/>
      <c r="AO951" s="119"/>
    </row>
    <row r="952" ht="15.75" customHeight="1"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215"/>
      <c r="P952" s="216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  <c r="AA952" s="119"/>
      <c r="AB952" s="119"/>
      <c r="AC952" s="119"/>
      <c r="AD952" s="119"/>
      <c r="AE952" s="119"/>
      <c r="AF952" s="119"/>
      <c r="AM952" s="119"/>
      <c r="AN952" s="208"/>
      <c r="AO952" s="119"/>
    </row>
    <row r="953" ht="15.75" customHeight="1"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215"/>
      <c r="P953" s="216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  <c r="AA953" s="119"/>
      <c r="AB953" s="119"/>
      <c r="AC953" s="119"/>
      <c r="AD953" s="119"/>
      <c r="AE953" s="119"/>
      <c r="AF953" s="119"/>
      <c r="AM953" s="119"/>
      <c r="AN953" s="208"/>
      <c r="AO953" s="119"/>
    </row>
    <row r="954" ht="15.75" customHeight="1"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215"/>
      <c r="P954" s="216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  <c r="AA954" s="119"/>
      <c r="AB954" s="119"/>
      <c r="AC954" s="119"/>
      <c r="AD954" s="119"/>
      <c r="AE954" s="119"/>
      <c r="AF954" s="119"/>
      <c r="AM954" s="119"/>
      <c r="AN954" s="208"/>
      <c r="AO954" s="119"/>
    </row>
    <row r="955" ht="15.75" customHeight="1"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215"/>
      <c r="P955" s="216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  <c r="AA955" s="119"/>
      <c r="AB955" s="119"/>
      <c r="AC955" s="119"/>
      <c r="AD955" s="119"/>
      <c r="AE955" s="119"/>
      <c r="AF955" s="119"/>
      <c r="AM955" s="119"/>
      <c r="AN955" s="208"/>
      <c r="AO955" s="119"/>
    </row>
    <row r="956" ht="15.75" customHeight="1"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215"/>
      <c r="P956" s="216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  <c r="AA956" s="119"/>
      <c r="AB956" s="119"/>
      <c r="AC956" s="119"/>
      <c r="AD956" s="119"/>
      <c r="AE956" s="119"/>
      <c r="AF956" s="119"/>
      <c r="AM956" s="119"/>
      <c r="AN956" s="208"/>
      <c r="AO956" s="119"/>
    </row>
    <row r="957" ht="15.75" customHeight="1"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215"/>
      <c r="P957" s="216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  <c r="AA957" s="119"/>
      <c r="AB957" s="119"/>
      <c r="AC957" s="119"/>
      <c r="AD957" s="119"/>
      <c r="AE957" s="119"/>
      <c r="AF957" s="119"/>
      <c r="AM957" s="119"/>
      <c r="AN957" s="208"/>
      <c r="AO957" s="119"/>
    </row>
    <row r="958" ht="15.75" customHeight="1"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215"/>
      <c r="P958" s="216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  <c r="AA958" s="119"/>
      <c r="AB958" s="119"/>
      <c r="AC958" s="119"/>
      <c r="AD958" s="119"/>
      <c r="AE958" s="119"/>
      <c r="AF958" s="119"/>
      <c r="AM958" s="119"/>
      <c r="AN958" s="208"/>
      <c r="AO958" s="119"/>
    </row>
    <row r="959" ht="15.75" customHeight="1"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215"/>
      <c r="P959" s="216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  <c r="AA959" s="119"/>
      <c r="AB959" s="119"/>
      <c r="AC959" s="119"/>
      <c r="AD959" s="119"/>
      <c r="AE959" s="119"/>
      <c r="AF959" s="119"/>
      <c r="AM959" s="119"/>
      <c r="AN959" s="208"/>
      <c r="AO959" s="119"/>
    </row>
    <row r="960" ht="15.75" customHeight="1"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215"/>
      <c r="P960" s="216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  <c r="AA960" s="119"/>
      <c r="AB960" s="119"/>
      <c r="AC960" s="119"/>
      <c r="AD960" s="119"/>
      <c r="AE960" s="119"/>
      <c r="AF960" s="119"/>
      <c r="AM960" s="119"/>
      <c r="AN960" s="208"/>
      <c r="AO960" s="119"/>
    </row>
    <row r="961" ht="15.75" customHeight="1"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215"/>
      <c r="P961" s="216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  <c r="AA961" s="119"/>
      <c r="AB961" s="119"/>
      <c r="AC961" s="119"/>
      <c r="AD961" s="119"/>
      <c r="AE961" s="119"/>
      <c r="AF961" s="119"/>
      <c r="AM961" s="119"/>
      <c r="AN961" s="208"/>
      <c r="AO961" s="119"/>
    </row>
    <row r="962" ht="15.75" customHeight="1"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215"/>
      <c r="P962" s="216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  <c r="AA962" s="119"/>
      <c r="AB962" s="119"/>
      <c r="AC962" s="119"/>
      <c r="AD962" s="119"/>
      <c r="AE962" s="119"/>
      <c r="AF962" s="119"/>
      <c r="AM962" s="119"/>
      <c r="AN962" s="208"/>
      <c r="AO962" s="119"/>
    </row>
    <row r="963" ht="15.75" customHeight="1"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215"/>
      <c r="P963" s="216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  <c r="AA963" s="119"/>
      <c r="AB963" s="119"/>
      <c r="AC963" s="119"/>
      <c r="AD963" s="119"/>
      <c r="AE963" s="119"/>
      <c r="AF963" s="119"/>
      <c r="AM963" s="119"/>
      <c r="AN963" s="208"/>
      <c r="AO963" s="119"/>
    </row>
    <row r="964" ht="15.75" customHeight="1"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215"/>
      <c r="P964" s="216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  <c r="AA964" s="119"/>
      <c r="AB964" s="119"/>
      <c r="AC964" s="119"/>
      <c r="AD964" s="119"/>
      <c r="AE964" s="119"/>
      <c r="AF964" s="119"/>
      <c r="AM964" s="119"/>
      <c r="AN964" s="208"/>
      <c r="AO964" s="119"/>
    </row>
    <row r="965" ht="15.75" customHeight="1"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215"/>
      <c r="P965" s="216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  <c r="AA965" s="119"/>
      <c r="AB965" s="119"/>
      <c r="AC965" s="119"/>
      <c r="AD965" s="119"/>
      <c r="AE965" s="119"/>
      <c r="AF965" s="119"/>
      <c r="AM965" s="119"/>
      <c r="AN965" s="208"/>
      <c r="AO965" s="119"/>
    </row>
    <row r="966" ht="15.75" customHeight="1"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215"/>
      <c r="P966" s="216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  <c r="AA966" s="119"/>
      <c r="AB966" s="119"/>
      <c r="AC966" s="119"/>
      <c r="AD966" s="119"/>
      <c r="AE966" s="119"/>
      <c r="AF966" s="119"/>
      <c r="AM966" s="119"/>
      <c r="AN966" s="208"/>
      <c r="AO966" s="119"/>
    </row>
    <row r="967" ht="15.75" customHeight="1"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215"/>
      <c r="P967" s="216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  <c r="AA967" s="119"/>
      <c r="AB967" s="119"/>
      <c r="AC967" s="119"/>
      <c r="AD967" s="119"/>
      <c r="AE967" s="119"/>
      <c r="AF967" s="119"/>
      <c r="AM967" s="119"/>
      <c r="AN967" s="208"/>
      <c r="AO967" s="119"/>
    </row>
    <row r="968" ht="15.75" customHeight="1"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215"/>
      <c r="P968" s="216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  <c r="AA968" s="119"/>
      <c r="AB968" s="119"/>
      <c r="AC968" s="119"/>
      <c r="AD968" s="119"/>
      <c r="AE968" s="119"/>
      <c r="AF968" s="119"/>
      <c r="AM968" s="119"/>
      <c r="AN968" s="208"/>
      <c r="AO968" s="119"/>
    </row>
    <row r="969" ht="15.75" customHeight="1"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215"/>
      <c r="P969" s="216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  <c r="AA969" s="119"/>
      <c r="AB969" s="119"/>
      <c r="AC969" s="119"/>
      <c r="AD969" s="119"/>
      <c r="AE969" s="119"/>
      <c r="AF969" s="119"/>
      <c r="AM969" s="119"/>
      <c r="AN969" s="208"/>
      <c r="AO969" s="119"/>
    </row>
    <row r="970" ht="15.75" customHeight="1"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215"/>
      <c r="P970" s="216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  <c r="AA970" s="119"/>
      <c r="AB970" s="119"/>
      <c r="AC970" s="119"/>
      <c r="AD970" s="119"/>
      <c r="AE970" s="119"/>
      <c r="AF970" s="119"/>
      <c r="AM970" s="119"/>
      <c r="AN970" s="208"/>
      <c r="AO970" s="119"/>
    </row>
    <row r="971" ht="15.75" customHeight="1"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215"/>
      <c r="P971" s="216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  <c r="AA971" s="119"/>
      <c r="AB971" s="119"/>
      <c r="AC971" s="119"/>
      <c r="AD971" s="119"/>
      <c r="AE971" s="119"/>
      <c r="AF971" s="119"/>
      <c r="AM971" s="119"/>
      <c r="AN971" s="208"/>
      <c r="AO971" s="119"/>
    </row>
    <row r="972" ht="15.75" customHeight="1"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215"/>
      <c r="P972" s="216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  <c r="AA972" s="119"/>
      <c r="AB972" s="119"/>
      <c r="AC972" s="119"/>
      <c r="AD972" s="119"/>
      <c r="AE972" s="119"/>
      <c r="AF972" s="119"/>
      <c r="AM972" s="119"/>
      <c r="AN972" s="208"/>
      <c r="AO972" s="119"/>
    </row>
    <row r="973" ht="15.75" customHeight="1"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215"/>
      <c r="P973" s="216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  <c r="AA973" s="119"/>
      <c r="AB973" s="119"/>
      <c r="AC973" s="119"/>
      <c r="AD973" s="119"/>
      <c r="AE973" s="119"/>
      <c r="AF973" s="119"/>
      <c r="AM973" s="119"/>
      <c r="AN973" s="208"/>
      <c r="AO973" s="119"/>
    </row>
    <row r="974" ht="15.75" customHeight="1"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215"/>
      <c r="P974" s="216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  <c r="AA974" s="119"/>
      <c r="AB974" s="119"/>
      <c r="AC974" s="119"/>
      <c r="AD974" s="119"/>
      <c r="AE974" s="119"/>
      <c r="AF974" s="119"/>
      <c r="AM974" s="119"/>
      <c r="AN974" s="208"/>
      <c r="AO974" s="119"/>
    </row>
    <row r="975" ht="15.75" customHeight="1"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215"/>
      <c r="P975" s="216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  <c r="AA975" s="119"/>
      <c r="AB975" s="119"/>
      <c r="AC975" s="119"/>
      <c r="AD975" s="119"/>
      <c r="AE975" s="119"/>
      <c r="AF975" s="119"/>
      <c r="AM975" s="119"/>
      <c r="AN975" s="208"/>
      <c r="AO975" s="119"/>
    </row>
    <row r="976" ht="15.75" customHeight="1"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215"/>
      <c r="P976" s="216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  <c r="AA976" s="119"/>
      <c r="AB976" s="119"/>
      <c r="AC976" s="119"/>
      <c r="AD976" s="119"/>
      <c r="AE976" s="119"/>
      <c r="AF976" s="119"/>
      <c r="AM976" s="119"/>
      <c r="AN976" s="208"/>
      <c r="AO976" s="119"/>
    </row>
    <row r="977" ht="15.75" customHeight="1"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215"/>
      <c r="P977" s="216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  <c r="AA977" s="119"/>
      <c r="AB977" s="119"/>
      <c r="AC977" s="119"/>
      <c r="AD977" s="119"/>
      <c r="AE977" s="119"/>
      <c r="AF977" s="119"/>
      <c r="AM977" s="119"/>
      <c r="AN977" s="208"/>
      <c r="AO977" s="119"/>
    </row>
    <row r="978" ht="15.75" customHeight="1"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215"/>
      <c r="P978" s="216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  <c r="AA978" s="119"/>
      <c r="AB978" s="119"/>
      <c r="AC978" s="119"/>
      <c r="AD978" s="119"/>
      <c r="AE978" s="119"/>
      <c r="AF978" s="119"/>
      <c r="AM978" s="119"/>
      <c r="AN978" s="208"/>
      <c r="AO978" s="119"/>
    </row>
    <row r="979" ht="15.75" customHeight="1"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215"/>
      <c r="P979" s="216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  <c r="AA979" s="119"/>
      <c r="AB979" s="119"/>
      <c r="AC979" s="119"/>
      <c r="AD979" s="119"/>
      <c r="AE979" s="119"/>
      <c r="AF979" s="119"/>
      <c r="AM979" s="119"/>
      <c r="AN979" s="208"/>
      <c r="AO979" s="119"/>
    </row>
    <row r="980" ht="15.75" customHeight="1"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215"/>
      <c r="P980" s="216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  <c r="AA980" s="119"/>
      <c r="AB980" s="119"/>
      <c r="AC980" s="119"/>
      <c r="AD980" s="119"/>
      <c r="AE980" s="119"/>
      <c r="AF980" s="119"/>
      <c r="AM980" s="119"/>
      <c r="AN980" s="208"/>
      <c r="AO980" s="119"/>
    </row>
    <row r="981" ht="15.75" customHeight="1"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215"/>
      <c r="P981" s="216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  <c r="AA981" s="119"/>
      <c r="AB981" s="119"/>
      <c r="AC981" s="119"/>
      <c r="AD981" s="119"/>
      <c r="AE981" s="119"/>
      <c r="AF981" s="119"/>
      <c r="AM981" s="119"/>
      <c r="AN981" s="208"/>
      <c r="AO981" s="119"/>
    </row>
    <row r="982" ht="15.75" customHeight="1"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215"/>
      <c r="P982" s="216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  <c r="AA982" s="119"/>
      <c r="AB982" s="119"/>
      <c r="AC982" s="119"/>
      <c r="AD982" s="119"/>
      <c r="AE982" s="119"/>
      <c r="AF982" s="119"/>
      <c r="AM982" s="119"/>
      <c r="AN982" s="208"/>
      <c r="AO982" s="119"/>
    </row>
    <row r="983" ht="15.75" customHeight="1"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215"/>
      <c r="P983" s="216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  <c r="AA983" s="119"/>
      <c r="AB983" s="119"/>
      <c r="AC983" s="119"/>
      <c r="AD983" s="119"/>
      <c r="AE983" s="119"/>
      <c r="AF983" s="119"/>
      <c r="AM983" s="119"/>
      <c r="AN983" s="208"/>
      <c r="AO983" s="119"/>
    </row>
    <row r="984" ht="15.75" customHeight="1"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215"/>
      <c r="P984" s="216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  <c r="AA984" s="119"/>
      <c r="AB984" s="119"/>
      <c r="AC984" s="119"/>
      <c r="AD984" s="119"/>
      <c r="AE984" s="119"/>
      <c r="AF984" s="119"/>
      <c r="AM984" s="119"/>
      <c r="AN984" s="208"/>
      <c r="AO984" s="119"/>
    </row>
    <row r="985" ht="15.75" customHeight="1"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215"/>
      <c r="P985" s="216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  <c r="AA985" s="119"/>
      <c r="AB985" s="119"/>
      <c r="AC985" s="119"/>
      <c r="AD985" s="119"/>
      <c r="AE985" s="119"/>
      <c r="AF985" s="119"/>
      <c r="AM985" s="119"/>
      <c r="AN985" s="208"/>
      <c r="AO985" s="119"/>
    </row>
    <row r="986" ht="15.75" customHeight="1"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215"/>
      <c r="P986" s="216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  <c r="AA986" s="119"/>
      <c r="AB986" s="119"/>
      <c r="AC986" s="119"/>
      <c r="AD986" s="119"/>
      <c r="AE986" s="119"/>
      <c r="AF986" s="119"/>
      <c r="AM986" s="119"/>
      <c r="AN986" s="208"/>
      <c r="AO986" s="119"/>
    </row>
    <row r="987" ht="15.75" customHeight="1"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215"/>
      <c r="P987" s="216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  <c r="AA987" s="119"/>
      <c r="AB987" s="119"/>
      <c r="AC987" s="119"/>
      <c r="AD987" s="119"/>
      <c r="AE987" s="119"/>
      <c r="AF987" s="119"/>
      <c r="AM987" s="119"/>
      <c r="AN987" s="208"/>
      <c r="AO987" s="119"/>
    </row>
    <row r="988" ht="15.75" customHeight="1"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215"/>
      <c r="P988" s="216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  <c r="AA988" s="119"/>
      <c r="AB988" s="119"/>
      <c r="AC988" s="119"/>
      <c r="AD988" s="119"/>
      <c r="AE988" s="119"/>
      <c r="AF988" s="119"/>
      <c r="AM988" s="119"/>
      <c r="AN988" s="208"/>
      <c r="AO988" s="119"/>
    </row>
    <row r="989" ht="15.75" customHeight="1"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215"/>
      <c r="P989" s="216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  <c r="AA989" s="119"/>
      <c r="AB989" s="119"/>
      <c r="AC989" s="119"/>
      <c r="AD989" s="119"/>
      <c r="AE989" s="119"/>
      <c r="AF989" s="119"/>
      <c r="AM989" s="119"/>
      <c r="AN989" s="208"/>
      <c r="AO989" s="119"/>
    </row>
    <row r="990" ht="15.75" customHeight="1"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215"/>
      <c r="P990" s="216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  <c r="AA990" s="119"/>
      <c r="AB990" s="119"/>
      <c r="AC990" s="119"/>
      <c r="AD990" s="119"/>
      <c r="AE990" s="119"/>
      <c r="AF990" s="119"/>
      <c r="AM990" s="119"/>
      <c r="AN990" s="208"/>
      <c r="AO990" s="119"/>
    </row>
    <row r="991" ht="15.75" customHeight="1"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215"/>
      <c r="P991" s="216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  <c r="AA991" s="119"/>
      <c r="AB991" s="119"/>
      <c r="AC991" s="119"/>
      <c r="AD991" s="119"/>
      <c r="AE991" s="119"/>
      <c r="AF991" s="119"/>
      <c r="AM991" s="119"/>
      <c r="AN991" s="208"/>
      <c r="AO991" s="119"/>
    </row>
    <row r="992" ht="15.75" customHeight="1"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215"/>
      <c r="P992" s="216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  <c r="AA992" s="119"/>
      <c r="AB992" s="119"/>
      <c r="AC992" s="119"/>
      <c r="AD992" s="119"/>
      <c r="AE992" s="119"/>
      <c r="AF992" s="119"/>
      <c r="AM992" s="119"/>
      <c r="AN992" s="208"/>
      <c r="AO992" s="119"/>
    </row>
    <row r="993" ht="15.75" customHeight="1"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215"/>
      <c r="P993" s="216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  <c r="AA993" s="119"/>
      <c r="AB993" s="119"/>
      <c r="AC993" s="119"/>
      <c r="AD993" s="119"/>
      <c r="AE993" s="119"/>
      <c r="AF993" s="119"/>
      <c r="AM993" s="119"/>
      <c r="AN993" s="208"/>
      <c r="AO993" s="119"/>
    </row>
    <row r="994" ht="15.75" customHeight="1"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215"/>
      <c r="P994" s="216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  <c r="AA994" s="119"/>
      <c r="AB994" s="119"/>
      <c r="AC994" s="119"/>
      <c r="AD994" s="119"/>
      <c r="AE994" s="119"/>
      <c r="AF994" s="119"/>
      <c r="AM994" s="119"/>
      <c r="AN994" s="208"/>
      <c r="AO994" s="119"/>
    </row>
    <row r="995" ht="15.75" customHeight="1"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215"/>
      <c r="P995" s="216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  <c r="AA995" s="119"/>
      <c r="AB995" s="119"/>
      <c r="AC995" s="119"/>
      <c r="AD995" s="119"/>
      <c r="AE995" s="119"/>
      <c r="AF995" s="119"/>
      <c r="AM995" s="119"/>
      <c r="AN995" s="208"/>
      <c r="AO995" s="119"/>
    </row>
    <row r="996" ht="15.75" customHeight="1"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215"/>
      <c r="P996" s="216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  <c r="AA996" s="119"/>
      <c r="AB996" s="119"/>
      <c r="AC996" s="119"/>
      <c r="AD996" s="119"/>
      <c r="AE996" s="119"/>
      <c r="AF996" s="119"/>
      <c r="AM996" s="119"/>
      <c r="AN996" s="208"/>
      <c r="AO996" s="119"/>
    </row>
    <row r="997" ht="15.75" customHeight="1"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215"/>
      <c r="P997" s="216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  <c r="AA997" s="119"/>
      <c r="AB997" s="119"/>
      <c r="AC997" s="119"/>
      <c r="AD997" s="119"/>
      <c r="AE997" s="119"/>
      <c r="AF997" s="119"/>
      <c r="AM997" s="119"/>
      <c r="AN997" s="208"/>
      <c r="AO997" s="119"/>
    </row>
    <row r="998" ht="15.75" customHeight="1"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215"/>
      <c r="P998" s="216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  <c r="AA998" s="119"/>
      <c r="AB998" s="119"/>
      <c r="AC998" s="119"/>
      <c r="AD998" s="119"/>
      <c r="AE998" s="119"/>
      <c r="AF998" s="119"/>
      <c r="AM998" s="119"/>
      <c r="AN998" s="208"/>
      <c r="AO998" s="119"/>
    </row>
  </sheetData>
  <mergeCells count="5">
    <mergeCell ref="C1:H1"/>
    <mergeCell ref="J1:N1"/>
    <mergeCell ref="P1:T1"/>
    <mergeCell ref="V1:Z1"/>
    <mergeCell ref="AB1:AF1"/>
  </mergeCells>
  <conditionalFormatting sqref="AL3:AL15 AL17:AL26 Q28:AJ28">
    <cfRule type="cellIs" dxfId="0" priority="1" operator="equal">
      <formula>0</formula>
    </cfRule>
  </conditionalFormatting>
  <conditionalFormatting sqref="AL3:AL15 AL17:AL26 Q28:AJ28">
    <cfRule type="cellIs" dxfId="1" priority="2" operator="greaterThan">
      <formula>0</formula>
    </cfRule>
  </conditionalFormatting>
  <conditionalFormatting sqref="AL3:AL15 AL17:AL26 Q28:AJ28">
    <cfRule type="cellIs" dxfId="2" priority="3" operator="lessThan">
      <formula>0</formula>
    </cfRule>
  </conditionalFormatting>
  <printOptions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4.57"/>
    <col customWidth="1" min="3" max="3" width="25.43"/>
    <col customWidth="1" min="4" max="4" width="11.0"/>
    <col customWidth="1" min="5" max="5" width="25.57"/>
    <col customWidth="1" min="6" max="6" width="11.14"/>
    <col customWidth="1" min="7" max="7" width="29.29"/>
    <col customWidth="1" min="8" max="8" width="9.14"/>
    <col customWidth="1" min="9" max="9" width="27.57"/>
    <col customWidth="1" min="10" max="10" width="8.71"/>
    <col customWidth="1" min="11" max="11" width="20.71"/>
    <col customWidth="1" min="12" max="13" width="8.71"/>
  </cols>
  <sheetData>
    <row r="1">
      <c r="A1" s="1"/>
      <c r="B1" s="3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"/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7" t="s">
        <v>1</v>
      </c>
      <c r="B3" s="17" t="s">
        <v>20</v>
      </c>
      <c r="C3" s="17" t="s">
        <v>4</v>
      </c>
      <c r="D3" s="17" t="s">
        <v>21</v>
      </c>
      <c r="E3" s="17" t="s">
        <v>5</v>
      </c>
      <c r="F3" s="17" t="s">
        <v>21</v>
      </c>
      <c r="G3" s="17" t="s">
        <v>6</v>
      </c>
      <c r="H3" s="17" t="s">
        <v>21</v>
      </c>
      <c r="I3" s="17" t="s">
        <v>22</v>
      </c>
      <c r="J3" s="17" t="s">
        <v>21</v>
      </c>
      <c r="K3" s="17" t="s">
        <v>8</v>
      </c>
      <c r="L3" s="17" t="s">
        <v>21</v>
      </c>
      <c r="M3" s="17" t="s">
        <v>23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23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3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34">
        <v>1290.0</v>
      </c>
      <c r="B5" s="37" t="s">
        <v>28</v>
      </c>
      <c r="C5" s="38" t="s">
        <v>31</v>
      </c>
      <c r="D5" s="41">
        <v>0.0</v>
      </c>
      <c r="E5" s="38" t="s">
        <v>31</v>
      </c>
      <c r="F5" s="41">
        <v>0.0</v>
      </c>
      <c r="G5" s="43" t="s">
        <v>31</v>
      </c>
      <c r="H5" s="44">
        <v>0.0</v>
      </c>
      <c r="I5" s="43" t="s">
        <v>31</v>
      </c>
      <c r="J5" s="44">
        <v>0.0</v>
      </c>
      <c r="K5" s="47"/>
      <c r="L5" s="49"/>
      <c r="M5" s="59">
        <f t="shared" ref="M5:M15" si="1">SUM(D5,F5,H5,J5,L5)</f>
        <v>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15.75" customHeight="1">
      <c r="A6" s="34">
        <v>1294.0</v>
      </c>
      <c r="B6" s="61" t="s">
        <v>47</v>
      </c>
      <c r="C6" s="38" t="s">
        <v>48</v>
      </c>
      <c r="D6" s="41">
        <v>7.75</v>
      </c>
      <c r="E6" s="38" t="s">
        <v>48</v>
      </c>
      <c r="F6" s="41">
        <v>7.75</v>
      </c>
      <c r="G6" s="38" t="s">
        <v>48</v>
      </c>
      <c r="H6" s="63">
        <v>7.75</v>
      </c>
      <c r="I6" s="64" t="s">
        <v>49</v>
      </c>
      <c r="J6" s="44">
        <v>0.0</v>
      </c>
      <c r="K6" s="47"/>
      <c r="L6" s="49"/>
      <c r="M6" s="59">
        <f t="shared" si="1"/>
        <v>23.25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5.75" customHeight="1">
      <c r="A7" s="34">
        <v>1175.0</v>
      </c>
      <c r="B7" s="61" t="s">
        <v>50</v>
      </c>
      <c r="C7" s="38" t="s">
        <v>48</v>
      </c>
      <c r="D7" s="41">
        <v>7.75</v>
      </c>
      <c r="E7" s="43" t="s">
        <v>51</v>
      </c>
      <c r="F7" s="41">
        <v>5.15</v>
      </c>
      <c r="G7" s="43" t="s">
        <v>48</v>
      </c>
      <c r="H7" s="63">
        <v>7.75</v>
      </c>
      <c r="I7" s="43" t="s">
        <v>49</v>
      </c>
      <c r="J7" s="44">
        <v>0.0</v>
      </c>
      <c r="K7" s="47"/>
      <c r="L7" s="49"/>
      <c r="M7" s="59">
        <f t="shared" si="1"/>
        <v>20.65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5.75" customHeight="1">
      <c r="A8" s="34">
        <v>1295.0</v>
      </c>
      <c r="B8" s="61" t="s">
        <v>53</v>
      </c>
      <c r="C8" s="38" t="s">
        <v>49</v>
      </c>
      <c r="D8" s="41">
        <v>0.0</v>
      </c>
      <c r="E8" s="38" t="s">
        <v>49</v>
      </c>
      <c r="F8" s="41">
        <v>0.0</v>
      </c>
      <c r="G8" s="43" t="s">
        <v>54</v>
      </c>
      <c r="H8" s="63">
        <v>0.0</v>
      </c>
      <c r="I8" s="43" t="s">
        <v>54</v>
      </c>
      <c r="J8" s="44">
        <v>0.0</v>
      </c>
      <c r="K8" s="47"/>
      <c r="L8" s="49"/>
      <c r="M8" s="59">
        <f t="shared" si="1"/>
        <v>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5.75" customHeight="1">
      <c r="A9" s="34">
        <v>1291.0</v>
      </c>
      <c r="B9" s="61" t="s">
        <v>52</v>
      </c>
      <c r="C9" s="38" t="s">
        <v>48</v>
      </c>
      <c r="D9" s="41">
        <v>7.75</v>
      </c>
      <c r="E9" s="38" t="s">
        <v>48</v>
      </c>
      <c r="F9" s="41">
        <v>7.75</v>
      </c>
      <c r="G9" s="38" t="s">
        <v>48</v>
      </c>
      <c r="H9" s="44">
        <v>7.75</v>
      </c>
      <c r="I9" s="64" t="s">
        <v>55</v>
      </c>
      <c r="J9" s="44">
        <v>7.75</v>
      </c>
      <c r="K9" s="47"/>
      <c r="L9" s="49"/>
      <c r="M9" s="59">
        <f t="shared" si="1"/>
        <v>31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5.75" customHeight="1">
      <c r="A10" s="34">
        <v>1298.0</v>
      </c>
      <c r="B10" s="61" t="s">
        <v>56</v>
      </c>
      <c r="C10" s="38" t="s">
        <v>49</v>
      </c>
      <c r="D10" s="41">
        <v>0.0</v>
      </c>
      <c r="E10" s="38" t="s">
        <v>57</v>
      </c>
      <c r="F10" s="41">
        <v>7.0</v>
      </c>
      <c r="G10" s="38" t="s">
        <v>58</v>
      </c>
      <c r="H10" s="44">
        <v>7.15</v>
      </c>
      <c r="I10" s="64" t="s">
        <v>57</v>
      </c>
      <c r="J10" s="44">
        <v>7.5</v>
      </c>
      <c r="K10" s="69"/>
      <c r="L10" s="49"/>
      <c r="M10" s="59">
        <f t="shared" si="1"/>
        <v>21.65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5.75" customHeight="1">
      <c r="A11" s="34">
        <v>1300.0</v>
      </c>
      <c r="B11" s="61" t="s">
        <v>60</v>
      </c>
      <c r="C11" s="38" t="s">
        <v>61</v>
      </c>
      <c r="D11" s="41">
        <v>8.0</v>
      </c>
      <c r="E11" s="38" t="s">
        <v>62</v>
      </c>
      <c r="F11" s="41">
        <v>7.75</v>
      </c>
      <c r="G11" s="38" t="s">
        <v>62</v>
      </c>
      <c r="H11" s="44">
        <v>7.75</v>
      </c>
      <c r="I11" s="64" t="s">
        <v>61</v>
      </c>
      <c r="J11" s="44">
        <v>8.0</v>
      </c>
      <c r="K11" s="69"/>
      <c r="L11" s="49"/>
      <c r="M11" s="59">
        <f t="shared" si="1"/>
        <v>31.5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5.75" customHeight="1">
      <c r="A12" s="34">
        <v>1301.0</v>
      </c>
      <c r="B12" s="61" t="s">
        <v>63</v>
      </c>
      <c r="C12" s="38" t="s">
        <v>64</v>
      </c>
      <c r="D12" s="41">
        <v>7.75</v>
      </c>
      <c r="E12" s="38" t="s">
        <v>65</v>
      </c>
      <c r="F12" s="41">
        <v>7.0</v>
      </c>
      <c r="G12" s="64" t="s">
        <v>49</v>
      </c>
      <c r="H12" s="44">
        <v>0.0</v>
      </c>
      <c r="I12" s="64" t="s">
        <v>66</v>
      </c>
      <c r="J12" s="44">
        <v>5.75</v>
      </c>
      <c r="K12" s="69"/>
      <c r="L12" s="49"/>
      <c r="M12" s="59">
        <f t="shared" si="1"/>
        <v>20.5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5.75" customHeight="1">
      <c r="A13" s="34">
        <v>1280.0</v>
      </c>
      <c r="B13" s="61" t="s">
        <v>67</v>
      </c>
      <c r="C13" s="38" t="s">
        <v>68</v>
      </c>
      <c r="D13" s="41">
        <v>7.5</v>
      </c>
      <c r="E13" s="38" t="s">
        <v>65</v>
      </c>
      <c r="F13" s="41">
        <v>7.0</v>
      </c>
      <c r="G13" s="38" t="s">
        <v>69</v>
      </c>
      <c r="H13" s="44">
        <v>6.75</v>
      </c>
      <c r="I13" s="64" t="s">
        <v>70</v>
      </c>
      <c r="J13" s="44">
        <v>7.5</v>
      </c>
      <c r="K13" s="69"/>
      <c r="L13" s="49"/>
      <c r="M13" s="59">
        <f t="shared" si="1"/>
        <v>28.75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5.75" customHeight="1">
      <c r="A14" s="34"/>
      <c r="B14" s="61"/>
      <c r="C14" s="77"/>
      <c r="D14" s="78"/>
      <c r="E14" s="79"/>
      <c r="F14" s="78"/>
      <c r="G14" s="79"/>
      <c r="H14" s="78"/>
      <c r="I14" s="79"/>
      <c r="J14" s="78"/>
      <c r="K14" s="79"/>
      <c r="L14" s="78"/>
      <c r="M14" s="59">
        <f t="shared" si="1"/>
        <v>0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5.75" customHeight="1">
      <c r="A15" s="34"/>
      <c r="B15" s="37"/>
      <c r="C15" s="77"/>
      <c r="D15" s="78"/>
      <c r="E15" s="79"/>
      <c r="F15" s="78"/>
      <c r="G15" s="79"/>
      <c r="H15" s="78"/>
      <c r="I15" s="79"/>
      <c r="J15" s="78"/>
      <c r="K15" s="79"/>
      <c r="L15" s="78"/>
      <c r="M15" s="59">
        <f t="shared" si="1"/>
        <v>0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5.75" customHeight="1">
      <c r="A16" s="83" t="s">
        <v>23</v>
      </c>
      <c r="B16" s="83" t="s">
        <v>72</v>
      </c>
      <c r="C16" s="84"/>
      <c r="D16" s="87">
        <f>SUM(D5:D15)</f>
        <v>46.5</v>
      </c>
      <c r="E16" s="88"/>
      <c r="F16" s="87">
        <f>SUM(F4:F15)</f>
        <v>49.4</v>
      </c>
      <c r="G16" s="88"/>
      <c r="H16" s="87">
        <f>SUM(H5:H15)</f>
        <v>44.9</v>
      </c>
      <c r="I16" s="92"/>
      <c r="J16" s="87">
        <f>SUM(J5:J15)</f>
        <v>36.5</v>
      </c>
      <c r="K16" s="92"/>
      <c r="L16" s="87">
        <f>SUM(L5:L15)</f>
        <v>0</v>
      </c>
      <c r="M16" s="95" t="str">
        <f>SUM(D16,F16,H16,J16,L16,#REF!)</f>
        <v>#REF!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5.75" customHeight="1">
      <c r="A17" s="97" t="s">
        <v>73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6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5.75" customHeight="1">
      <c r="A18" s="99"/>
      <c r="B18" s="100"/>
      <c r="C18" s="77"/>
      <c r="D18" s="78"/>
      <c r="E18" s="101"/>
      <c r="F18" s="102"/>
      <c r="G18" s="77"/>
      <c r="H18" s="102"/>
      <c r="I18" s="77"/>
      <c r="J18" s="78"/>
      <c r="K18" s="77"/>
      <c r="L18" s="78"/>
      <c r="M18" s="104">
        <f t="shared" ref="M18:M29" si="2">SUM(D18,F18,H18,J18,L18)</f>
        <v>0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5.75" customHeight="1">
      <c r="A19" s="99"/>
      <c r="B19" s="106"/>
      <c r="C19" s="77"/>
      <c r="D19" s="78"/>
      <c r="E19" s="77"/>
      <c r="F19" s="78"/>
      <c r="G19" s="77"/>
      <c r="H19" s="78"/>
      <c r="I19" s="79"/>
      <c r="J19" s="78"/>
      <c r="K19" s="79"/>
      <c r="L19" s="78"/>
      <c r="M19" s="104">
        <f t="shared" si="2"/>
        <v>0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5.75" customHeight="1">
      <c r="A20" s="99"/>
      <c r="B20" s="106"/>
      <c r="C20" s="77"/>
      <c r="D20" s="78"/>
      <c r="E20" s="108"/>
      <c r="F20" s="102"/>
      <c r="G20" s="108"/>
      <c r="H20" s="102"/>
      <c r="I20" s="77"/>
      <c r="J20" s="78"/>
      <c r="K20" s="77"/>
      <c r="L20" s="78"/>
      <c r="M20" s="104">
        <f t="shared" si="2"/>
        <v>0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99"/>
      <c r="B21" s="100"/>
      <c r="C21" s="77"/>
      <c r="D21" s="78"/>
      <c r="E21" s="79"/>
      <c r="F21" s="78"/>
      <c r="G21" s="79"/>
      <c r="H21" s="78"/>
      <c r="I21" s="77"/>
      <c r="J21" s="78"/>
      <c r="K21" s="77"/>
      <c r="L21" s="78"/>
      <c r="M21" s="104">
        <f t="shared" si="2"/>
        <v>0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99"/>
      <c r="B22" s="106"/>
      <c r="C22" s="77"/>
      <c r="D22" s="78"/>
      <c r="E22" s="79"/>
      <c r="F22" s="78"/>
      <c r="G22" s="79"/>
      <c r="H22" s="78"/>
      <c r="I22" s="77"/>
      <c r="J22" s="78"/>
      <c r="K22" s="77"/>
      <c r="L22" s="78"/>
      <c r="M22" s="104">
        <f t="shared" si="2"/>
        <v>0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99"/>
      <c r="B23" s="106"/>
      <c r="C23" s="108"/>
      <c r="D23" s="102"/>
      <c r="E23" s="77"/>
      <c r="F23" s="78"/>
      <c r="G23" s="77"/>
      <c r="H23" s="78"/>
      <c r="I23" s="77"/>
      <c r="J23" s="78"/>
      <c r="K23" s="77"/>
      <c r="L23" s="78"/>
      <c r="M23" s="104">
        <f t="shared" si="2"/>
        <v>0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99"/>
      <c r="B24" s="106"/>
      <c r="C24" s="77"/>
      <c r="D24" s="78"/>
      <c r="E24" s="79"/>
      <c r="F24" s="78"/>
      <c r="G24" s="79"/>
      <c r="H24" s="78"/>
      <c r="I24" s="79"/>
      <c r="J24" s="78"/>
      <c r="K24" s="79"/>
      <c r="L24" s="78"/>
      <c r="M24" s="104">
        <f t="shared" si="2"/>
        <v>0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99"/>
      <c r="B25" s="100"/>
      <c r="C25" s="77"/>
      <c r="D25" s="78"/>
      <c r="E25" s="79"/>
      <c r="F25" s="78"/>
      <c r="G25" s="79"/>
      <c r="H25" s="78"/>
      <c r="I25" s="77"/>
      <c r="J25" s="78"/>
      <c r="K25" s="77"/>
      <c r="L25" s="78"/>
      <c r="M25" s="104">
        <f t="shared" si="2"/>
        <v>0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99"/>
      <c r="B26" s="100"/>
      <c r="C26" s="77"/>
      <c r="D26" s="78"/>
      <c r="E26" s="79"/>
      <c r="F26" s="78"/>
      <c r="G26" s="79"/>
      <c r="H26" s="78"/>
      <c r="I26" s="77"/>
      <c r="J26" s="78"/>
      <c r="K26" s="77"/>
      <c r="L26" s="78"/>
      <c r="M26" s="104">
        <f t="shared" si="2"/>
        <v>0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99"/>
      <c r="B27" s="100"/>
      <c r="C27" s="77"/>
      <c r="D27" s="78"/>
      <c r="E27" s="79"/>
      <c r="F27" s="78"/>
      <c r="G27" s="77"/>
      <c r="H27" s="78"/>
      <c r="I27" s="77"/>
      <c r="J27" s="78"/>
      <c r="K27" s="77"/>
      <c r="L27" s="78"/>
      <c r="M27" s="104">
        <f t="shared" si="2"/>
        <v>0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99"/>
      <c r="B28" s="106"/>
      <c r="C28" s="77"/>
      <c r="D28" s="78"/>
      <c r="E28" s="79"/>
      <c r="F28" s="78"/>
      <c r="G28" s="79"/>
      <c r="H28" s="78"/>
      <c r="I28" s="77"/>
      <c r="J28" s="78"/>
      <c r="K28" s="77"/>
      <c r="L28" s="78"/>
      <c r="M28" s="104">
        <f t="shared" si="2"/>
        <v>0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99"/>
      <c r="B29" s="106"/>
      <c r="C29" s="108"/>
      <c r="D29" s="102"/>
      <c r="E29" s="79"/>
      <c r="F29" s="78"/>
      <c r="G29" s="79"/>
      <c r="H29" s="78"/>
      <c r="I29" s="77"/>
      <c r="J29" s="78"/>
      <c r="K29" s="77"/>
      <c r="L29" s="78"/>
      <c r="M29" s="104">
        <f t="shared" si="2"/>
        <v>0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97" t="s">
        <v>78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6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99"/>
      <c r="B31" s="100"/>
      <c r="C31" s="77"/>
      <c r="D31" s="102"/>
      <c r="E31" s="108"/>
      <c r="F31" s="102"/>
      <c r="G31" s="77"/>
      <c r="H31" s="78"/>
      <c r="I31" s="79"/>
      <c r="J31" s="78"/>
      <c r="K31" s="79"/>
      <c r="L31" s="78"/>
      <c r="M31" s="104">
        <f t="shared" ref="M31:M35" si="3">SUM(D31,F31,H31,J31,L31)</f>
        <v>0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90"/>
      <c r="B32" s="93"/>
      <c r="C32" s="108"/>
      <c r="D32" s="102"/>
      <c r="E32" s="79"/>
      <c r="F32" s="78"/>
      <c r="G32" s="79"/>
      <c r="H32" s="78"/>
      <c r="I32" s="79"/>
      <c r="J32" s="78"/>
      <c r="K32" s="79"/>
      <c r="L32" s="78"/>
      <c r="M32" s="104">
        <f t="shared" si="3"/>
        <v>0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99"/>
      <c r="B33" s="100"/>
      <c r="C33" s="108"/>
      <c r="D33" s="102"/>
      <c r="E33" s="79"/>
      <c r="F33" s="78"/>
      <c r="G33" s="79"/>
      <c r="H33" s="78"/>
      <c r="I33" s="79"/>
      <c r="J33" s="78"/>
      <c r="K33" s="79"/>
      <c r="L33" s="78"/>
      <c r="M33" s="104">
        <f t="shared" si="3"/>
        <v>0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99"/>
      <c r="B34" s="100"/>
      <c r="C34" s="77"/>
      <c r="D34" s="102"/>
      <c r="E34" s="101"/>
      <c r="F34" s="115"/>
      <c r="G34" s="101"/>
      <c r="H34" s="115"/>
      <c r="I34" s="116"/>
      <c r="J34" s="117"/>
      <c r="K34" s="79"/>
      <c r="L34" s="78"/>
      <c r="M34" s="104">
        <f t="shared" si="3"/>
        <v>0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99"/>
      <c r="B35" s="100"/>
      <c r="C35" s="77"/>
      <c r="D35" s="102"/>
      <c r="E35" s="101"/>
      <c r="F35" s="115"/>
      <c r="G35" s="101"/>
      <c r="H35" s="115"/>
      <c r="I35" s="116"/>
      <c r="J35" s="117"/>
      <c r="K35" s="116"/>
      <c r="L35" s="117"/>
      <c r="M35" s="104">
        <f t="shared" si="3"/>
        <v>0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97" t="s">
        <v>79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6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99"/>
      <c r="B37" s="100"/>
      <c r="C37" s="77"/>
      <c r="D37" s="102"/>
      <c r="E37" s="101"/>
      <c r="F37" s="115"/>
      <c r="G37" s="101"/>
      <c r="H37" s="115"/>
      <c r="I37" s="116"/>
      <c r="J37" s="117"/>
      <c r="K37" s="116"/>
      <c r="L37" s="117"/>
      <c r="M37" s="59">
        <f t="shared" ref="M37:M42" si="4">SUM(D37,F37,H37,J37,L37)</f>
        <v>0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99"/>
      <c r="B38" s="100"/>
      <c r="C38" s="77"/>
      <c r="D38" s="102"/>
      <c r="E38" s="101"/>
      <c r="F38" s="115"/>
      <c r="G38" s="101"/>
      <c r="H38" s="115"/>
      <c r="I38" s="116"/>
      <c r="J38" s="117"/>
      <c r="K38" s="116"/>
      <c r="L38" s="117"/>
      <c r="M38" s="59">
        <f t="shared" si="4"/>
        <v>0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99"/>
      <c r="B39" s="100"/>
      <c r="C39" s="77"/>
      <c r="D39" s="102"/>
      <c r="E39" s="101"/>
      <c r="F39" s="115"/>
      <c r="G39" s="101"/>
      <c r="H39" s="115"/>
      <c r="I39" s="116"/>
      <c r="J39" s="117"/>
      <c r="K39" s="116"/>
      <c r="L39" s="117"/>
      <c r="M39" s="59">
        <f t="shared" si="4"/>
        <v>0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7" t="s">
        <v>23</v>
      </c>
      <c r="B40" s="17" t="s">
        <v>72</v>
      </c>
      <c r="C40" s="17"/>
      <c r="D40" s="121">
        <f>SUM(D18:D39,D5:D15)</f>
        <v>46.5</v>
      </c>
      <c r="E40" s="122"/>
      <c r="F40" s="121">
        <f>SUM(F18:F39,F5:F15)</f>
        <v>49.4</v>
      </c>
      <c r="G40" s="122"/>
      <c r="H40" s="121">
        <f>SUM(H18:H39,H5:H15)</f>
        <v>44.9</v>
      </c>
      <c r="I40" s="122"/>
      <c r="J40" s="121">
        <f>SUM(J18:J39,J5:J15)</f>
        <v>36.5</v>
      </c>
      <c r="K40" s="122"/>
      <c r="L40" s="121">
        <f>SUM(L18:L39,L5:L15)</f>
        <v>0</v>
      </c>
      <c r="M40" s="59">
        <f t="shared" si="4"/>
        <v>177.3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7" t="s">
        <v>23</v>
      </c>
      <c r="B41" s="17" t="s">
        <v>81</v>
      </c>
      <c r="C41" s="123"/>
      <c r="D41" s="122"/>
      <c r="E41" s="123"/>
      <c r="F41" s="124"/>
      <c r="G41" s="123"/>
      <c r="H41" s="122"/>
      <c r="I41" s="123"/>
      <c r="J41" s="122"/>
      <c r="K41" s="123"/>
      <c r="L41" s="122"/>
      <c r="M41" s="59">
        <f t="shared" si="4"/>
        <v>0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7" t="s">
        <v>23</v>
      </c>
      <c r="B42" s="17" t="s">
        <v>83</v>
      </c>
      <c r="C42" s="123"/>
      <c r="D42" s="122"/>
      <c r="E42" s="123"/>
      <c r="F42" s="122"/>
      <c r="G42" s="123"/>
      <c r="H42" s="122"/>
      <c r="I42" s="123"/>
      <c r="J42" s="122"/>
      <c r="K42" s="123"/>
      <c r="L42" s="122"/>
      <c r="M42" s="122">
        <f t="shared" si="4"/>
        <v>0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</sheetData>
  <mergeCells count="4">
    <mergeCell ref="A4:M4"/>
    <mergeCell ref="A17:M17"/>
    <mergeCell ref="A30:M30"/>
    <mergeCell ref="A36:M3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7.0"/>
    <col customWidth="1" min="2" max="2" width="22.14"/>
    <col customWidth="1" min="3" max="7" width="7.0"/>
    <col customWidth="1" min="8" max="8" width="10.57"/>
    <col customWidth="1" min="9" max="9" width="2.0"/>
    <col customWidth="1" min="10" max="10" width="5.14"/>
    <col customWidth="1" min="11" max="14" width="7.0"/>
    <col customWidth="1" min="15" max="15" width="10.43"/>
    <col customWidth="1" min="16" max="16" width="25.71"/>
    <col customWidth="1" min="17" max="26" width="8.71"/>
  </cols>
  <sheetData>
    <row r="1" ht="15.75" customHeight="1">
      <c r="A1" s="7" t="s">
        <v>0</v>
      </c>
    </row>
    <row r="2" ht="15.0" customHeight="1">
      <c r="A2" s="12"/>
      <c r="B2" s="12"/>
      <c r="C2" s="19" t="s">
        <v>19</v>
      </c>
      <c r="D2" s="21"/>
      <c r="E2" s="21"/>
      <c r="F2" s="21"/>
      <c r="G2" s="21"/>
      <c r="H2" s="22"/>
      <c r="I2" s="12"/>
      <c r="J2" s="19" t="s">
        <v>24</v>
      </c>
      <c r="K2" s="21"/>
      <c r="L2" s="21"/>
      <c r="M2" s="21"/>
      <c r="N2" s="21"/>
      <c r="O2" s="22"/>
      <c r="P2" s="12"/>
    </row>
    <row r="3" ht="15.0" customHeight="1">
      <c r="A3" s="32" t="s">
        <v>1</v>
      </c>
      <c r="B3" s="32" t="s">
        <v>3</v>
      </c>
      <c r="C3" s="32" t="s">
        <v>25</v>
      </c>
      <c r="D3" s="32" t="s">
        <v>26</v>
      </c>
      <c r="E3" s="32" t="s">
        <v>27</v>
      </c>
      <c r="F3" s="32" t="s">
        <v>29</v>
      </c>
      <c r="G3" s="32" t="s">
        <v>30</v>
      </c>
      <c r="H3" s="32" t="s">
        <v>32</v>
      </c>
      <c r="I3" s="40"/>
      <c r="J3" s="32" t="s">
        <v>25</v>
      </c>
      <c r="K3" s="32" t="s">
        <v>26</v>
      </c>
      <c r="L3" s="32" t="s">
        <v>27</v>
      </c>
      <c r="M3" s="32" t="s">
        <v>29</v>
      </c>
      <c r="N3" s="32" t="s">
        <v>30</v>
      </c>
      <c r="O3" s="32" t="s">
        <v>35</v>
      </c>
      <c r="P3" s="32" t="s">
        <v>37</v>
      </c>
    </row>
    <row r="4" ht="15.0" customHeight="1">
      <c r="A4" s="50">
        <v>1291.0</v>
      </c>
      <c r="B4" s="47" t="s">
        <v>39</v>
      </c>
      <c r="C4" s="50">
        <f t="array" ref="C4">IFERROR(INDEX(Commercial!D$3:D$13,MATCH($A4,Commercial!$A$3:$A$13,0)),0)</f>
        <v>1</v>
      </c>
      <c r="D4" s="50">
        <f t="array" ref="D4">IFERROR(INDEX(Commercial!J$3:J$13,MATCH($A4,Commercial!$A$3:$A$13,0)),0)</f>
        <v>0</v>
      </c>
      <c r="E4" s="50">
        <f t="array" ref="E4">IFERROR(INDEX(Commercial!P$3:P$13,MATCH($A4,Commercial!$A$3:$A$13,0)),0)</f>
        <v>1</v>
      </c>
      <c r="F4" s="50">
        <f t="array" ref="F4">IFERROR(INDEX(Commercial!V$3:V$13,MATCH($A4,Commercial!$A$3:$A$13,0)),0)</f>
        <v>0</v>
      </c>
      <c r="G4" s="50" t="str">
        <f t="array" ref="G4">IFERROR(INDEX(Commercial!AB$3:AB$13,MATCH($A4,Commercial!$A$3:$A$13,0)),0)</f>
        <v/>
      </c>
      <c r="H4" s="89">
        <f t="shared" ref="H4:H15" si="1">SUM(C4:G4)</f>
        <v>2</v>
      </c>
      <c r="I4" s="12"/>
      <c r="J4" s="50">
        <f t="array" ref="J4">IFERROR(INDEX(Commercial!E$3:E$13,MATCH($A4,Commercial!$A$3:$A$13,0)),0)</f>
        <v>2</v>
      </c>
      <c r="K4" s="50">
        <f t="array" ref="K4">IFERROR(INDEX(Commercial!K$3:K$13,MATCH($A4,Commercial!$A$3:$A$13,0)),0)</f>
        <v>2</v>
      </c>
      <c r="L4" s="50">
        <f t="array" ref="L4">IFERROR(INDEX(Commercial!Q$3:Q$13,MATCH($A4,Commercial!$A$3:$A$13,0)),0)</f>
        <v>1</v>
      </c>
      <c r="M4" s="50">
        <f t="array" ref="M4">IFERROR(INDEX(Commercial!W$3:W$13,MATCH($A4,Commercial!$A$3:$A$13,0)),0)</f>
        <v>6</v>
      </c>
      <c r="N4" s="50">
        <f t="array" ref="N4">IFERROR(INDEX(Commercial!AC$3:AC$13,MATCH($A4,Commercial!$A$3:$A$13,0)),0)</f>
        <v>0</v>
      </c>
      <c r="O4" s="89">
        <f t="shared" ref="O4:O15" si="2">SUM(J4:N4)</f>
        <v>11</v>
      </c>
      <c r="P4" s="50">
        <f t="shared" ref="P4:P16" si="3">H4+O4</f>
        <v>13</v>
      </c>
    </row>
    <row r="5" ht="15.0" customHeight="1">
      <c r="A5" s="50">
        <v>1292.0</v>
      </c>
      <c r="B5" s="47" t="s">
        <v>77</v>
      </c>
      <c r="C5" s="50">
        <f t="array" ref="C5">IFERROR(INDEX(Commercial!D$3:D$13,MATCH($A5,Commercial!$A$3:$A$13,0)),0)</f>
        <v>0</v>
      </c>
      <c r="D5" s="50">
        <f t="array" ref="D5">IFERROR(INDEX(Commercial!J$3:J$13,MATCH($A5,Commercial!$A$3:$A$13,0)),0)</f>
        <v>0</v>
      </c>
      <c r="E5" s="50">
        <f t="array" ref="E5">IFERROR(INDEX(Commercial!P$3:P$13,MATCH($A5,Commercial!$A$3:$A$13,0)),0)</f>
        <v>0</v>
      </c>
      <c r="F5" s="50">
        <f t="array" ref="F5">IFERROR(INDEX(Commercial!V$3:V$13,MATCH($A5,Commercial!$A$3:$A$13,0)),0)</f>
        <v>0</v>
      </c>
      <c r="G5" s="50">
        <f t="array" ref="G5">IFERROR(INDEX(Commercial!AB$3:AB$13,MATCH($A5,Commercial!$A$3:$A$13,0)),0)</f>
        <v>0</v>
      </c>
      <c r="H5" s="89">
        <f t="shared" si="1"/>
        <v>0</v>
      </c>
      <c r="I5" s="12"/>
      <c r="J5" s="50">
        <f t="array" ref="J5">IFERROR(INDEX(Commercial!E$3:E$13,MATCH($A5,Commercial!$A$3:$A$13,0)),0)</f>
        <v>0</v>
      </c>
      <c r="K5" s="50">
        <f t="array" ref="K5">IFERROR(INDEX(Commercial!K$3:K$13,MATCH($A5,Commercial!$A$3:$A$13,0)),0)</f>
        <v>0</v>
      </c>
      <c r="L5" s="50">
        <f t="array" ref="L5">IFERROR(INDEX(Commercial!Q$3:Q$13,MATCH($A5,Commercial!$A$3:$A$13,0)),0)</f>
        <v>0</v>
      </c>
      <c r="M5" s="50">
        <f t="array" ref="M5">IFERROR(INDEX(Commercial!W$3:W$13,MATCH($A5,Commercial!$A$3:$A$13,0)),0)</f>
        <v>0</v>
      </c>
      <c r="N5" s="50">
        <f t="array" ref="N5">IFERROR(INDEX(Commercial!AC$3:AC$13,MATCH($A5,Commercial!$A$3:$A$13,0)),0)</f>
        <v>0</v>
      </c>
      <c r="O5" s="89">
        <f t="shared" si="2"/>
        <v>0</v>
      </c>
      <c r="P5" s="50">
        <f t="shared" si="3"/>
        <v>0</v>
      </c>
    </row>
    <row r="6" ht="15.0" customHeight="1">
      <c r="A6" s="50">
        <v>1295.0</v>
      </c>
      <c r="B6" s="47" t="s">
        <v>82</v>
      </c>
      <c r="C6" s="50">
        <f t="array" ref="C6">IFERROR(INDEX(Commercial!D$3:D$13,MATCH($A6,Commercial!$A$3:$A$13,0)),0)</f>
        <v>0</v>
      </c>
      <c r="D6" s="50">
        <f t="array" ref="D6">IFERROR(INDEX(Commercial!J$3:J$13,MATCH($A6,Commercial!$A$3:$A$13,0)),0)</f>
        <v>0</v>
      </c>
      <c r="E6" s="50">
        <f t="array" ref="E6">IFERROR(INDEX(Commercial!P$3:P$13,MATCH($A6,Commercial!$A$3:$A$13,0)),0)</f>
        <v>0</v>
      </c>
      <c r="F6" s="50">
        <f t="array" ref="F6">IFERROR(INDEX(Commercial!V$3:V$13,MATCH($A6,Commercial!$A$3:$A$13,0)),0)</f>
        <v>0</v>
      </c>
      <c r="G6" s="50">
        <f t="array" ref="G6">IFERROR(INDEX(Commercial!AB$3:AB$13,MATCH($A6,Commercial!$A$3:$A$13,0)),0)</f>
        <v>0</v>
      </c>
      <c r="H6" s="89">
        <f t="shared" si="1"/>
        <v>0</v>
      </c>
      <c r="I6" s="12"/>
      <c r="J6" s="50">
        <f t="array" ref="J6">IFERROR(INDEX(Commercial!E$3:E$13,MATCH($A6,Commercial!$A$3:$A$13,0)),0)</f>
        <v>0</v>
      </c>
      <c r="K6" s="50">
        <f t="array" ref="K6">IFERROR(INDEX(Commercial!K$3:K$13,MATCH($A6,Commercial!$A$3:$A$13,0)),0)</f>
        <v>0</v>
      </c>
      <c r="L6" s="50">
        <f t="array" ref="L6">IFERROR(INDEX(Commercial!Q$3:Q$13,MATCH($A6,Commercial!$A$3:$A$13,0)),0)</f>
        <v>0</v>
      </c>
      <c r="M6" s="50">
        <f t="array" ref="M6">IFERROR(INDEX(Commercial!W$3:W$13,MATCH($A6,Commercial!$A$3:$A$13,0)),0)</f>
        <v>0</v>
      </c>
      <c r="N6" s="50">
        <f t="array" ref="N6">IFERROR(INDEX(Commercial!AC$3:AC$13,MATCH($A6,Commercial!$A$3:$A$13,0)),0)</f>
        <v>0</v>
      </c>
      <c r="O6" s="89">
        <f t="shared" si="2"/>
        <v>0</v>
      </c>
      <c r="P6" s="50">
        <f t="shared" si="3"/>
        <v>0</v>
      </c>
    </row>
    <row r="7" ht="15.0" customHeight="1">
      <c r="A7" s="50">
        <v>1290.0</v>
      </c>
      <c r="B7" s="47" t="s">
        <v>86</v>
      </c>
      <c r="C7" s="50">
        <f t="array" ref="C7">IFERROR(INDEX(Commercial!D$3:D$13,MATCH($A7,Commercial!$A$3:$A$13,0)),0)</f>
        <v>0</v>
      </c>
      <c r="D7" s="50">
        <f t="array" ref="D7">IFERROR(INDEX(Commercial!J$3:J$13,MATCH($A7,Commercial!$A$3:$A$13,0)),0)</f>
        <v>0</v>
      </c>
      <c r="E7" s="50">
        <f t="array" ref="E7">IFERROR(INDEX(Commercial!P$3:P$13,MATCH($A7,Commercial!$A$3:$A$13,0)),0)</f>
        <v>0</v>
      </c>
      <c r="F7" s="50">
        <f t="array" ref="F7">IFERROR(INDEX(Commercial!V$3:V$13,MATCH($A7,Commercial!$A$3:$A$13,0)),0)</f>
        <v>0</v>
      </c>
      <c r="G7" s="50">
        <f t="array" ref="G7">IFERROR(INDEX(Commercial!AB$3:AB$13,MATCH($A7,Commercial!$A$3:$A$13,0)),0)</f>
        <v>0</v>
      </c>
      <c r="H7" s="89">
        <f t="shared" si="1"/>
        <v>0</v>
      </c>
      <c r="I7" s="12"/>
      <c r="J7" s="50">
        <f t="array" ref="J7">IFERROR(INDEX(Commercial!E$3:E$13,MATCH($A7,Commercial!$A$3:$A$13,0)),0)</f>
        <v>0</v>
      </c>
      <c r="K7" s="50">
        <f t="array" ref="K7">IFERROR(INDEX(Commercial!K$3:K$13,MATCH($A7,Commercial!$A$3:$A$13,0)),0)</f>
        <v>0</v>
      </c>
      <c r="L7" s="50">
        <f t="array" ref="L7">IFERROR(INDEX(Commercial!Q$3:Q$13,MATCH($A7,Commercial!$A$3:$A$13,0)),0)</f>
        <v>0</v>
      </c>
      <c r="M7" s="50">
        <f t="array" ref="M7">IFERROR(INDEX(Commercial!W$3:W$13,MATCH($A7,Commercial!$A$3:$A$13,0)),0)</f>
        <v>0</v>
      </c>
      <c r="N7" s="50">
        <f t="array" ref="N7">IFERROR(INDEX(Commercial!AC$3:AC$13,MATCH($A7,Commercial!$A$3:$A$13,0)),0)</f>
        <v>0</v>
      </c>
      <c r="O7" s="89">
        <f t="shared" si="2"/>
        <v>0</v>
      </c>
      <c r="P7" s="50">
        <f t="shared" si="3"/>
        <v>0</v>
      </c>
    </row>
    <row r="8" ht="15.0" customHeight="1">
      <c r="A8" s="50">
        <v>1288.0</v>
      </c>
      <c r="B8" s="47" t="s">
        <v>88</v>
      </c>
      <c r="C8" s="50">
        <f t="array" ref="C8">IFERROR(INDEX(Commercial!D$3:D$13,MATCH($A8,Commercial!$A$3:$A$13,0)),0)</f>
        <v>0</v>
      </c>
      <c r="D8" s="50">
        <f t="array" ref="D8">IFERROR(INDEX(Commercial!J$3:J$13,MATCH($A8,Commercial!$A$3:$A$13,0)),0)</f>
        <v>0</v>
      </c>
      <c r="E8" s="50">
        <f t="array" ref="E8">IFERROR(INDEX(Commercial!P$3:P$13,MATCH($A8,Commercial!$A$3:$A$13,0)),0)</f>
        <v>0</v>
      </c>
      <c r="F8" s="50">
        <f t="array" ref="F8">IFERROR(INDEX(Commercial!V$3:V$13,MATCH($A8,Commercial!$A$3:$A$13,0)),0)</f>
        <v>0</v>
      </c>
      <c r="G8" s="50">
        <f t="array" ref="G8">IFERROR(INDEX(Commercial!AB$3:AB$13,MATCH($A8,Commercial!$A$3:$A$13,0)),0)</f>
        <v>0</v>
      </c>
      <c r="H8" s="89">
        <f t="shared" si="1"/>
        <v>0</v>
      </c>
      <c r="I8" s="12"/>
      <c r="J8" s="50">
        <f t="array" ref="J8">IFERROR(INDEX(Commercial!E$3:E$13,MATCH($A8,Commercial!$A$3:$A$13,0)),0)</f>
        <v>0</v>
      </c>
      <c r="K8" s="50">
        <f t="array" ref="K8">IFERROR(INDEX(Commercial!K$3:K$13,MATCH($A8,Commercial!$A$3:$A$13,0)),0)</f>
        <v>0</v>
      </c>
      <c r="L8" s="50">
        <f t="array" ref="L8">IFERROR(INDEX(Commercial!Q$3:Q$13,MATCH($A8,Commercial!$A$3:$A$13,0)),0)</f>
        <v>0</v>
      </c>
      <c r="M8" s="50">
        <f t="array" ref="M8">IFERROR(INDEX(Commercial!W$3:W$13,MATCH($A8,Commercial!$A$3:$A$13,0)),0)</f>
        <v>0</v>
      </c>
      <c r="N8" s="50">
        <f t="array" ref="N8">IFERROR(INDEX(Commercial!AC$3:AC$13,MATCH($A8,Commercial!$A$3:$A$13,0)),0)</f>
        <v>0</v>
      </c>
      <c r="O8" s="89">
        <f t="shared" si="2"/>
        <v>0</v>
      </c>
      <c r="P8" s="50">
        <f t="shared" si="3"/>
        <v>0</v>
      </c>
    </row>
    <row r="9" ht="15.0" customHeight="1">
      <c r="A9" s="50">
        <v>1175.0</v>
      </c>
      <c r="B9" s="47" t="s">
        <v>91</v>
      </c>
      <c r="C9" s="50">
        <f t="array" ref="C9">IFERROR(INDEX(Commercial!D$3:D$13,MATCH($A9,Commercial!$A$3:$A$13,0)),0)</f>
        <v>1</v>
      </c>
      <c r="D9" s="50">
        <f t="array" ref="D9">IFERROR(INDEX(Commercial!J$3:J$13,MATCH($A9,Commercial!$A$3:$A$13,0)),0)</f>
        <v>1</v>
      </c>
      <c r="E9" s="50">
        <f t="array" ref="E9">IFERROR(INDEX(Commercial!P$3:P$13,MATCH($A9,Commercial!$A$3:$A$13,0)),0)</f>
        <v>0</v>
      </c>
      <c r="F9" s="50">
        <f t="array" ref="F9">IFERROR(INDEX(Commercial!V$3:V$13,MATCH($A9,Commercial!$A$3:$A$13,0)),0)</f>
        <v>0</v>
      </c>
      <c r="G9" s="50" t="str">
        <f t="array" ref="G9">IFERROR(INDEX(Commercial!AB$3:AB$13,MATCH($A9,Commercial!$A$3:$A$13,0)),0)</f>
        <v/>
      </c>
      <c r="H9" s="89">
        <f t="shared" si="1"/>
        <v>2</v>
      </c>
      <c r="I9" s="12"/>
      <c r="J9" s="50">
        <f t="array" ref="J9">IFERROR(INDEX(Commercial!E$3:E$13,MATCH($A9,Commercial!$A$3:$A$13,0)),0)</f>
        <v>0</v>
      </c>
      <c r="K9" s="50">
        <f t="array" ref="K9">IFERROR(INDEX(Commercial!K$3:K$13,MATCH($A9,Commercial!$A$3:$A$13,0)),0)</f>
        <v>1</v>
      </c>
      <c r="L9" s="50">
        <f t="array" ref="L9">IFERROR(INDEX(Commercial!Q$3:Q$13,MATCH($A9,Commercial!$A$3:$A$13,0)),0)</f>
        <v>1</v>
      </c>
      <c r="M9" s="50">
        <f t="array" ref="M9">IFERROR(INDEX(Commercial!W$3:W$13,MATCH($A9,Commercial!$A$3:$A$13,0)),0)</f>
        <v>0</v>
      </c>
      <c r="N9" s="50">
        <f t="array" ref="N9">IFERROR(INDEX(Commercial!AC$3:AC$13,MATCH($A9,Commercial!$A$3:$A$13,0)),0)</f>
        <v>1</v>
      </c>
      <c r="O9" s="89">
        <f t="shared" si="2"/>
        <v>3</v>
      </c>
      <c r="P9" s="50">
        <f t="shared" si="3"/>
        <v>5</v>
      </c>
    </row>
    <row r="10" ht="15.0" customHeight="1">
      <c r="A10" s="50">
        <v>1294.0</v>
      </c>
      <c r="B10" s="47" t="s">
        <v>92</v>
      </c>
      <c r="C10" s="50">
        <f t="array" ref="C10">IFERROR(INDEX(Commercial!D$3:D$13,MATCH($A10,Commercial!$A$3:$A$13,0)),0)</f>
        <v>0</v>
      </c>
      <c r="D10" s="50">
        <f t="array" ref="D10">IFERROR(INDEX(Commercial!J$3:J$13,MATCH($A10,Commercial!$A$3:$A$13,0)),0)</f>
        <v>0</v>
      </c>
      <c r="E10" s="50">
        <f t="array" ref="E10">IFERROR(INDEX(Commercial!P$3:P$13,MATCH($A10,Commercial!$A$3:$A$13,0)),0)</f>
        <v>0</v>
      </c>
      <c r="F10" s="50">
        <f t="array" ref="F10">IFERROR(INDEX(Commercial!V$3:V$13,MATCH($A10,Commercial!$A$3:$A$13,0)),0)</f>
        <v>0</v>
      </c>
      <c r="G10" s="50">
        <f t="array" ref="G10">IFERROR(INDEX(Commercial!AB$3:AB$13,MATCH($A10,Commercial!$A$3:$A$13,0)),0)</f>
        <v>0</v>
      </c>
      <c r="H10" s="89">
        <f t="shared" si="1"/>
        <v>0</v>
      </c>
      <c r="I10" s="12"/>
      <c r="J10" s="50">
        <f t="array" ref="J10">IFERROR(INDEX(Commercial!E$3:E$13,MATCH($A10,Commercial!$A$3:$A$13,0)),0)</f>
        <v>0</v>
      </c>
      <c r="K10" s="50">
        <f t="array" ref="K10">IFERROR(INDEX(Commercial!K$3:K$13,MATCH($A10,Commercial!$A$3:$A$13,0)),0)</f>
        <v>1</v>
      </c>
      <c r="L10" s="50">
        <f t="array" ref="L10">IFERROR(INDEX(Commercial!Q$3:Q$13,MATCH($A10,Commercial!$A$3:$A$13,0)),0)</f>
        <v>0</v>
      </c>
      <c r="M10" s="50">
        <f t="array" ref="M10">IFERROR(INDEX(Commercial!W$3:W$13,MATCH($A10,Commercial!$A$3:$A$13,0)),0)</f>
        <v>0</v>
      </c>
      <c r="N10" s="50">
        <f t="array" ref="N10">IFERROR(INDEX(Commercial!AC$3:AC$13,MATCH($A10,Commercial!$A$3:$A$13,0)),0)</f>
        <v>0</v>
      </c>
      <c r="O10" s="89">
        <f t="shared" si="2"/>
        <v>1</v>
      </c>
      <c r="P10" s="50">
        <f t="shared" si="3"/>
        <v>1</v>
      </c>
    </row>
    <row r="11" ht="15.0" customHeight="1">
      <c r="A11" s="50">
        <v>1280.0</v>
      </c>
      <c r="B11" s="47" t="s">
        <v>67</v>
      </c>
      <c r="C11" s="50">
        <f t="array" ref="C11">IFERROR(INDEX(Commercial!D$3:D$13,MATCH($A11,Commercial!$A$3:$A$13,0)),0)</f>
        <v>0</v>
      </c>
      <c r="D11" s="50">
        <f t="array" ref="D11">IFERROR(INDEX(Commercial!J$3:J$13,MATCH($A11,Commercial!$A$3:$A$13,0)),0)</f>
        <v>1</v>
      </c>
      <c r="E11" s="50">
        <f t="array" ref="E11">IFERROR(INDEX(Commercial!P$3:P$13,MATCH($A11,Commercial!$A$3:$A$13,0)),0)</f>
        <v>1</v>
      </c>
      <c r="F11" s="50">
        <f t="array" ref="F11">IFERROR(INDEX(Commercial!V$3:V$13,MATCH($A11,Commercial!$A$3:$A$13,0)),0)</f>
        <v>0</v>
      </c>
      <c r="G11" s="50">
        <f t="array" ref="G11">IFERROR(INDEX(Commercial!AB$3:AB$13,MATCH($A11,Commercial!$A$3:$A$13,0)),0)</f>
        <v>0</v>
      </c>
      <c r="H11" s="89">
        <f t="shared" si="1"/>
        <v>2</v>
      </c>
      <c r="I11" s="12"/>
      <c r="J11" s="50">
        <f t="array" ref="J11">IFERROR(INDEX(Commercial!E$3:E$13,MATCH($A11,Commercial!$A$3:$A$13,0)),0)</f>
        <v>0</v>
      </c>
      <c r="K11" s="50">
        <f t="array" ref="K11">IFERROR(INDEX(Commercial!K$3:K$13,MATCH($A11,Commercial!$A$3:$A$13,0)),0)</f>
        <v>2</v>
      </c>
      <c r="L11" s="50">
        <f t="array" ref="L11">IFERROR(INDEX(Commercial!Q$3:Q$13,MATCH($A11,Commercial!$A$3:$A$13,0)),0)</f>
        <v>0</v>
      </c>
      <c r="M11" s="50">
        <f t="array" ref="M11">IFERROR(INDEX(Commercial!W$3:W$13,MATCH($A11,Commercial!$A$3:$A$13,0)),0)</f>
        <v>0</v>
      </c>
      <c r="N11" s="50">
        <f t="array" ref="N11">IFERROR(INDEX(Commercial!AC$3:AC$13,MATCH($A11,Commercial!$A$3:$A$13,0)),0)</f>
        <v>1</v>
      </c>
      <c r="O11" s="89">
        <f t="shared" si="2"/>
        <v>3</v>
      </c>
      <c r="P11" s="50">
        <f t="shared" si="3"/>
        <v>5</v>
      </c>
    </row>
    <row r="12" ht="15.0" customHeight="1">
      <c r="A12" s="50">
        <v>1298.0</v>
      </c>
      <c r="B12" s="47" t="s">
        <v>93</v>
      </c>
      <c r="C12" s="50">
        <f t="array" ref="C12">IFERROR(INDEX(Commercial!D$3:D$13,MATCH($A12,Commercial!$A$3:$A$13,0)),0)</f>
        <v>0</v>
      </c>
      <c r="D12" s="50">
        <f t="array" ref="D12">IFERROR(INDEX(Commercial!J$3:J$13,MATCH($A12,Commercial!$A$3:$A$13,0)),0)</f>
        <v>1</v>
      </c>
      <c r="E12" s="50">
        <f t="array" ref="E12">IFERROR(INDEX(Commercial!P$3:P$13,MATCH($A12,Commercial!$A$3:$A$13,0)),0)</f>
        <v>1</v>
      </c>
      <c r="F12" s="50">
        <f t="array" ref="F12">IFERROR(INDEX(Commercial!V$3:V$13,MATCH($A12,Commercial!$A$3:$A$13,0)),0)</f>
        <v>1</v>
      </c>
      <c r="G12" s="50" t="str">
        <f t="array" ref="G12">IFERROR(INDEX(Commercial!AB$3:AB$13,MATCH($A12,Commercial!$A$3:$A$13,0)),0)</f>
        <v/>
      </c>
      <c r="H12" s="89">
        <f t="shared" si="1"/>
        <v>3</v>
      </c>
      <c r="I12" s="12"/>
      <c r="J12" s="50">
        <f t="array" ref="J12">IFERROR(INDEX(Commercial!E$3:E$13,MATCH($A12,Commercial!$A$3:$A$13,0)),0)</f>
        <v>0</v>
      </c>
      <c r="K12" s="50">
        <f t="array" ref="K12">IFERROR(INDEX(Commercial!K$3:K$13,MATCH($A12,Commercial!$A$3:$A$13,0)),0)</f>
        <v>0</v>
      </c>
      <c r="L12" s="50">
        <f t="array" ref="L12">IFERROR(INDEX(Commercial!Q$3:Q$13,MATCH($A12,Commercial!$A$3:$A$13,0)),0)</f>
        <v>1</v>
      </c>
      <c r="M12" s="50">
        <f t="array" ref="M12">IFERROR(INDEX(Commercial!W$3:W$13,MATCH($A12,Commercial!$A$3:$A$13,0)),0)</f>
        <v>0</v>
      </c>
      <c r="N12" s="50">
        <f t="array" ref="N12">IFERROR(INDEX(Commercial!AC$3:AC$13,MATCH($A12,Commercial!$A$3:$A$13,0)),0)</f>
        <v>0</v>
      </c>
      <c r="O12" s="89">
        <f t="shared" si="2"/>
        <v>1</v>
      </c>
      <c r="P12" s="50">
        <f t="shared" si="3"/>
        <v>4</v>
      </c>
    </row>
    <row r="13" ht="15.0" customHeight="1">
      <c r="A13" s="50">
        <v>1300.0</v>
      </c>
      <c r="B13" s="47" t="s">
        <v>94</v>
      </c>
      <c r="C13" s="50">
        <f t="array" ref="C13">IFERROR(INDEX(Commercial!D$3:D$13,MATCH($A13,Commercial!$A$3:$A$13,0)),0)</f>
        <v>0</v>
      </c>
      <c r="D13" s="50">
        <f t="array" ref="D13">IFERROR(INDEX(Commercial!J$3:J$13,MATCH($A13,Commercial!$A$3:$A$13,0)),0)</f>
        <v>0</v>
      </c>
      <c r="E13" s="50">
        <f t="array" ref="E13">IFERROR(INDEX(Commercial!P$3:P$13,MATCH($A13,Commercial!$A$3:$A$13,0)),0)</f>
        <v>0</v>
      </c>
      <c r="F13" s="50">
        <f t="array" ref="F13">IFERROR(INDEX(Commercial!V$3:V$13,MATCH($A13,Commercial!$A$3:$A$13,0)),0)</f>
        <v>0</v>
      </c>
      <c r="G13" s="50">
        <f t="array" ref="G13">IFERROR(INDEX(Commercial!AB$3:AB$13,MATCH($A13,Commercial!$A$3:$A$13,0)),0)</f>
        <v>0</v>
      </c>
      <c r="H13" s="89">
        <f t="shared" si="1"/>
        <v>0</v>
      </c>
      <c r="I13" s="12"/>
      <c r="J13" s="50">
        <f t="array" ref="J13">IFERROR(INDEX(Commercial!E$3:E$13,MATCH($A13,Commercial!$A$3:$A$13,0)),0)</f>
        <v>2</v>
      </c>
      <c r="K13" s="50">
        <f t="array" ref="K13">IFERROR(INDEX(Commercial!K$3:K$13,MATCH($A13,Commercial!$A$3:$A$13,0)),0)</f>
        <v>3</v>
      </c>
      <c r="L13" s="50">
        <f t="array" ref="L13">IFERROR(INDEX(Commercial!Q$3:Q$13,MATCH($A13,Commercial!$A$3:$A$13,0)),0)</f>
        <v>0</v>
      </c>
      <c r="M13" s="50">
        <f t="array" ref="M13">IFERROR(INDEX(Commercial!W$3:W$13,MATCH($A13,Commercial!$A$3:$A$13,0)),0)</f>
        <v>3</v>
      </c>
      <c r="N13" s="50">
        <f t="array" ref="N13">IFERROR(INDEX(Commercial!AC$3:AC$13,MATCH($A13,Commercial!$A$3:$A$13,0)),0)</f>
        <v>0</v>
      </c>
      <c r="O13" s="89">
        <f t="shared" si="2"/>
        <v>8</v>
      </c>
      <c r="P13" s="50">
        <f t="shared" si="3"/>
        <v>8</v>
      </c>
    </row>
    <row r="14" ht="15.0" customHeight="1">
      <c r="A14" s="50">
        <v>1301.0</v>
      </c>
      <c r="B14" s="47" t="s">
        <v>95</v>
      </c>
      <c r="C14" s="50">
        <f t="array" ref="C14">IFERROR(INDEX(Commercial!D$3:D$13,MATCH($A14,Commercial!$A$3:$A$13,0)),0)</f>
        <v>0</v>
      </c>
      <c r="D14" s="50">
        <f t="array" ref="D14">IFERROR(INDEX(Commercial!J$3:J$13,MATCH($A14,Commercial!$A$3:$A$13,0)),0)</f>
        <v>1</v>
      </c>
      <c r="E14" s="50">
        <f t="array" ref="E14">IFERROR(INDEX(Commercial!P$3:P$13,MATCH($A14,Commercial!$A$3:$A$13,0)),0)</f>
        <v>0</v>
      </c>
      <c r="F14" s="50">
        <f t="array" ref="F14">IFERROR(INDEX(Commercial!V$3:V$13,MATCH($A14,Commercial!$A$3:$A$13,0)),0)</f>
        <v>0</v>
      </c>
      <c r="G14" s="50">
        <f t="array" ref="G14">IFERROR(INDEX(Commercial!AB$3:AB$13,MATCH($A14,Commercial!$A$3:$A$13,0)),0)</f>
        <v>0</v>
      </c>
      <c r="H14" s="89">
        <f t="shared" si="1"/>
        <v>1</v>
      </c>
      <c r="I14" s="12"/>
      <c r="J14" s="50">
        <f t="array" ref="J14">IFERROR(INDEX(Commercial!E$3:E$13,MATCH($A14,Commercial!$A$3:$A$13,0)),0)</f>
        <v>0</v>
      </c>
      <c r="K14" s="50">
        <f t="array" ref="K14">IFERROR(INDEX(Commercial!K$3:K$13,MATCH($A14,Commercial!$A$3:$A$13,0)),0)</f>
        <v>0</v>
      </c>
      <c r="L14" s="50">
        <f t="array" ref="L14">IFERROR(INDEX(Commercial!Q$3:Q$13,MATCH($A14,Commercial!$A$3:$A$13,0)),0)</f>
        <v>0</v>
      </c>
      <c r="M14" s="50">
        <f t="array" ref="M14">IFERROR(INDEX(Commercial!W$3:W$13,MATCH($A14,Commercial!$A$3:$A$13,0)),0)</f>
        <v>2</v>
      </c>
      <c r="N14" s="50">
        <f t="array" ref="N14">IFERROR(INDEX(Commercial!AC$3:AC$13,MATCH($A14,Commercial!$A$3:$A$13,0)),0)</f>
        <v>0</v>
      </c>
      <c r="O14" s="89">
        <f t="shared" si="2"/>
        <v>2</v>
      </c>
      <c r="P14" s="50">
        <f t="shared" si="3"/>
        <v>3</v>
      </c>
    </row>
    <row r="15" ht="15.0" customHeight="1">
      <c r="A15" s="50">
        <v>1151.0</v>
      </c>
      <c r="B15" s="47" t="s">
        <v>96</v>
      </c>
      <c r="C15" s="50">
        <f t="array" ref="C15">IFERROR(INDEX(Commercial!D$3:D$13,MATCH($A15,Commercial!$A$3:$A$13,0)),0)</f>
        <v>0</v>
      </c>
      <c r="D15" s="50">
        <f t="array" ref="D15">IFERROR(INDEX(Commercial!J$3:J$13,MATCH($A15,Commercial!$A$3:$A$13,0)),0)</f>
        <v>0</v>
      </c>
      <c r="E15" s="50">
        <f t="array" ref="E15">IFERROR(INDEX(Commercial!P$3:P$13,MATCH($A15,Commercial!$A$3:$A$13,0)),0)</f>
        <v>0</v>
      </c>
      <c r="F15" s="50">
        <f t="array" ref="F15">IFERROR(INDEX(Commercial!V$3:V$13,MATCH($A15,Commercial!$A$3:$A$13,0)),0)</f>
        <v>0</v>
      </c>
      <c r="G15" s="50">
        <f t="array" ref="G15">IFERROR(INDEX(Commercial!AB$3:AB$13,MATCH($A15,Commercial!$A$3:$A$13,0)),0)</f>
        <v>0</v>
      </c>
      <c r="H15" s="89">
        <f t="shared" si="1"/>
        <v>0</v>
      </c>
      <c r="I15" s="12"/>
      <c r="J15" s="50">
        <f t="array" ref="J15">IFERROR(INDEX(Commercial!E$3:E$13,MATCH($A15,Commercial!$A$3:$A$13,0)),0)</f>
        <v>0</v>
      </c>
      <c r="K15" s="50">
        <f t="array" ref="K15">IFERROR(INDEX(Commercial!K$3:K$13,MATCH($A15,Commercial!$A$3:$A$13,0)),0)</f>
        <v>0</v>
      </c>
      <c r="L15" s="50">
        <f t="array" ref="L15">IFERROR(INDEX(Commercial!Q$3:Q$13,MATCH($A15,Commercial!$A$3:$A$13,0)),0)</f>
        <v>0</v>
      </c>
      <c r="M15" s="50">
        <f t="array" ref="M15">IFERROR(INDEX(Commercial!W$3:W$13,MATCH($A15,Commercial!$A$3:$A$13,0)),0)</f>
        <v>0</v>
      </c>
      <c r="N15" s="50">
        <f t="array" ref="N15">IFERROR(INDEX(Commercial!AC$3:AC$13,MATCH($A15,Commercial!$A$3:$A$13,0)),0)</f>
        <v>0</v>
      </c>
      <c r="O15" s="89">
        <f t="shared" si="2"/>
        <v>0</v>
      </c>
      <c r="P15" s="50">
        <f t="shared" si="3"/>
        <v>0</v>
      </c>
    </row>
    <row r="16" ht="15.0" customHeight="1">
      <c r="A16" s="217"/>
      <c r="B16" s="218" t="s">
        <v>59</v>
      </c>
      <c r="C16" s="218">
        <f t="shared" ref="C16:H16" si="4">SUM(C4:C15)</f>
        <v>2</v>
      </c>
      <c r="D16" s="218">
        <f t="shared" si="4"/>
        <v>4</v>
      </c>
      <c r="E16" s="218">
        <f t="shared" si="4"/>
        <v>3</v>
      </c>
      <c r="F16" s="218">
        <f t="shared" si="4"/>
        <v>1</v>
      </c>
      <c r="G16" s="218">
        <f t="shared" si="4"/>
        <v>0</v>
      </c>
      <c r="H16" s="218">
        <f t="shared" si="4"/>
        <v>10</v>
      </c>
      <c r="I16" s="12"/>
      <c r="J16" s="218">
        <f t="shared" ref="J16:O16" si="5">SUM(J4:J15)</f>
        <v>4</v>
      </c>
      <c r="K16" s="218">
        <f t="shared" si="5"/>
        <v>9</v>
      </c>
      <c r="L16" s="218">
        <f t="shared" si="5"/>
        <v>3</v>
      </c>
      <c r="M16" s="218">
        <f t="shared" si="5"/>
        <v>11</v>
      </c>
      <c r="N16" s="218">
        <f t="shared" si="5"/>
        <v>2</v>
      </c>
      <c r="O16" s="218">
        <f t="shared" si="5"/>
        <v>29</v>
      </c>
      <c r="P16" s="218">
        <f t="shared" si="3"/>
        <v>39</v>
      </c>
    </row>
    <row r="18" ht="15.0" customHeight="1">
      <c r="A18" s="219" t="s">
        <v>98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C2:H2"/>
    <mergeCell ref="J2:O2"/>
    <mergeCell ref="A18:P1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7.0" topLeftCell="R1" activePane="topRight" state="frozen"/>
      <selection activeCell="S2" sqref="S2" pane="topRight"/>
    </sheetView>
  </sheetViews>
  <sheetFormatPr customHeight="1" defaultColWidth="14.43" defaultRowHeight="15.0"/>
  <cols>
    <col customWidth="1" min="1" max="1" width="10.14"/>
    <col customWidth="1" min="2" max="2" width="20.86"/>
    <col customWidth="1" min="3" max="3" width="8.43"/>
    <col customWidth="1" min="4" max="4" width="9.71"/>
    <col customWidth="1" min="5" max="7" width="7.57"/>
    <col customWidth="1" min="8" max="9" width="8.14"/>
    <col customWidth="1" min="11" max="11" width="9.0"/>
  </cols>
  <sheetData>
    <row r="1" ht="15.0" customHeight="1">
      <c r="A1" s="4" t="s">
        <v>1</v>
      </c>
      <c r="B1" s="6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</row>
    <row r="2" ht="15.0" customHeight="1">
      <c r="A2" s="16" t="s">
        <v>18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6"/>
      <c r="P2" s="28"/>
    </row>
    <row r="3" ht="15.0" customHeight="1">
      <c r="A3" s="31"/>
      <c r="B3" s="33"/>
      <c r="C3" s="35"/>
      <c r="D3" s="35"/>
      <c r="E3" s="35"/>
      <c r="F3" s="35"/>
      <c r="G3" s="35"/>
      <c r="H3" s="35"/>
      <c r="I3" s="35"/>
      <c r="J3" s="46">
        <f t="shared" ref="J3:J10" si="1">SUM(C3:I3)</f>
        <v>0</v>
      </c>
      <c r="K3" s="46"/>
      <c r="L3" s="46">
        <f t="shared" ref="L3:L10" si="2">J3-K3</f>
        <v>0</v>
      </c>
      <c r="M3" s="46">
        <v>0.0</v>
      </c>
      <c r="N3" s="54">
        <f t="shared" ref="N3:N11" si="3">J3-M3</f>
        <v>0</v>
      </c>
      <c r="O3" s="49" t="s">
        <v>42</v>
      </c>
      <c r="P3" s="56" t="s">
        <v>44</v>
      </c>
    </row>
    <row r="4" ht="15.0" customHeight="1">
      <c r="A4" s="31"/>
      <c r="B4" s="33"/>
      <c r="C4" s="58"/>
      <c r="D4" s="58"/>
      <c r="E4" s="58"/>
      <c r="F4" s="35"/>
      <c r="G4" s="58"/>
      <c r="H4" s="58"/>
      <c r="I4" s="58"/>
      <c r="J4" s="46">
        <f t="shared" si="1"/>
        <v>0</v>
      </c>
      <c r="K4" s="60"/>
      <c r="L4" s="46">
        <f t="shared" si="2"/>
        <v>0</v>
      </c>
      <c r="M4" s="46">
        <v>0.0</v>
      </c>
      <c r="N4" s="54">
        <f t="shared" si="3"/>
        <v>0</v>
      </c>
      <c r="O4" s="49" t="s">
        <v>42</v>
      </c>
      <c r="P4" s="56" t="s">
        <v>44</v>
      </c>
    </row>
    <row r="5" ht="15.0" customHeight="1">
      <c r="A5" s="31"/>
      <c r="B5" s="62"/>
      <c r="C5" s="58"/>
      <c r="D5" s="58"/>
      <c r="E5" s="58"/>
      <c r="F5" s="35"/>
      <c r="G5" s="58"/>
      <c r="H5" s="58"/>
      <c r="I5" s="58"/>
      <c r="J5" s="46">
        <f t="shared" si="1"/>
        <v>0</v>
      </c>
      <c r="K5" s="60"/>
      <c r="L5" s="46">
        <f t="shared" si="2"/>
        <v>0</v>
      </c>
      <c r="M5" s="46">
        <v>0.0</v>
      </c>
      <c r="N5" s="54">
        <f t="shared" si="3"/>
        <v>0</v>
      </c>
      <c r="O5" s="49" t="s">
        <v>42</v>
      </c>
      <c r="P5" s="56" t="s">
        <v>44</v>
      </c>
    </row>
    <row r="6" ht="15.0" customHeight="1">
      <c r="A6" s="31"/>
      <c r="B6" s="62"/>
      <c r="C6" s="58"/>
      <c r="D6" s="58"/>
      <c r="E6" s="58"/>
      <c r="F6" s="35"/>
      <c r="G6" s="58"/>
      <c r="H6" s="58"/>
      <c r="I6" s="58"/>
      <c r="J6" s="46">
        <f t="shared" si="1"/>
        <v>0</v>
      </c>
      <c r="K6" s="60"/>
      <c r="L6" s="46">
        <f t="shared" si="2"/>
        <v>0</v>
      </c>
      <c r="M6" s="46">
        <v>0.0</v>
      </c>
      <c r="N6" s="54">
        <f t="shared" si="3"/>
        <v>0</v>
      </c>
      <c r="O6" s="49" t="s">
        <v>42</v>
      </c>
      <c r="P6" s="56" t="s">
        <v>44</v>
      </c>
    </row>
    <row r="7" ht="15.0" customHeight="1">
      <c r="A7" s="31"/>
      <c r="B7" s="33"/>
      <c r="C7" s="58"/>
      <c r="D7" s="58"/>
      <c r="E7" s="58"/>
      <c r="F7" s="35"/>
      <c r="G7" s="58"/>
      <c r="H7" s="58"/>
      <c r="I7" s="58"/>
      <c r="J7" s="46">
        <f t="shared" si="1"/>
        <v>0</v>
      </c>
      <c r="K7" s="60"/>
      <c r="L7" s="46">
        <f t="shared" si="2"/>
        <v>0</v>
      </c>
      <c r="M7" s="46">
        <v>0.0</v>
      </c>
      <c r="N7" s="54">
        <f t="shared" si="3"/>
        <v>0</v>
      </c>
      <c r="O7" s="49" t="s">
        <v>42</v>
      </c>
      <c r="P7" s="56" t="s">
        <v>44</v>
      </c>
    </row>
    <row r="8" ht="15.0" customHeight="1">
      <c r="A8" s="31"/>
      <c r="B8" s="62"/>
      <c r="C8" s="58"/>
      <c r="D8" s="58"/>
      <c r="E8" s="58"/>
      <c r="F8" s="35"/>
      <c r="G8" s="58"/>
      <c r="H8" s="58"/>
      <c r="I8" s="58"/>
      <c r="J8" s="46">
        <f t="shared" si="1"/>
        <v>0</v>
      </c>
      <c r="K8" s="60"/>
      <c r="L8" s="46">
        <f t="shared" si="2"/>
        <v>0</v>
      </c>
      <c r="M8" s="46">
        <v>0.0</v>
      </c>
      <c r="N8" s="54">
        <f t="shared" si="3"/>
        <v>0</v>
      </c>
      <c r="O8" s="49" t="s">
        <v>42</v>
      </c>
      <c r="P8" s="56" t="s">
        <v>44</v>
      </c>
    </row>
    <row r="9" ht="15.0" customHeight="1">
      <c r="A9" s="31"/>
      <c r="B9" s="33"/>
      <c r="C9" s="58"/>
      <c r="D9" s="58"/>
      <c r="E9" s="58"/>
      <c r="F9" s="58"/>
      <c r="G9" s="58"/>
      <c r="H9" s="58"/>
      <c r="I9" s="58"/>
      <c r="J9" s="46">
        <f t="shared" si="1"/>
        <v>0</v>
      </c>
      <c r="K9" s="60"/>
      <c r="L9" s="46">
        <f t="shared" si="2"/>
        <v>0</v>
      </c>
      <c r="M9" s="46">
        <v>0.0</v>
      </c>
      <c r="N9" s="54">
        <f t="shared" si="3"/>
        <v>0</v>
      </c>
      <c r="O9" s="49" t="s">
        <v>42</v>
      </c>
      <c r="P9" s="56" t="s">
        <v>44</v>
      </c>
    </row>
    <row r="10" ht="15.0" customHeight="1">
      <c r="A10" s="31"/>
      <c r="B10" s="62"/>
      <c r="C10" s="58"/>
      <c r="D10" s="58"/>
      <c r="E10" s="58"/>
      <c r="F10" s="58"/>
      <c r="G10" s="58"/>
      <c r="H10" s="58"/>
      <c r="I10" s="58"/>
      <c r="J10" s="46">
        <f t="shared" si="1"/>
        <v>0</v>
      </c>
      <c r="K10" s="60"/>
      <c r="L10" s="46">
        <f t="shared" si="2"/>
        <v>0</v>
      </c>
      <c r="M10" s="46">
        <v>0.0</v>
      </c>
      <c r="N10" s="54">
        <f t="shared" si="3"/>
        <v>0</v>
      </c>
      <c r="O10" s="49" t="s">
        <v>42</v>
      </c>
      <c r="P10" s="56" t="s">
        <v>44</v>
      </c>
    </row>
    <row r="11" ht="15.0" customHeight="1">
      <c r="A11" s="70"/>
      <c r="B11" s="72" t="s">
        <v>59</v>
      </c>
      <c r="C11" s="74">
        <f t="shared" ref="C11:I11" si="4">SUM(C3)</f>
        <v>0</v>
      </c>
      <c r="D11" s="74">
        <f t="shared" si="4"/>
        <v>0</v>
      </c>
      <c r="E11" s="74">
        <f t="shared" si="4"/>
        <v>0</v>
      </c>
      <c r="F11" s="74">
        <f t="shared" si="4"/>
        <v>0</v>
      </c>
      <c r="G11" s="74">
        <f t="shared" si="4"/>
        <v>0</v>
      </c>
      <c r="H11" s="74">
        <f t="shared" si="4"/>
        <v>0</v>
      </c>
      <c r="I11" s="74">
        <f t="shared" si="4"/>
        <v>0</v>
      </c>
      <c r="J11" s="74">
        <f>SUM(J3:J10)</f>
        <v>0</v>
      </c>
      <c r="K11" s="74">
        <f>SUM(K3)</f>
        <v>0</v>
      </c>
      <c r="L11" s="74">
        <f t="shared" ref="L11:M11" si="5">SUM(L3:L10)</f>
        <v>0</v>
      </c>
      <c r="M11" s="74">
        <f t="shared" si="5"/>
        <v>0</v>
      </c>
      <c r="N11" s="80">
        <f t="shared" si="3"/>
        <v>0</v>
      </c>
      <c r="O11" s="49" t="s">
        <v>42</v>
      </c>
      <c r="P11" s="56" t="s">
        <v>44</v>
      </c>
    </row>
    <row r="12" ht="15.0" customHeight="1">
      <c r="A12" s="28"/>
      <c r="B12" s="81" t="s">
        <v>71</v>
      </c>
      <c r="C12" s="82"/>
      <c r="D12" s="82"/>
      <c r="E12" s="82"/>
      <c r="F12" s="82"/>
      <c r="G12" s="82"/>
      <c r="H12" s="82"/>
      <c r="I12" s="82"/>
      <c r="J12" s="86"/>
      <c r="K12" s="86"/>
      <c r="L12" s="86"/>
      <c r="M12" s="82"/>
      <c r="N12" s="82"/>
      <c r="O12" s="28"/>
      <c r="P12" s="28"/>
    </row>
    <row r="13" ht="15.0" customHeight="1">
      <c r="A13" s="4" t="s">
        <v>1</v>
      </c>
      <c r="B13" s="6" t="s">
        <v>3</v>
      </c>
      <c r="C13" s="4" t="s">
        <v>4</v>
      </c>
      <c r="D13" s="4" t="s">
        <v>5</v>
      </c>
      <c r="E13" s="4" t="s">
        <v>6</v>
      </c>
      <c r="F13" s="4" t="s">
        <v>7</v>
      </c>
      <c r="G13" s="4" t="s">
        <v>8</v>
      </c>
      <c r="H13" s="4" t="s">
        <v>9</v>
      </c>
      <c r="I13" s="4" t="s">
        <v>10</v>
      </c>
      <c r="J13" s="4" t="s">
        <v>11</v>
      </c>
      <c r="K13" s="4" t="s">
        <v>12</v>
      </c>
      <c r="L13" s="4" t="s">
        <v>13</v>
      </c>
      <c r="M13" s="4" t="s">
        <v>14</v>
      </c>
      <c r="N13" s="4" t="s">
        <v>15</v>
      </c>
      <c r="O13" s="4" t="s">
        <v>16</v>
      </c>
      <c r="P13" s="4" t="s">
        <v>17</v>
      </c>
    </row>
    <row r="14" ht="15.0" customHeight="1">
      <c r="A14" s="90"/>
      <c r="B14" s="91"/>
      <c r="C14" s="35"/>
      <c r="D14" s="35"/>
      <c r="E14" s="35"/>
      <c r="F14" s="35"/>
      <c r="G14" s="35"/>
      <c r="H14" s="35"/>
      <c r="I14" s="35"/>
      <c r="J14" s="46">
        <f t="shared" ref="J14:J18" si="6">SUM(C14:I14)</f>
        <v>0</v>
      </c>
      <c r="K14" s="46"/>
      <c r="L14" s="46">
        <f t="shared" ref="L14:L18" si="7">J14-K14</f>
        <v>0</v>
      </c>
      <c r="M14" s="46">
        <v>0.0</v>
      </c>
      <c r="N14" s="54">
        <f t="shared" ref="N14:N19" si="8">J14-M14</f>
        <v>0</v>
      </c>
      <c r="O14" s="49" t="s">
        <v>42</v>
      </c>
      <c r="P14" s="56" t="s">
        <v>44</v>
      </c>
    </row>
    <row r="15" ht="15.0" customHeight="1">
      <c r="A15" s="90"/>
      <c r="B15" s="93"/>
      <c r="C15" s="35"/>
      <c r="D15" s="35"/>
      <c r="E15" s="35"/>
      <c r="F15" s="35"/>
      <c r="G15" s="35"/>
      <c r="H15" s="35"/>
      <c r="I15" s="35"/>
      <c r="J15" s="46">
        <f t="shared" si="6"/>
        <v>0</v>
      </c>
      <c r="K15" s="46"/>
      <c r="L15" s="46">
        <f t="shared" si="7"/>
        <v>0</v>
      </c>
      <c r="M15" s="46">
        <v>0.0</v>
      </c>
      <c r="N15" s="54">
        <f t="shared" si="8"/>
        <v>0</v>
      </c>
      <c r="O15" s="49" t="s">
        <v>42</v>
      </c>
      <c r="P15" s="56" t="s">
        <v>44</v>
      </c>
    </row>
    <row r="16" ht="15.0" customHeight="1">
      <c r="A16" s="90"/>
      <c r="B16" s="91"/>
      <c r="C16" s="35"/>
      <c r="D16" s="35"/>
      <c r="E16" s="35"/>
      <c r="F16" s="35"/>
      <c r="G16" s="35"/>
      <c r="H16" s="35"/>
      <c r="I16" s="35"/>
      <c r="J16" s="46">
        <f t="shared" si="6"/>
        <v>0</v>
      </c>
      <c r="K16" s="46"/>
      <c r="L16" s="46">
        <f t="shared" si="7"/>
        <v>0</v>
      </c>
      <c r="M16" s="46">
        <v>0.0</v>
      </c>
      <c r="N16" s="54">
        <f t="shared" si="8"/>
        <v>0</v>
      </c>
      <c r="O16" s="49" t="s">
        <v>42</v>
      </c>
      <c r="P16" s="56" t="s">
        <v>44</v>
      </c>
    </row>
    <row r="17" ht="15.0" customHeight="1">
      <c r="A17" s="90"/>
      <c r="B17" s="91"/>
      <c r="C17" s="35"/>
      <c r="D17" s="35"/>
      <c r="E17" s="35"/>
      <c r="F17" s="35"/>
      <c r="G17" s="35"/>
      <c r="H17" s="35"/>
      <c r="I17" s="35"/>
      <c r="J17" s="46">
        <f t="shared" si="6"/>
        <v>0</v>
      </c>
      <c r="K17" s="46"/>
      <c r="L17" s="46">
        <f t="shared" si="7"/>
        <v>0</v>
      </c>
      <c r="M17" s="46">
        <v>0.0</v>
      </c>
      <c r="N17" s="54">
        <f t="shared" si="8"/>
        <v>0</v>
      </c>
      <c r="O17" s="49" t="s">
        <v>42</v>
      </c>
      <c r="P17" s="56" t="s">
        <v>44</v>
      </c>
    </row>
    <row r="18" ht="15.0" customHeight="1">
      <c r="A18" s="90"/>
      <c r="B18" s="98"/>
      <c r="C18" s="35"/>
      <c r="D18" s="35"/>
      <c r="E18" s="35"/>
      <c r="F18" s="35"/>
      <c r="G18" s="35"/>
      <c r="H18" s="35"/>
      <c r="I18" s="35"/>
      <c r="J18" s="46">
        <f t="shared" si="6"/>
        <v>0</v>
      </c>
      <c r="K18" s="46"/>
      <c r="L18" s="46">
        <f t="shared" si="7"/>
        <v>0</v>
      </c>
      <c r="M18" s="46">
        <v>0.0</v>
      </c>
      <c r="N18" s="54">
        <f t="shared" si="8"/>
        <v>0</v>
      </c>
      <c r="O18" s="49" t="s">
        <v>42</v>
      </c>
      <c r="P18" s="56" t="s">
        <v>44</v>
      </c>
    </row>
    <row r="19" ht="15.0" customHeight="1">
      <c r="A19" s="90"/>
      <c r="B19" s="72" t="s">
        <v>59</v>
      </c>
      <c r="C19" s="74">
        <f t="shared" ref="C19:M19" si="9">SUM(C14:C17)</f>
        <v>0</v>
      </c>
      <c r="D19" s="74">
        <f t="shared" si="9"/>
        <v>0</v>
      </c>
      <c r="E19" s="74">
        <f t="shared" si="9"/>
        <v>0</v>
      </c>
      <c r="F19" s="74">
        <f t="shared" si="9"/>
        <v>0</v>
      </c>
      <c r="G19" s="74">
        <f t="shared" si="9"/>
        <v>0</v>
      </c>
      <c r="H19" s="74">
        <f t="shared" si="9"/>
        <v>0</v>
      </c>
      <c r="I19" s="74">
        <f t="shared" si="9"/>
        <v>0</v>
      </c>
      <c r="J19" s="74">
        <f t="shared" si="9"/>
        <v>0</v>
      </c>
      <c r="K19" s="74">
        <f t="shared" si="9"/>
        <v>0</v>
      </c>
      <c r="L19" s="74">
        <f t="shared" si="9"/>
        <v>0</v>
      </c>
      <c r="M19" s="74">
        <f t="shared" si="9"/>
        <v>0</v>
      </c>
      <c r="N19" s="54">
        <f t="shared" si="8"/>
        <v>0</v>
      </c>
      <c r="O19" s="49" t="s">
        <v>42</v>
      </c>
      <c r="P19" s="56" t="s">
        <v>44</v>
      </c>
    </row>
    <row r="20" ht="15.0" customHeight="1">
      <c r="A20" s="28"/>
      <c r="B20" s="105" t="s">
        <v>74</v>
      </c>
      <c r="C20" s="28"/>
      <c r="D20" s="28"/>
      <c r="E20" s="28"/>
      <c r="F20" s="28"/>
      <c r="G20" s="28"/>
      <c r="H20" s="28"/>
      <c r="I20" s="28"/>
      <c r="J20" s="4"/>
      <c r="K20" s="4"/>
      <c r="L20" s="4"/>
      <c r="M20" s="28"/>
      <c r="N20" s="28"/>
      <c r="O20" s="28"/>
      <c r="P20" s="28"/>
    </row>
    <row r="21" ht="15.0" customHeight="1">
      <c r="A21" s="4" t="s">
        <v>1</v>
      </c>
      <c r="B21" s="6" t="s">
        <v>3</v>
      </c>
      <c r="C21" s="4" t="s">
        <v>4</v>
      </c>
      <c r="D21" s="4" t="s">
        <v>5</v>
      </c>
      <c r="E21" s="4" t="s">
        <v>6</v>
      </c>
      <c r="F21" s="4" t="s">
        <v>7</v>
      </c>
      <c r="G21" s="4" t="s">
        <v>8</v>
      </c>
      <c r="H21" s="4" t="s">
        <v>9</v>
      </c>
      <c r="I21" s="4" t="s">
        <v>10</v>
      </c>
      <c r="J21" s="4" t="s">
        <v>11</v>
      </c>
      <c r="K21" s="4" t="s">
        <v>12</v>
      </c>
      <c r="L21" s="4" t="s">
        <v>13</v>
      </c>
      <c r="M21" s="4" t="s">
        <v>14</v>
      </c>
      <c r="N21" s="4" t="s">
        <v>15</v>
      </c>
      <c r="O21" s="4" t="s">
        <v>16</v>
      </c>
      <c r="P21" s="4" t="s">
        <v>17</v>
      </c>
    </row>
    <row r="22" ht="15.0" customHeight="1">
      <c r="A22" s="90"/>
      <c r="B22" s="98"/>
      <c r="C22" s="35"/>
      <c r="D22" s="35"/>
      <c r="E22" s="35"/>
      <c r="F22" s="35"/>
      <c r="G22" s="35"/>
      <c r="H22" s="35"/>
      <c r="I22" s="35"/>
      <c r="J22" s="46">
        <f t="shared" ref="J22:J24" si="10">SUM(C22:I22)</f>
        <v>0</v>
      </c>
      <c r="K22" s="46"/>
      <c r="L22" s="46">
        <f t="shared" ref="L22:L24" si="11">J22-K22</f>
        <v>0</v>
      </c>
      <c r="M22" s="46">
        <v>0.0</v>
      </c>
      <c r="N22" s="54">
        <f t="shared" ref="N22:N25" si="12">J22-M22</f>
        <v>0</v>
      </c>
      <c r="O22" s="49" t="s">
        <v>42</v>
      </c>
      <c r="P22" s="56" t="s">
        <v>44</v>
      </c>
    </row>
    <row r="23" ht="15.0" customHeight="1">
      <c r="A23" s="90"/>
      <c r="B23" s="91"/>
      <c r="C23" s="35"/>
      <c r="D23" s="35"/>
      <c r="E23" s="35"/>
      <c r="F23" s="35"/>
      <c r="G23" s="35"/>
      <c r="H23" s="35"/>
      <c r="I23" s="35"/>
      <c r="J23" s="46">
        <f t="shared" si="10"/>
        <v>0</v>
      </c>
      <c r="K23" s="46"/>
      <c r="L23" s="46">
        <f t="shared" si="11"/>
        <v>0</v>
      </c>
      <c r="M23" s="46">
        <v>0.0</v>
      </c>
      <c r="N23" s="54">
        <f t="shared" si="12"/>
        <v>0</v>
      </c>
      <c r="O23" s="49" t="s">
        <v>42</v>
      </c>
      <c r="P23" s="56" t="s">
        <v>44</v>
      </c>
    </row>
    <row r="24" ht="15.0" customHeight="1">
      <c r="A24" s="90"/>
      <c r="B24" s="91"/>
      <c r="C24" s="35"/>
      <c r="D24" s="35"/>
      <c r="E24" s="35"/>
      <c r="F24" s="35"/>
      <c r="G24" s="35"/>
      <c r="H24" s="35"/>
      <c r="I24" s="35"/>
      <c r="J24" s="46">
        <f t="shared" si="10"/>
        <v>0</v>
      </c>
      <c r="K24" s="46"/>
      <c r="L24" s="46">
        <f t="shared" si="11"/>
        <v>0</v>
      </c>
      <c r="M24" s="46">
        <v>0.0</v>
      </c>
      <c r="N24" s="54">
        <f t="shared" si="12"/>
        <v>0</v>
      </c>
      <c r="O24" s="49" t="s">
        <v>42</v>
      </c>
      <c r="P24" s="56" t="s">
        <v>44</v>
      </c>
    </row>
    <row r="25" ht="15.0" customHeight="1">
      <c r="A25" s="90"/>
      <c r="B25" s="72" t="s">
        <v>59</v>
      </c>
      <c r="C25" s="74">
        <f t="shared" ref="C25:M25" si="13">SUM(C22:C23)</f>
        <v>0</v>
      </c>
      <c r="D25" s="74">
        <f t="shared" si="13"/>
        <v>0</v>
      </c>
      <c r="E25" s="74">
        <f t="shared" si="13"/>
        <v>0</v>
      </c>
      <c r="F25" s="74">
        <f t="shared" si="13"/>
        <v>0</v>
      </c>
      <c r="G25" s="74">
        <f t="shared" si="13"/>
        <v>0</v>
      </c>
      <c r="H25" s="74">
        <f t="shared" si="13"/>
        <v>0</v>
      </c>
      <c r="I25" s="74">
        <f t="shared" si="13"/>
        <v>0</v>
      </c>
      <c r="J25" s="74">
        <f t="shared" si="13"/>
        <v>0</v>
      </c>
      <c r="K25" s="74">
        <f t="shared" si="13"/>
        <v>0</v>
      </c>
      <c r="L25" s="74">
        <f t="shared" si="13"/>
        <v>0</v>
      </c>
      <c r="M25" s="74">
        <f t="shared" si="13"/>
        <v>0</v>
      </c>
      <c r="N25" s="54">
        <f t="shared" si="12"/>
        <v>0</v>
      </c>
      <c r="O25" s="49" t="s">
        <v>42</v>
      </c>
      <c r="P25" s="56" t="s">
        <v>44</v>
      </c>
    </row>
    <row r="26" ht="15.0" customHeight="1">
      <c r="A26" s="28"/>
      <c r="B26" s="32" t="s">
        <v>76</v>
      </c>
      <c r="C26" s="28"/>
      <c r="D26" s="28"/>
      <c r="E26" s="28"/>
      <c r="F26" s="28"/>
      <c r="G26" s="28"/>
      <c r="H26" s="28"/>
      <c r="I26" s="28"/>
      <c r="J26" s="4"/>
      <c r="K26" s="4"/>
      <c r="L26" s="4"/>
      <c r="M26" s="28"/>
      <c r="N26" s="28"/>
      <c r="O26" s="112"/>
      <c r="P26" s="112"/>
    </row>
    <row r="27" ht="15.0" customHeight="1">
      <c r="A27" s="113"/>
      <c r="B27" s="93"/>
      <c r="C27" s="35"/>
      <c r="D27" s="35"/>
      <c r="E27" s="35"/>
      <c r="F27" s="35"/>
      <c r="G27" s="35"/>
      <c r="H27" s="35"/>
      <c r="I27" s="35"/>
      <c r="J27" s="46">
        <f t="shared" ref="J27:J30" si="14">SUM(C27:I27)</f>
        <v>0</v>
      </c>
      <c r="K27" s="46"/>
      <c r="L27" s="46">
        <f t="shared" ref="L27:L30" si="15">J27-K27</f>
        <v>0</v>
      </c>
      <c r="M27" s="35">
        <v>0.0</v>
      </c>
      <c r="N27" s="54">
        <f t="shared" ref="N27:N31" si="16">J27-M27</f>
        <v>0</v>
      </c>
      <c r="O27" s="49" t="s">
        <v>42</v>
      </c>
      <c r="P27" s="56" t="s">
        <v>44</v>
      </c>
    </row>
    <row r="28" ht="15.0" customHeight="1">
      <c r="A28" s="113"/>
      <c r="B28" s="93"/>
      <c r="C28" s="35"/>
      <c r="D28" s="35"/>
      <c r="E28" s="35"/>
      <c r="F28" s="35"/>
      <c r="G28" s="35"/>
      <c r="H28" s="35"/>
      <c r="I28" s="35"/>
      <c r="J28" s="46">
        <f t="shared" si="14"/>
        <v>0</v>
      </c>
      <c r="K28" s="46"/>
      <c r="L28" s="46">
        <f t="shared" si="15"/>
        <v>0</v>
      </c>
      <c r="M28" s="35">
        <v>0.0</v>
      </c>
      <c r="N28" s="54">
        <f t="shared" si="16"/>
        <v>0</v>
      </c>
      <c r="O28" s="49" t="s">
        <v>42</v>
      </c>
      <c r="P28" s="56" t="s">
        <v>44</v>
      </c>
    </row>
    <row r="29" ht="15.0" customHeight="1">
      <c r="A29" s="113"/>
      <c r="B29" s="93"/>
      <c r="C29" s="35"/>
      <c r="D29" s="35"/>
      <c r="E29" s="35"/>
      <c r="F29" s="35"/>
      <c r="G29" s="35"/>
      <c r="H29" s="35"/>
      <c r="I29" s="35"/>
      <c r="J29" s="46">
        <f t="shared" si="14"/>
        <v>0</v>
      </c>
      <c r="K29" s="46"/>
      <c r="L29" s="46">
        <f t="shared" si="15"/>
        <v>0</v>
      </c>
      <c r="M29" s="35">
        <v>0.0</v>
      </c>
      <c r="N29" s="54">
        <f t="shared" si="16"/>
        <v>0</v>
      </c>
      <c r="O29" s="49" t="s">
        <v>42</v>
      </c>
      <c r="P29" s="56" t="s">
        <v>44</v>
      </c>
    </row>
    <row r="30" ht="15.0" customHeight="1">
      <c r="A30" s="113"/>
      <c r="B30" s="93"/>
      <c r="C30" s="35"/>
      <c r="D30" s="35"/>
      <c r="E30" s="35"/>
      <c r="F30" s="35"/>
      <c r="G30" s="35"/>
      <c r="H30" s="35"/>
      <c r="I30" s="35"/>
      <c r="J30" s="46">
        <f t="shared" si="14"/>
        <v>0</v>
      </c>
      <c r="K30" s="46"/>
      <c r="L30" s="46">
        <f t="shared" si="15"/>
        <v>0</v>
      </c>
      <c r="M30" s="35">
        <v>0.0</v>
      </c>
      <c r="N30" s="54">
        <f t="shared" si="16"/>
        <v>0</v>
      </c>
      <c r="O30" s="49" t="s">
        <v>42</v>
      </c>
      <c r="P30" s="56" t="s">
        <v>44</v>
      </c>
    </row>
    <row r="31" ht="15.0" customHeight="1">
      <c r="A31" s="114"/>
      <c r="B31" s="4" t="s">
        <v>59</v>
      </c>
      <c r="C31" s="4">
        <f t="shared" ref="C31:H31" si="17">SUM(C11,C19,C25)</f>
        <v>0</v>
      </c>
      <c r="D31" s="4">
        <f t="shared" si="17"/>
        <v>0</v>
      </c>
      <c r="E31" s="4">
        <f t="shared" si="17"/>
        <v>0</v>
      </c>
      <c r="F31" s="4">
        <f t="shared" si="17"/>
        <v>0</v>
      </c>
      <c r="G31" s="4">
        <f t="shared" si="17"/>
        <v>0</v>
      </c>
      <c r="H31" s="4">
        <f t="shared" si="17"/>
        <v>0</v>
      </c>
      <c r="I31" s="4"/>
      <c r="J31" s="4">
        <f t="shared" ref="J31:M31" si="18">SUM(J11,J19,J25)</f>
        <v>0</v>
      </c>
      <c r="K31" s="4">
        <f t="shared" si="18"/>
        <v>0</v>
      </c>
      <c r="L31" s="4">
        <f t="shared" si="18"/>
        <v>0</v>
      </c>
      <c r="M31" s="4">
        <f t="shared" si="18"/>
        <v>0</v>
      </c>
      <c r="N31" s="54">
        <f t="shared" si="16"/>
        <v>0</v>
      </c>
      <c r="O31" s="49"/>
      <c r="P31" s="56"/>
    </row>
    <row r="32" ht="15.0" customHeight="1">
      <c r="A32" s="49"/>
      <c r="B32" s="69" t="s">
        <v>14</v>
      </c>
      <c r="C32" s="49">
        <v>0.0</v>
      </c>
      <c r="D32" s="49">
        <v>0.0</v>
      </c>
      <c r="E32" s="35">
        <v>0.0</v>
      </c>
      <c r="F32" s="49">
        <v>0.0</v>
      </c>
      <c r="G32" s="49">
        <v>0.0</v>
      </c>
      <c r="H32" s="49">
        <v>0.0</v>
      </c>
      <c r="I32" s="49"/>
      <c r="J32" s="49">
        <v>0.0</v>
      </c>
      <c r="K32" s="119"/>
      <c r="L32" s="119"/>
      <c r="M32" s="119"/>
      <c r="N32" s="120"/>
      <c r="O32" s="120"/>
      <c r="P32" s="10"/>
    </row>
    <row r="33" ht="15.0" customHeight="1">
      <c r="A33" s="119"/>
      <c r="B33" s="69" t="s">
        <v>15</v>
      </c>
      <c r="C33" s="49">
        <f t="shared" ref="C33:H33" si="19">C31-C32</f>
        <v>0</v>
      </c>
      <c r="D33" s="49">
        <f t="shared" si="19"/>
        <v>0</v>
      </c>
      <c r="E33" s="49">
        <f t="shared" si="19"/>
        <v>0</v>
      </c>
      <c r="F33" s="49">
        <f t="shared" si="19"/>
        <v>0</v>
      </c>
      <c r="G33" s="49">
        <f t="shared" si="19"/>
        <v>0</v>
      </c>
      <c r="H33" s="49">
        <f t="shared" si="19"/>
        <v>0</v>
      </c>
      <c r="I33" s="49"/>
      <c r="J33" s="49">
        <f>J31-J32</f>
        <v>0</v>
      </c>
      <c r="K33" s="119"/>
      <c r="L33" s="119"/>
      <c r="M33" s="10"/>
      <c r="N33" s="119"/>
      <c r="O33" s="119"/>
      <c r="P33" s="10"/>
    </row>
    <row r="34" ht="15.0" customHeight="1">
      <c r="F34" s="11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O2"/>
  </mergeCells>
  <conditionalFormatting sqref="C33:L33 N3:N12 N14:N20 N22:N31">
    <cfRule type="cellIs" dxfId="0" priority="1" operator="equal">
      <formula>0</formula>
    </cfRule>
  </conditionalFormatting>
  <conditionalFormatting sqref="C33:L33 N3:N12 N14:N20 N22:N31">
    <cfRule type="cellIs" dxfId="1" priority="2" operator="greaterThan">
      <formula>0</formula>
    </cfRule>
  </conditionalFormatting>
  <conditionalFormatting sqref="C33:L33 N3:N12 N14:N20 N22:N3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38.0"/>
    <col customWidth="1" min="3" max="3" width="8.86"/>
    <col customWidth="1" min="4" max="4" width="9.57"/>
    <col customWidth="1" min="5" max="5" width="12.57"/>
    <col customWidth="1" min="6" max="6" width="8.14"/>
    <col customWidth="1" min="7" max="7" width="7.57"/>
    <col customWidth="1" min="8" max="8" width="13.43"/>
    <col customWidth="1" min="9" max="9" width="10.14"/>
    <col customWidth="1" min="10" max="10" width="12.14"/>
    <col customWidth="1" min="11" max="11" width="11.43"/>
    <col customWidth="1" min="12" max="12" width="11.71"/>
    <col customWidth="1" min="13" max="13" width="8.86"/>
    <col customWidth="1" min="14" max="25" width="9.14"/>
  </cols>
  <sheetData>
    <row r="1" ht="15.0" customHeight="1">
      <c r="A1" s="4" t="s">
        <v>1</v>
      </c>
      <c r="B1" s="6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ht="15.0" customHeight="1">
      <c r="A2" s="16" t="s">
        <v>18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6"/>
      <c r="N2" s="28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ht="15.0" customHeight="1">
      <c r="A3" s="31">
        <v>1290.0</v>
      </c>
      <c r="B3" s="33" t="s">
        <v>87</v>
      </c>
      <c r="C3" s="35">
        <f t="array" ref="C3">IFERROR(_xlfn.XLOOKUP($A3,Commercial!$A:$A,Commercial!$F:$F,0,0),0)</f>
        <v>0</v>
      </c>
      <c r="D3" s="35">
        <f t="array" ref="D3">IFERROR(_xlfn.XLOOKUP($A3,Commercial!$A:$A,Commercial!$L:$L,0,0),0)</f>
        <v>0</v>
      </c>
      <c r="E3" s="35">
        <f t="array" ref="E3">IFERROR(_xlfn.XLOOKUP($A3,Commercial!$A:$A,Commercial!$R:$R,0,0),0)</f>
        <v>0</v>
      </c>
      <c r="F3" s="35">
        <f t="array" ref="F3">IFERROR(_xlfn.XLOOKUP($A3,Commercial!$A:$A,Commercial!$X:$X,0,0),0)</f>
        <v>0</v>
      </c>
      <c r="G3" s="35" t="str">
        <f t="array" ref="G3">IFERROR(_xlfn.XLOOKUP($A3,Commercial!$A:$A,Commercial!$AD:$AD,0,0),0)</f>
        <v/>
      </c>
      <c r="H3" s="46">
        <f t="shared" ref="H3:H14" si="1">SUM(C3:G3)</f>
        <v>0</v>
      </c>
      <c r="I3" s="46"/>
      <c r="J3" s="46">
        <f t="shared" ref="J3:J13" si="2">H3-I3</f>
        <v>0</v>
      </c>
      <c r="K3" s="46">
        <v>0.0</v>
      </c>
      <c r="L3" s="54">
        <f t="shared" ref="L3:L13" si="3">H3-K3</f>
        <v>0</v>
      </c>
      <c r="M3" s="49" t="s">
        <v>42</v>
      </c>
      <c r="N3" s="56" t="s">
        <v>44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ht="15.75" customHeight="1">
      <c r="A4" s="31">
        <v>1301.0</v>
      </c>
      <c r="B4" s="33" t="s">
        <v>63</v>
      </c>
      <c r="C4" s="35">
        <f t="array" ref="C4">IFERROR(_xlfn.XLOOKUP($A4,Commercial!$A:$A,Commercial!$F:$F,0,0),0)</f>
        <v>0</v>
      </c>
      <c r="D4" s="35">
        <f t="array" ref="D4">IFERROR(_xlfn.XLOOKUP($A4,Commercial!$A:$A,Commercial!$L:$L,0,0),0)</f>
        <v>1</v>
      </c>
      <c r="E4" s="35">
        <f t="array" ref="E4">IFERROR(_xlfn.XLOOKUP($A4,Commercial!$A:$A,Commercial!$R:$R,0,0),0)</f>
        <v>0</v>
      </c>
      <c r="F4" s="35">
        <f t="array" ref="F4">IFERROR(_xlfn.XLOOKUP($A4,Commercial!$A:$A,Commercial!$X:$X,0,0),0)</f>
        <v>0</v>
      </c>
      <c r="G4" s="35" t="str">
        <f t="array" ref="G4">IFERROR(_xlfn.XLOOKUP($A4,Commercial!$A:$A,Commercial!$AD:$AD,0,0),0)</f>
        <v/>
      </c>
      <c r="H4" s="46">
        <f t="shared" si="1"/>
        <v>1</v>
      </c>
      <c r="I4" s="46"/>
      <c r="J4" s="46">
        <f t="shared" si="2"/>
        <v>1</v>
      </c>
      <c r="K4" s="46">
        <v>0.0</v>
      </c>
      <c r="L4" s="54">
        <f t="shared" si="3"/>
        <v>1</v>
      </c>
      <c r="M4" s="49" t="s">
        <v>42</v>
      </c>
      <c r="N4" s="56" t="s">
        <v>44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15.75" customHeight="1">
      <c r="A5" s="31">
        <v>1280.0</v>
      </c>
      <c r="B5" s="62" t="s">
        <v>84</v>
      </c>
      <c r="C5" s="58">
        <f t="array" ref="C5">IFERROR(_xlfn.XLOOKUP($A5,Commercial!$A:$A,Commercial!$F:$F,0,0),0)</f>
        <v>0</v>
      </c>
      <c r="D5" s="58">
        <f t="array" ref="D5">IFERROR(_xlfn.XLOOKUP($A5,Commercial!$A:$A,Commercial!$L:$L,0,0),0)</f>
        <v>1</v>
      </c>
      <c r="E5" s="58">
        <f t="array" ref="E5">IFERROR(_xlfn.XLOOKUP($A5,Commercial!$A:$A,Commercial!$R:$R,0,0),0)</f>
        <v>0</v>
      </c>
      <c r="F5" s="58">
        <f t="array" ref="F5">IFERROR(_xlfn.XLOOKUP($A5,Commercial!$A:$A,Commercial!$X:$X,0,0),0)</f>
        <v>1</v>
      </c>
      <c r="G5" s="58" t="str">
        <f t="array" ref="G5">IFERROR(_xlfn.XLOOKUP($A5,Commercial!$A:$A,Commercial!$AD:$AD,0,0),0)</f>
        <v/>
      </c>
      <c r="H5" s="46">
        <f t="shared" si="1"/>
        <v>2</v>
      </c>
      <c r="I5" s="60"/>
      <c r="J5" s="46">
        <f t="shared" si="2"/>
        <v>2</v>
      </c>
      <c r="K5" s="46">
        <v>0.0</v>
      </c>
      <c r="L5" s="54">
        <f t="shared" si="3"/>
        <v>2</v>
      </c>
      <c r="M5" s="49" t="s">
        <v>42</v>
      </c>
      <c r="N5" s="56" t="s">
        <v>44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15.75" customHeight="1">
      <c r="A6" s="31">
        <v>1294.0</v>
      </c>
      <c r="B6" s="62" t="s">
        <v>80</v>
      </c>
      <c r="C6" s="58">
        <f t="array" ref="C6">IFERROR(_xlfn.XLOOKUP($A6,Commercial!$A:$A,Commercial!$F:$F,0,0),0)</f>
        <v>0</v>
      </c>
      <c r="D6" s="58">
        <f t="array" ref="D6">IFERROR(_xlfn.XLOOKUP($A6,Commercial!$A:$A,Commercial!$L:$L,0,0),0)</f>
        <v>0</v>
      </c>
      <c r="E6" s="58">
        <f t="array" ref="E6">IFERROR(_xlfn.XLOOKUP($A6,Commercial!$A:$A,Commercial!$R:$R,0,0),0)</f>
        <v>0</v>
      </c>
      <c r="F6" s="58">
        <f t="array" ref="F6">IFERROR(_xlfn.XLOOKUP($A6,Commercial!$A:$A,Commercial!$X:$X,0,0),0)</f>
        <v>0</v>
      </c>
      <c r="G6" s="58" t="str">
        <f t="array" ref="G6">IFERROR(_xlfn.XLOOKUP($A6,Commercial!$A:$A,Commercial!$AD:$AD,0,0),0)</f>
        <v/>
      </c>
      <c r="H6" s="46">
        <f t="shared" si="1"/>
        <v>0</v>
      </c>
      <c r="I6" s="60"/>
      <c r="J6" s="46">
        <f t="shared" si="2"/>
        <v>0</v>
      </c>
      <c r="K6" s="46">
        <v>0.0</v>
      </c>
      <c r="L6" s="54">
        <f t="shared" si="3"/>
        <v>0</v>
      </c>
      <c r="M6" s="49" t="s">
        <v>42</v>
      </c>
      <c r="N6" s="56" t="s">
        <v>44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15.75" customHeight="1">
      <c r="A7" s="31">
        <v>1175.0</v>
      </c>
      <c r="B7" s="62" t="s">
        <v>50</v>
      </c>
      <c r="C7" s="58">
        <f t="array" ref="C7">IFERROR(_xlfn.XLOOKUP($A7,Commercial!$A:$A,Commercial!$F:$F,0,0),0)</f>
        <v>0</v>
      </c>
      <c r="D7" s="58">
        <f t="array" ref="D7">IFERROR(_xlfn.XLOOKUP($A7,Commercial!$A:$A,Commercial!$L:$L,0,0),0)</f>
        <v>2</v>
      </c>
      <c r="E7" s="58">
        <f t="array" ref="E7">IFERROR(_xlfn.XLOOKUP($A7,Commercial!$A:$A,Commercial!$R:$R,0,0),0)</f>
        <v>0</v>
      </c>
      <c r="F7" s="58">
        <f t="array" ref="F7">IFERROR(_xlfn.XLOOKUP($A7,Commercial!$A:$A,Commercial!$X:$X,0,0),0)</f>
        <v>0</v>
      </c>
      <c r="G7" s="58" t="str">
        <f t="array" ref="G7">IFERROR(_xlfn.XLOOKUP($A7,Commercial!$A:$A,Commercial!$AD:$AD,0,0),0)</f>
        <v/>
      </c>
      <c r="H7" s="46">
        <f t="shared" si="1"/>
        <v>2</v>
      </c>
      <c r="I7" s="60"/>
      <c r="J7" s="46">
        <f t="shared" si="2"/>
        <v>2</v>
      </c>
      <c r="K7" s="46">
        <v>0.0</v>
      </c>
      <c r="L7" s="54">
        <f t="shared" si="3"/>
        <v>2</v>
      </c>
      <c r="M7" s="49" t="s">
        <v>42</v>
      </c>
      <c r="N7" s="56" t="s">
        <v>44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15.75" customHeight="1">
      <c r="A8" s="31">
        <v>1295.0</v>
      </c>
      <c r="B8" s="62" t="s">
        <v>75</v>
      </c>
      <c r="C8" s="58">
        <f t="array" ref="C8">IFERROR(_xlfn.XLOOKUP($A8,Commercial!$A:$A,Commercial!$F:$F,0,0),0)</f>
        <v>0</v>
      </c>
      <c r="D8" s="58">
        <f t="array" ref="D8">IFERROR(_xlfn.XLOOKUP($A8,Commercial!$A:$A,Commercial!$L:$L,0,0),0)</f>
        <v>0</v>
      </c>
      <c r="E8" s="58">
        <f t="array" ref="E8">IFERROR(_xlfn.XLOOKUP($A8,Commercial!$A:$A,Commercial!$R:$R,0,0),0)</f>
        <v>0</v>
      </c>
      <c r="F8" s="58">
        <f t="array" ref="F8">IFERROR(_xlfn.XLOOKUP($A8,Commercial!$A:$A,Commercial!$X:$X,0,0),0)</f>
        <v>0</v>
      </c>
      <c r="G8" s="58" t="str">
        <f t="array" ref="G8">IFERROR(_xlfn.XLOOKUP($A8,Commercial!$A:$A,Commercial!$AD:$AD,0,0),0)</f>
        <v/>
      </c>
      <c r="H8" s="46">
        <f t="shared" si="1"/>
        <v>0</v>
      </c>
      <c r="I8" s="60"/>
      <c r="J8" s="46">
        <f t="shared" si="2"/>
        <v>0</v>
      </c>
      <c r="K8" s="46">
        <v>0.0</v>
      </c>
      <c r="L8" s="54">
        <f t="shared" si="3"/>
        <v>0</v>
      </c>
      <c r="M8" s="49" t="s">
        <v>42</v>
      </c>
      <c r="N8" s="56" t="s">
        <v>44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15.75" customHeight="1">
      <c r="A9" s="31">
        <v>1300.0</v>
      </c>
      <c r="B9" s="62" t="s">
        <v>90</v>
      </c>
      <c r="C9" s="58">
        <f t="array" ref="C9">IFERROR(_xlfn.XLOOKUP($A9,Commercial!$A:$A,Commercial!$F:$F,0,0),0)</f>
        <v>0</v>
      </c>
      <c r="D9" s="58">
        <f t="array" ref="D9">IFERROR(_xlfn.XLOOKUP($A9,Commercial!$A:$A,Commercial!$L:$L,0,0),0)</f>
        <v>0</v>
      </c>
      <c r="E9" s="58">
        <f t="array" ref="E9">IFERROR(_xlfn.XLOOKUP($A9,Commercial!$A:$A,Commercial!$R:$R,0,0),0)</f>
        <v>0</v>
      </c>
      <c r="F9" s="58">
        <f t="array" ref="F9">IFERROR(_xlfn.XLOOKUP($A9,Commercial!$A:$A,Commercial!$X:$X,0,0),0)</f>
        <v>0</v>
      </c>
      <c r="G9" s="58" t="str">
        <f t="array" ref="G9">IFERROR(_xlfn.XLOOKUP($A9,Commercial!$A:$A,Commercial!$AD:$AD,0,0),0)</f>
        <v/>
      </c>
      <c r="H9" s="46">
        <f t="shared" si="1"/>
        <v>0</v>
      </c>
      <c r="I9" s="60"/>
      <c r="J9" s="46">
        <f t="shared" si="2"/>
        <v>0</v>
      </c>
      <c r="K9" s="46">
        <v>0.0</v>
      </c>
      <c r="L9" s="54">
        <f t="shared" si="3"/>
        <v>0</v>
      </c>
      <c r="M9" s="49" t="s">
        <v>42</v>
      </c>
      <c r="N9" s="56" t="s">
        <v>44</v>
      </c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15.75" customHeight="1">
      <c r="A10" s="31">
        <v>1291.0</v>
      </c>
      <c r="B10" s="62" t="s">
        <v>52</v>
      </c>
      <c r="C10" s="58">
        <f t="array" ref="C10">IFERROR(_xlfn.XLOOKUP($A10,Commercial!$A:$A,Commercial!$F:$F,0,0),0)</f>
        <v>1</v>
      </c>
      <c r="D10" s="58">
        <f t="array" ref="D10">IFERROR(_xlfn.XLOOKUP($A10,Commercial!$A:$A,Commercial!$L:$L,0,0),0)</f>
        <v>1</v>
      </c>
      <c r="E10" s="58">
        <f t="array" ref="E10">IFERROR(_xlfn.XLOOKUP($A10,Commercial!$A:$A,Commercial!$R:$R,0,0),0)</f>
        <v>0</v>
      </c>
      <c r="F10" s="58">
        <f t="array" ref="F10">IFERROR(_xlfn.XLOOKUP($A10,Commercial!$A:$A,Commercial!$X:$X,0,0),0)</f>
        <v>0</v>
      </c>
      <c r="G10" s="58" t="str">
        <f t="array" ref="G10">IFERROR(_xlfn.XLOOKUP($A10,Commercial!$A:$A,Commercial!$AD:$AD,0,0),0)</f>
        <v/>
      </c>
      <c r="H10" s="46">
        <f t="shared" si="1"/>
        <v>2</v>
      </c>
      <c r="I10" s="60"/>
      <c r="J10" s="46">
        <f t="shared" si="2"/>
        <v>2</v>
      </c>
      <c r="K10" s="46">
        <v>0.0</v>
      </c>
      <c r="L10" s="54">
        <f t="shared" si="3"/>
        <v>2</v>
      </c>
      <c r="M10" s="49" t="s">
        <v>42</v>
      </c>
      <c r="N10" s="56" t="s">
        <v>44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15.75" customHeight="1">
      <c r="A11" s="31">
        <v>1298.0</v>
      </c>
      <c r="B11" s="62" t="s">
        <v>85</v>
      </c>
      <c r="C11" s="58">
        <f t="array" ref="C11">IFERROR(_xlfn.XLOOKUP($A11,Commercial!$A:$A,Commercial!$F:$F,0,0),0)</f>
        <v>0</v>
      </c>
      <c r="D11" s="58">
        <f t="array" ref="D11">IFERROR(_xlfn.XLOOKUP($A11,Commercial!$A:$A,Commercial!$L:$L,0,0),0)</f>
        <v>2</v>
      </c>
      <c r="E11" s="58">
        <f t="array" ref="E11">IFERROR(_xlfn.XLOOKUP($A11,Commercial!$A:$A,Commercial!$R:$R,0,0),0)</f>
        <v>0</v>
      </c>
      <c r="F11" s="58">
        <f t="array" ref="F11">IFERROR(_xlfn.XLOOKUP($A11,Commercial!$A:$A,Commercial!$X:$X,0,0),0)</f>
        <v>0</v>
      </c>
      <c r="G11" s="58" t="str">
        <f t="array" ref="G11">IFERROR(_xlfn.XLOOKUP($A11,Commercial!$A:$A,Commercial!$AD:$AD,0,0),0)</f>
        <v/>
      </c>
      <c r="H11" s="46">
        <f t="shared" si="1"/>
        <v>2</v>
      </c>
      <c r="I11" s="60"/>
      <c r="J11" s="46">
        <f t="shared" si="2"/>
        <v>2</v>
      </c>
      <c r="K11" s="46">
        <v>0.0</v>
      </c>
      <c r="L11" s="54">
        <f t="shared" si="3"/>
        <v>2</v>
      </c>
      <c r="M11" s="49" t="s">
        <v>42</v>
      </c>
      <c r="N11" s="56" t="s">
        <v>44</v>
      </c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15.75" customHeight="1">
      <c r="A12" s="31"/>
      <c r="B12" s="62"/>
      <c r="C12" s="58"/>
      <c r="D12" s="58"/>
      <c r="E12" s="58"/>
      <c r="F12" s="58"/>
      <c r="G12" s="58"/>
      <c r="H12" s="46">
        <f t="shared" si="1"/>
        <v>0</v>
      </c>
      <c r="I12" s="60"/>
      <c r="J12" s="46">
        <f t="shared" si="2"/>
        <v>0</v>
      </c>
      <c r="K12" s="46">
        <v>0.0</v>
      </c>
      <c r="L12" s="54">
        <f t="shared" si="3"/>
        <v>0</v>
      </c>
      <c r="M12" s="49" t="s">
        <v>42</v>
      </c>
      <c r="N12" s="56" t="s">
        <v>44</v>
      </c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15.75" customHeight="1">
      <c r="A13" s="31"/>
      <c r="B13" s="62"/>
      <c r="C13" s="58"/>
      <c r="D13" s="58"/>
      <c r="E13" s="58"/>
      <c r="F13" s="58"/>
      <c r="G13" s="58"/>
      <c r="H13" s="60">
        <f t="shared" si="1"/>
        <v>0</v>
      </c>
      <c r="I13" s="60"/>
      <c r="J13" s="46">
        <f t="shared" si="2"/>
        <v>0</v>
      </c>
      <c r="K13" s="46">
        <v>0.0</v>
      </c>
      <c r="L13" s="54">
        <f t="shared" si="3"/>
        <v>0</v>
      </c>
      <c r="M13" s="49" t="s">
        <v>42</v>
      </c>
      <c r="N13" s="56" t="s">
        <v>44</v>
      </c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15.75" customHeight="1">
      <c r="B14" s="193" t="s">
        <v>59</v>
      </c>
      <c r="C14" s="194">
        <f t="shared" ref="C14:G14" si="4">SUM(C3:C13)</f>
        <v>1</v>
      </c>
      <c r="D14" s="194">
        <f t="shared" si="4"/>
        <v>7</v>
      </c>
      <c r="E14" s="194">
        <f t="shared" si="4"/>
        <v>0</v>
      </c>
      <c r="F14" s="194">
        <f t="shared" si="4"/>
        <v>1</v>
      </c>
      <c r="G14" s="194">
        <f t="shared" si="4"/>
        <v>0</v>
      </c>
      <c r="H14" s="220">
        <f t="shared" si="1"/>
        <v>9</v>
      </c>
      <c r="I14" s="194"/>
      <c r="J14" s="194"/>
      <c r="K14" s="195">
        <f>SUM(K3:K13)</f>
        <v>0</v>
      </c>
      <c r="L14" s="221"/>
      <c r="M14" s="150" t="s">
        <v>42</v>
      </c>
      <c r="N14" s="56" t="s">
        <v>44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15.75" customHeight="1">
      <c r="A15" s="28"/>
      <c r="B15" s="81" t="s">
        <v>71</v>
      </c>
      <c r="C15" s="82"/>
      <c r="D15" s="82"/>
      <c r="E15" s="82"/>
      <c r="F15" s="82"/>
      <c r="G15" s="82"/>
      <c r="H15" s="86"/>
      <c r="I15" s="86"/>
      <c r="J15" s="86"/>
      <c r="K15" s="82"/>
      <c r="L15" s="82"/>
      <c r="M15" s="82"/>
      <c r="N15" s="82"/>
      <c r="O15" s="10"/>
      <c r="P15" s="10"/>
      <c r="U15" s="10"/>
      <c r="V15" s="10"/>
      <c r="W15" s="10"/>
      <c r="X15" s="10"/>
      <c r="Y15" s="10"/>
    </row>
    <row r="16" ht="15.75" customHeight="1">
      <c r="A16" s="4" t="s">
        <v>1</v>
      </c>
      <c r="B16" s="6" t="s">
        <v>3</v>
      </c>
      <c r="C16" s="4" t="s">
        <v>4</v>
      </c>
      <c r="D16" s="4" t="s">
        <v>5</v>
      </c>
      <c r="E16" s="4" t="s">
        <v>6</v>
      </c>
      <c r="F16" s="4" t="s">
        <v>7</v>
      </c>
      <c r="G16" s="4" t="s">
        <v>8</v>
      </c>
      <c r="H16" s="4" t="s">
        <v>11</v>
      </c>
      <c r="I16" s="4" t="s">
        <v>12</v>
      </c>
      <c r="J16" s="4" t="s">
        <v>13</v>
      </c>
      <c r="K16" s="4" t="s">
        <v>14</v>
      </c>
      <c r="L16" s="4" t="s">
        <v>15</v>
      </c>
      <c r="M16" s="4" t="s">
        <v>16</v>
      </c>
      <c r="N16" s="4" t="s">
        <v>17</v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15.75" customHeight="1">
      <c r="A17" s="31"/>
      <c r="B17" s="62"/>
      <c r="C17" s="35"/>
      <c r="D17" s="35"/>
      <c r="E17" s="35"/>
      <c r="F17" s="35"/>
      <c r="G17" s="35"/>
      <c r="H17" s="46">
        <f t="shared" ref="H17:H26" si="5">SUM(C17:G17)</f>
        <v>0</v>
      </c>
      <c r="I17" s="46"/>
      <c r="J17" s="46">
        <f t="shared" ref="J17:J26" si="6">H17-I17</f>
        <v>0</v>
      </c>
      <c r="K17" s="46">
        <v>0.0</v>
      </c>
      <c r="L17" s="54">
        <f t="shared" ref="L17:L27" si="7">H17-K17</f>
        <v>0</v>
      </c>
      <c r="M17" s="49" t="s">
        <v>42</v>
      </c>
      <c r="N17" s="56" t="s">
        <v>44</v>
      </c>
      <c r="O17" s="10"/>
      <c r="P17" s="10"/>
      <c r="U17" s="10"/>
      <c r="V17" s="10"/>
      <c r="W17" s="10"/>
      <c r="X17" s="10"/>
      <c r="Y17" s="10"/>
    </row>
    <row r="18" ht="15.75" customHeight="1">
      <c r="A18" s="90"/>
      <c r="B18" s="93"/>
      <c r="C18" s="58"/>
      <c r="D18" s="58"/>
      <c r="E18" s="58"/>
      <c r="F18" s="35"/>
      <c r="G18" s="35"/>
      <c r="H18" s="46">
        <f t="shared" si="5"/>
        <v>0</v>
      </c>
      <c r="I18" s="46"/>
      <c r="J18" s="60">
        <f t="shared" si="6"/>
        <v>0</v>
      </c>
      <c r="K18" s="60">
        <v>0.0</v>
      </c>
      <c r="L18" s="222">
        <f t="shared" si="7"/>
        <v>0</v>
      </c>
      <c r="M18" s="138" t="s">
        <v>42</v>
      </c>
      <c r="N18" s="56" t="s">
        <v>44</v>
      </c>
      <c r="O18" s="10"/>
      <c r="P18" s="10"/>
      <c r="U18" s="10"/>
      <c r="V18" s="10"/>
      <c r="W18" s="10"/>
      <c r="X18" s="10"/>
      <c r="Y18" s="10"/>
    </row>
    <row r="19" ht="15.75" customHeight="1">
      <c r="A19" s="31"/>
      <c r="B19" s="56"/>
      <c r="C19" s="58"/>
      <c r="D19" s="58"/>
      <c r="E19" s="58"/>
      <c r="F19" s="35"/>
      <c r="G19" s="35"/>
      <c r="H19" s="46">
        <f t="shared" si="5"/>
        <v>0</v>
      </c>
      <c r="I19" s="46"/>
      <c r="J19" s="60">
        <f t="shared" si="6"/>
        <v>0</v>
      </c>
      <c r="K19" s="60">
        <v>0.0</v>
      </c>
      <c r="L19" s="222">
        <f t="shared" si="7"/>
        <v>0</v>
      </c>
      <c r="M19" s="138" t="s">
        <v>42</v>
      </c>
      <c r="N19" s="56" t="s">
        <v>44</v>
      </c>
      <c r="O19" s="10"/>
      <c r="P19" s="10"/>
      <c r="U19" s="10"/>
      <c r="V19" s="10"/>
      <c r="W19" s="10"/>
      <c r="X19" s="10"/>
      <c r="Y19" s="10"/>
    </row>
    <row r="20" ht="15.75" customHeight="1">
      <c r="A20" s="31"/>
      <c r="B20" s="56"/>
      <c r="C20" s="58"/>
      <c r="D20" s="58"/>
      <c r="E20" s="58"/>
      <c r="F20" s="35"/>
      <c r="G20" s="35"/>
      <c r="H20" s="46">
        <f t="shared" si="5"/>
        <v>0</v>
      </c>
      <c r="I20" s="46"/>
      <c r="J20" s="60">
        <f t="shared" si="6"/>
        <v>0</v>
      </c>
      <c r="K20" s="60">
        <v>0.0</v>
      </c>
      <c r="L20" s="222">
        <f t="shared" si="7"/>
        <v>0</v>
      </c>
      <c r="M20" s="138" t="s">
        <v>42</v>
      </c>
      <c r="N20" s="56" t="s">
        <v>44</v>
      </c>
      <c r="O20" s="10"/>
      <c r="P20" s="10"/>
      <c r="U20" s="10"/>
      <c r="V20" s="10"/>
      <c r="W20" s="10"/>
      <c r="X20" s="10"/>
      <c r="Y20" s="10"/>
    </row>
    <row r="21" ht="15.75" customHeight="1">
      <c r="A21" s="90"/>
      <c r="B21" s="91"/>
      <c r="C21" s="58"/>
      <c r="D21" s="58"/>
      <c r="E21" s="58"/>
      <c r="F21" s="35"/>
      <c r="G21" s="35"/>
      <c r="H21" s="46">
        <f t="shared" si="5"/>
        <v>0</v>
      </c>
      <c r="I21" s="46"/>
      <c r="J21" s="60">
        <f t="shared" si="6"/>
        <v>0</v>
      </c>
      <c r="K21" s="60">
        <v>0.0</v>
      </c>
      <c r="L21" s="222">
        <f t="shared" si="7"/>
        <v>0</v>
      </c>
      <c r="M21" s="138" t="s">
        <v>42</v>
      </c>
      <c r="N21" s="56" t="s">
        <v>44</v>
      </c>
      <c r="O21" s="10"/>
      <c r="P21" s="10"/>
      <c r="U21" s="10"/>
      <c r="V21" s="10"/>
      <c r="W21" s="10"/>
      <c r="X21" s="10"/>
      <c r="Y21" s="10"/>
    </row>
    <row r="22" ht="15.75" customHeight="1">
      <c r="A22" s="90"/>
      <c r="B22" s="91"/>
      <c r="C22" s="35"/>
      <c r="D22" s="35"/>
      <c r="E22" s="35"/>
      <c r="F22" s="35"/>
      <c r="G22" s="35"/>
      <c r="H22" s="46">
        <f t="shared" si="5"/>
        <v>0</v>
      </c>
      <c r="I22" s="46"/>
      <c r="J22" s="60">
        <f t="shared" si="6"/>
        <v>0</v>
      </c>
      <c r="K22" s="46">
        <v>0.0</v>
      </c>
      <c r="L22" s="54">
        <f t="shared" si="7"/>
        <v>0</v>
      </c>
      <c r="M22" s="49" t="s">
        <v>42</v>
      </c>
      <c r="N22" s="56" t="s">
        <v>44</v>
      </c>
      <c r="O22" s="10"/>
      <c r="P22" s="10"/>
      <c r="U22" s="10"/>
      <c r="V22" s="10"/>
      <c r="W22" s="10"/>
      <c r="X22" s="10"/>
      <c r="Y22" s="10"/>
    </row>
    <row r="23" ht="15.75" customHeight="1">
      <c r="A23" s="31"/>
      <c r="B23" s="33"/>
      <c r="C23" s="35"/>
      <c r="D23" s="35"/>
      <c r="E23" s="35"/>
      <c r="F23" s="35"/>
      <c r="G23" s="35"/>
      <c r="H23" s="46">
        <f t="shared" si="5"/>
        <v>0</v>
      </c>
      <c r="I23" s="46"/>
      <c r="J23" s="60">
        <f t="shared" si="6"/>
        <v>0</v>
      </c>
      <c r="K23" s="46">
        <v>0.0</v>
      </c>
      <c r="L23" s="54">
        <f t="shared" si="7"/>
        <v>0</v>
      </c>
      <c r="M23" s="49" t="s">
        <v>42</v>
      </c>
      <c r="N23" s="56" t="s">
        <v>44</v>
      </c>
      <c r="O23" s="10"/>
      <c r="P23" s="10"/>
      <c r="U23" s="10"/>
      <c r="V23" s="10"/>
      <c r="W23" s="10"/>
      <c r="X23" s="10"/>
      <c r="Y23" s="10"/>
    </row>
    <row r="24" ht="15.75" customHeight="1">
      <c r="A24" s="90"/>
      <c r="B24" s="91"/>
      <c r="C24" s="35"/>
      <c r="D24" s="35"/>
      <c r="E24" s="35"/>
      <c r="F24" s="35"/>
      <c r="G24" s="35"/>
      <c r="H24" s="46">
        <f t="shared" si="5"/>
        <v>0</v>
      </c>
      <c r="I24" s="46"/>
      <c r="J24" s="60">
        <f t="shared" si="6"/>
        <v>0</v>
      </c>
      <c r="K24" s="46">
        <v>0.0</v>
      </c>
      <c r="L24" s="54">
        <f t="shared" si="7"/>
        <v>0</v>
      </c>
      <c r="M24" s="49" t="s">
        <v>42</v>
      </c>
      <c r="N24" s="56" t="s">
        <v>44</v>
      </c>
      <c r="O24" s="10"/>
      <c r="P24" s="10"/>
      <c r="U24" s="10"/>
      <c r="V24" s="10"/>
      <c r="W24" s="10"/>
      <c r="X24" s="10"/>
      <c r="Y24" s="10"/>
    </row>
    <row r="25" ht="15.75" customHeight="1">
      <c r="A25" s="90"/>
      <c r="B25" s="91"/>
      <c r="C25" s="35"/>
      <c r="D25" s="35"/>
      <c r="E25" s="35"/>
      <c r="F25" s="35"/>
      <c r="G25" s="35"/>
      <c r="H25" s="46">
        <f t="shared" si="5"/>
        <v>0</v>
      </c>
      <c r="I25" s="46"/>
      <c r="J25" s="60">
        <f t="shared" si="6"/>
        <v>0</v>
      </c>
      <c r="K25" s="46">
        <v>0.0</v>
      </c>
      <c r="L25" s="54">
        <f t="shared" si="7"/>
        <v>0</v>
      </c>
      <c r="M25" s="49" t="s">
        <v>42</v>
      </c>
      <c r="N25" s="56" t="s">
        <v>44</v>
      </c>
      <c r="O25" s="10"/>
      <c r="P25" s="10"/>
      <c r="U25" s="10"/>
      <c r="V25" s="10"/>
      <c r="W25" s="10"/>
      <c r="X25" s="10"/>
      <c r="Y25" s="10"/>
    </row>
    <row r="26" ht="15.75" customHeight="1">
      <c r="A26" s="90"/>
      <c r="B26" s="91"/>
      <c r="C26" s="35"/>
      <c r="D26" s="35"/>
      <c r="E26" s="35"/>
      <c r="F26" s="35"/>
      <c r="G26" s="35"/>
      <c r="H26" s="46">
        <f t="shared" si="5"/>
        <v>0</v>
      </c>
      <c r="I26" s="46"/>
      <c r="J26" s="60">
        <f t="shared" si="6"/>
        <v>0</v>
      </c>
      <c r="K26" s="46">
        <v>0.0</v>
      </c>
      <c r="L26" s="54">
        <f t="shared" si="7"/>
        <v>0</v>
      </c>
      <c r="M26" s="49" t="s">
        <v>42</v>
      </c>
      <c r="N26" s="56" t="s">
        <v>44</v>
      </c>
      <c r="O26" s="10"/>
      <c r="P26" s="10"/>
      <c r="U26" s="10"/>
      <c r="V26" s="10"/>
      <c r="W26" s="10"/>
      <c r="X26" s="10"/>
      <c r="Y26" s="10"/>
    </row>
    <row r="27" ht="15.75" customHeight="1">
      <c r="A27" s="90"/>
      <c r="B27" s="223" t="s">
        <v>59</v>
      </c>
      <c r="C27" s="224">
        <f t="shared" ref="C27:G27" si="8">SUM(C17:C20)</f>
        <v>0</v>
      </c>
      <c r="D27" s="224">
        <f t="shared" si="8"/>
        <v>0</v>
      </c>
      <c r="E27" s="224">
        <f t="shared" si="8"/>
        <v>0</v>
      </c>
      <c r="F27" s="224">
        <f t="shared" si="8"/>
        <v>0</v>
      </c>
      <c r="G27" s="224">
        <f t="shared" si="8"/>
        <v>0</v>
      </c>
      <c r="H27" s="224">
        <f>SUM(H17:H26)</f>
        <v>0</v>
      </c>
      <c r="I27" s="224">
        <f>SUM(I17:I20)</f>
        <v>0</v>
      </c>
      <c r="J27" s="224">
        <f>SUM(J17:J26)</f>
        <v>0</v>
      </c>
      <c r="K27" s="225">
        <f>SUM(K17)</f>
        <v>0</v>
      </c>
      <c r="L27" s="226">
        <f t="shared" si="7"/>
        <v>0</v>
      </c>
      <c r="M27" s="227" t="s">
        <v>42</v>
      </c>
      <c r="N27" s="56" t="s">
        <v>44</v>
      </c>
      <c r="O27" s="10"/>
      <c r="P27" s="10"/>
      <c r="U27" s="10"/>
      <c r="V27" s="10"/>
      <c r="W27" s="10"/>
      <c r="X27" s="10"/>
      <c r="Y27" s="10"/>
    </row>
    <row r="28" ht="15.75" customHeight="1">
      <c r="A28" s="28"/>
      <c r="B28" s="81" t="s">
        <v>74</v>
      </c>
      <c r="C28" s="82"/>
      <c r="D28" s="82"/>
      <c r="E28" s="82"/>
      <c r="F28" s="82"/>
      <c r="G28" s="82"/>
      <c r="H28" s="86"/>
      <c r="I28" s="86"/>
      <c r="J28" s="86"/>
      <c r="K28" s="82"/>
      <c r="L28" s="228"/>
      <c r="M28" s="82"/>
      <c r="N28" s="82"/>
      <c r="O28" s="10"/>
      <c r="P28" s="10"/>
      <c r="U28" s="10"/>
      <c r="V28" s="10"/>
      <c r="W28" s="10"/>
      <c r="X28" s="10"/>
      <c r="Y28" s="10"/>
    </row>
    <row r="29" ht="15.75" customHeight="1">
      <c r="A29" s="4" t="s">
        <v>1</v>
      </c>
      <c r="B29" s="6" t="s">
        <v>3</v>
      </c>
      <c r="C29" s="4" t="s">
        <v>4</v>
      </c>
      <c r="D29" s="4" t="s">
        <v>5</v>
      </c>
      <c r="E29" s="4" t="s">
        <v>6</v>
      </c>
      <c r="F29" s="4" t="s">
        <v>7</v>
      </c>
      <c r="G29" s="4" t="s">
        <v>8</v>
      </c>
      <c r="H29" s="4" t="s">
        <v>11</v>
      </c>
      <c r="I29" s="4" t="s">
        <v>12</v>
      </c>
      <c r="J29" s="4" t="s">
        <v>13</v>
      </c>
      <c r="K29" s="4" t="s">
        <v>14</v>
      </c>
      <c r="L29" s="4" t="s">
        <v>15</v>
      </c>
      <c r="M29" s="4" t="s">
        <v>16</v>
      </c>
      <c r="N29" s="4" t="s">
        <v>17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15.75" customHeight="1">
      <c r="A30" s="90"/>
      <c r="B30" s="98"/>
      <c r="C30" s="35"/>
      <c r="D30" s="35"/>
      <c r="E30" s="35"/>
      <c r="F30" s="35"/>
      <c r="G30" s="35"/>
      <c r="H30" s="46">
        <f t="shared" ref="H30:H33" si="9">SUM(C30:G30)</f>
        <v>0</v>
      </c>
      <c r="I30" s="46"/>
      <c r="J30" s="46">
        <f t="shared" ref="J30:J33" si="10">H30-I30</f>
        <v>0</v>
      </c>
      <c r="K30" s="46">
        <v>0.0</v>
      </c>
      <c r="L30" s="54">
        <f t="shared" ref="L30:L33" si="11">H30-K30</f>
        <v>0</v>
      </c>
      <c r="M30" s="49" t="s">
        <v>42</v>
      </c>
      <c r="N30" s="56" t="s">
        <v>44</v>
      </c>
      <c r="O30" s="10"/>
      <c r="P30" s="10"/>
      <c r="U30" s="10"/>
      <c r="V30" s="10"/>
      <c r="W30" s="10"/>
      <c r="X30" s="10"/>
      <c r="Y30" s="10"/>
    </row>
    <row r="31" ht="15.75" customHeight="1">
      <c r="A31" s="90"/>
      <c r="B31" s="91"/>
      <c r="C31" s="35"/>
      <c r="D31" s="35"/>
      <c r="E31" s="35"/>
      <c r="F31" s="35"/>
      <c r="G31" s="35"/>
      <c r="H31" s="46">
        <f t="shared" si="9"/>
        <v>0</v>
      </c>
      <c r="I31" s="46"/>
      <c r="J31" s="46">
        <f t="shared" si="10"/>
        <v>0</v>
      </c>
      <c r="K31" s="46">
        <v>0.0</v>
      </c>
      <c r="L31" s="54">
        <f t="shared" si="11"/>
        <v>0</v>
      </c>
      <c r="M31" s="49" t="s">
        <v>42</v>
      </c>
      <c r="N31" s="56" t="s">
        <v>44</v>
      </c>
      <c r="O31" s="10"/>
      <c r="P31" s="10"/>
      <c r="U31" s="10"/>
      <c r="V31" s="10"/>
      <c r="W31" s="10"/>
      <c r="X31" s="10"/>
      <c r="Y31" s="10"/>
    </row>
    <row r="32" ht="15.75" customHeight="1">
      <c r="A32" s="90"/>
      <c r="B32" s="91"/>
      <c r="C32" s="35"/>
      <c r="D32" s="35"/>
      <c r="E32" s="35"/>
      <c r="F32" s="35"/>
      <c r="G32" s="35"/>
      <c r="H32" s="46">
        <f t="shared" si="9"/>
        <v>0</v>
      </c>
      <c r="I32" s="46"/>
      <c r="J32" s="46">
        <f t="shared" si="10"/>
        <v>0</v>
      </c>
      <c r="K32" s="46">
        <v>0.0</v>
      </c>
      <c r="L32" s="54">
        <f t="shared" si="11"/>
        <v>0</v>
      </c>
      <c r="M32" s="49" t="s">
        <v>42</v>
      </c>
      <c r="N32" s="56" t="s">
        <v>44</v>
      </c>
      <c r="O32" s="10"/>
      <c r="P32" s="10"/>
      <c r="U32" s="10"/>
      <c r="V32" s="10"/>
      <c r="W32" s="10"/>
      <c r="X32" s="10"/>
      <c r="Y32" s="10"/>
    </row>
    <row r="33" ht="15.75" customHeight="1">
      <c r="A33" s="90"/>
      <c r="B33" s="93"/>
      <c r="C33" s="35"/>
      <c r="D33" s="35"/>
      <c r="E33" s="35"/>
      <c r="F33" s="35"/>
      <c r="G33" s="35"/>
      <c r="H33" s="46">
        <f t="shared" si="9"/>
        <v>0</v>
      </c>
      <c r="I33" s="46"/>
      <c r="J33" s="46">
        <f t="shared" si="10"/>
        <v>0</v>
      </c>
      <c r="K33" s="46">
        <v>0.0</v>
      </c>
      <c r="L33" s="54">
        <f t="shared" si="11"/>
        <v>0</v>
      </c>
      <c r="M33" s="49" t="s">
        <v>42</v>
      </c>
      <c r="N33" s="56" t="s">
        <v>44</v>
      </c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15.75" customHeight="1">
      <c r="A34" s="28"/>
      <c r="B34" s="32" t="s">
        <v>76</v>
      </c>
      <c r="C34" s="28"/>
      <c r="D34" s="28"/>
      <c r="E34" s="28"/>
      <c r="F34" s="28"/>
      <c r="G34" s="28"/>
      <c r="H34" s="4"/>
      <c r="I34" s="4"/>
      <c r="J34" s="4"/>
      <c r="K34" s="28"/>
      <c r="L34" s="229"/>
      <c r="M34" s="112"/>
      <c r="N34" s="112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17.25" customHeight="1">
      <c r="A35" s="113"/>
      <c r="B35" s="93"/>
      <c r="C35" s="35"/>
      <c r="D35" s="35"/>
      <c r="E35" s="35"/>
      <c r="F35" s="35"/>
      <c r="G35" s="35"/>
      <c r="H35" s="46">
        <f t="shared" ref="H35:H38" si="12">SUM(C35:G35)</f>
        <v>0</v>
      </c>
      <c r="I35" s="46"/>
      <c r="J35" s="46">
        <f t="shared" ref="J35:J38" si="13">H35-I35</f>
        <v>0</v>
      </c>
      <c r="K35" s="35">
        <v>0.0</v>
      </c>
      <c r="L35" s="54">
        <f t="shared" ref="L35:L38" si="14">H35-K35</f>
        <v>0</v>
      </c>
      <c r="M35" s="49" t="s">
        <v>42</v>
      </c>
      <c r="N35" s="56" t="s">
        <v>44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17.25" customHeight="1">
      <c r="A36" s="113"/>
      <c r="B36" s="93"/>
      <c r="C36" s="35"/>
      <c r="D36" s="35"/>
      <c r="E36" s="35"/>
      <c r="F36" s="35"/>
      <c r="G36" s="35"/>
      <c r="H36" s="46">
        <f t="shared" si="12"/>
        <v>0</v>
      </c>
      <c r="I36" s="46"/>
      <c r="J36" s="46">
        <f t="shared" si="13"/>
        <v>0</v>
      </c>
      <c r="K36" s="35">
        <v>0.0</v>
      </c>
      <c r="L36" s="54">
        <f t="shared" si="14"/>
        <v>0</v>
      </c>
      <c r="M36" s="49" t="s">
        <v>42</v>
      </c>
      <c r="N36" s="56" t="s">
        <v>44</v>
      </c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17.25" customHeight="1">
      <c r="A37" s="113"/>
      <c r="B37" s="93"/>
      <c r="C37" s="35"/>
      <c r="D37" s="35"/>
      <c r="E37" s="35"/>
      <c r="F37" s="35"/>
      <c r="G37" s="35"/>
      <c r="H37" s="46">
        <f t="shared" si="12"/>
        <v>0</v>
      </c>
      <c r="I37" s="46"/>
      <c r="J37" s="46">
        <f t="shared" si="13"/>
        <v>0</v>
      </c>
      <c r="K37" s="35">
        <v>0.0</v>
      </c>
      <c r="L37" s="54">
        <f t="shared" si="14"/>
        <v>0</v>
      </c>
      <c r="M37" s="49" t="s">
        <v>42</v>
      </c>
      <c r="N37" s="56" t="s">
        <v>44</v>
      </c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17.25" customHeight="1">
      <c r="A38" s="113"/>
      <c r="B38" s="230"/>
      <c r="C38" s="58"/>
      <c r="D38" s="58"/>
      <c r="E38" s="58"/>
      <c r="F38" s="58"/>
      <c r="G38" s="58"/>
      <c r="H38" s="46">
        <f t="shared" si="12"/>
        <v>0</v>
      </c>
      <c r="I38" s="60"/>
      <c r="J38" s="60">
        <f t="shared" si="13"/>
        <v>0</v>
      </c>
      <c r="K38" s="58">
        <v>0.0</v>
      </c>
      <c r="L38" s="222">
        <f t="shared" si="14"/>
        <v>0</v>
      </c>
      <c r="M38" s="138" t="s">
        <v>42</v>
      </c>
      <c r="N38" s="56" t="s">
        <v>44</v>
      </c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15.75" customHeight="1">
      <c r="A39" s="191"/>
      <c r="B39" s="193" t="s">
        <v>59</v>
      </c>
      <c r="C39" s="194">
        <f t="shared" ref="C39:K39" si="15">+SUM(C14,C27)</f>
        <v>1</v>
      </c>
      <c r="D39" s="194">
        <f t="shared" si="15"/>
        <v>7</v>
      </c>
      <c r="E39" s="194">
        <f t="shared" si="15"/>
        <v>0</v>
      </c>
      <c r="F39" s="194">
        <f t="shared" si="15"/>
        <v>1</v>
      </c>
      <c r="G39" s="194">
        <f t="shared" si="15"/>
        <v>0</v>
      </c>
      <c r="H39" s="194">
        <f t="shared" si="15"/>
        <v>9</v>
      </c>
      <c r="I39" s="194">
        <f t="shared" si="15"/>
        <v>0</v>
      </c>
      <c r="J39" s="194">
        <f t="shared" si="15"/>
        <v>0</v>
      </c>
      <c r="K39" s="195">
        <f t="shared" si="15"/>
        <v>0</v>
      </c>
      <c r="L39" s="231">
        <v>0.0</v>
      </c>
      <c r="M39" s="232"/>
      <c r="N39" s="233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15.75" customHeight="1">
      <c r="A40" s="49"/>
      <c r="B40" s="234" t="s">
        <v>14</v>
      </c>
      <c r="C40" s="201">
        <v>0.0</v>
      </c>
      <c r="D40" s="201">
        <v>0.0</v>
      </c>
      <c r="E40" s="206">
        <v>0.0</v>
      </c>
      <c r="F40" s="201">
        <v>0.0</v>
      </c>
      <c r="G40" s="201">
        <v>0.0</v>
      </c>
      <c r="H40" s="201">
        <v>0.0</v>
      </c>
      <c r="I40" s="119"/>
      <c r="J40" s="119"/>
      <c r="K40" s="119"/>
      <c r="L40" s="120"/>
      <c r="M40" s="12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15.75" customHeight="1">
      <c r="A41" s="119"/>
      <c r="B41" s="69" t="s">
        <v>15</v>
      </c>
      <c r="C41" s="49">
        <f t="shared" ref="C41:H41" si="16">C39-C40</f>
        <v>1</v>
      </c>
      <c r="D41" s="49">
        <f t="shared" si="16"/>
        <v>7</v>
      </c>
      <c r="E41" s="49">
        <f t="shared" si="16"/>
        <v>0</v>
      </c>
      <c r="F41" s="49">
        <f t="shared" si="16"/>
        <v>1</v>
      </c>
      <c r="G41" s="49">
        <f t="shared" si="16"/>
        <v>0</v>
      </c>
      <c r="H41" s="49">
        <f t="shared" si="16"/>
        <v>9</v>
      </c>
      <c r="I41" s="119"/>
      <c r="J41" s="119"/>
      <c r="K41" s="10"/>
      <c r="L41" s="119"/>
      <c r="M41" s="11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15.75" customHeight="1">
      <c r="F42" s="119"/>
    </row>
    <row r="43" ht="15.75" customHeight="1">
      <c r="F43" s="119"/>
      <c r="W43" s="10" t="s">
        <v>99</v>
      </c>
    </row>
    <row r="44" ht="15.75" customHeight="1">
      <c r="F44" s="119"/>
    </row>
    <row r="45" ht="15.75" customHeight="1">
      <c r="F45" s="119"/>
    </row>
    <row r="46" ht="15.75" customHeight="1">
      <c r="F46" s="119"/>
    </row>
    <row r="47" ht="15.75" customHeight="1">
      <c r="F47" s="119"/>
    </row>
    <row r="48" ht="15.75" customHeight="1">
      <c r="F48" s="119"/>
    </row>
    <row r="49" ht="15.75" customHeight="1">
      <c r="F49" s="119"/>
    </row>
    <row r="50" ht="15.75" customHeight="1">
      <c r="F50" s="119"/>
    </row>
    <row r="51" ht="15.75" customHeight="1">
      <c r="F51" s="119"/>
    </row>
    <row r="52" ht="15.75" customHeight="1">
      <c r="F52" s="119"/>
    </row>
    <row r="53" ht="15.75" customHeight="1">
      <c r="F53" s="119"/>
    </row>
    <row r="54" ht="15.75" customHeight="1">
      <c r="F54" s="119"/>
    </row>
    <row r="55" ht="15.75" customHeight="1">
      <c r="F55" s="119"/>
    </row>
    <row r="56" ht="15.75" customHeight="1">
      <c r="F56" s="119"/>
    </row>
    <row r="57" ht="15.75" customHeight="1">
      <c r="F57" s="119"/>
    </row>
    <row r="58" ht="15.75" customHeight="1">
      <c r="F58" s="119"/>
    </row>
    <row r="59" ht="15.75" customHeight="1">
      <c r="F59" s="119"/>
    </row>
    <row r="60" ht="15.75" customHeight="1">
      <c r="F60" s="119"/>
    </row>
    <row r="61" ht="15.75" customHeight="1">
      <c r="F61" s="119"/>
    </row>
    <row r="62" ht="15.75" customHeight="1">
      <c r="F62" s="119"/>
    </row>
    <row r="63" ht="15.75" customHeight="1">
      <c r="F63" s="119"/>
    </row>
    <row r="64" ht="15.75" customHeight="1">
      <c r="F64" s="119"/>
    </row>
    <row r="65" ht="15.75" customHeight="1">
      <c r="F65" s="119"/>
    </row>
    <row r="66" ht="15.75" customHeight="1">
      <c r="F66" s="119"/>
    </row>
    <row r="67" ht="15.75" customHeight="1">
      <c r="F67" s="119"/>
    </row>
    <row r="68" ht="15.75" customHeight="1">
      <c r="F68" s="119"/>
    </row>
    <row r="69" ht="15.75" customHeight="1">
      <c r="F69" s="119"/>
    </row>
    <row r="70" ht="15.75" customHeight="1">
      <c r="F70" s="119"/>
    </row>
    <row r="71" ht="15.75" customHeight="1">
      <c r="F71" s="119"/>
    </row>
    <row r="72" ht="15.75" customHeight="1">
      <c r="F72" s="119"/>
    </row>
    <row r="73" ht="15.75" customHeight="1">
      <c r="F73" s="119"/>
    </row>
    <row r="74" ht="15.75" customHeight="1">
      <c r="F74" s="119"/>
    </row>
    <row r="75" ht="15.75" customHeight="1">
      <c r="F75" s="119"/>
    </row>
    <row r="76" ht="15.75" customHeight="1">
      <c r="F76" s="119"/>
    </row>
    <row r="77" ht="15.75" customHeight="1">
      <c r="F77" s="119"/>
    </row>
    <row r="78" ht="15.75" customHeight="1">
      <c r="F78" s="119"/>
    </row>
    <row r="79" ht="15.75" customHeight="1">
      <c r="F79" s="119"/>
    </row>
    <row r="80" ht="15.75" customHeight="1">
      <c r="F80" s="119"/>
    </row>
    <row r="81" ht="15.75" customHeight="1">
      <c r="F81" s="119"/>
    </row>
    <row r="82" ht="15.75" customHeight="1">
      <c r="F82" s="119"/>
    </row>
    <row r="83" ht="15.75" customHeight="1">
      <c r="F83" s="119"/>
    </row>
    <row r="84" ht="15.75" customHeight="1">
      <c r="F84" s="119"/>
    </row>
    <row r="85" ht="15.75" customHeight="1">
      <c r="F85" s="119"/>
    </row>
    <row r="86" ht="15.75" customHeight="1">
      <c r="F86" s="119"/>
    </row>
    <row r="87" ht="15.75" customHeight="1">
      <c r="F87" s="119"/>
    </row>
    <row r="88" ht="15.75" customHeight="1">
      <c r="F88" s="119"/>
    </row>
    <row r="89" ht="15.75" customHeight="1">
      <c r="F89" s="119"/>
    </row>
    <row r="90" ht="15.75" customHeight="1">
      <c r="F90" s="119"/>
    </row>
    <row r="91" ht="15.75" customHeight="1">
      <c r="F91" s="119"/>
    </row>
    <row r="92" ht="15.75" customHeight="1">
      <c r="F92" s="119"/>
    </row>
    <row r="93" ht="15.75" customHeight="1">
      <c r="F93" s="119"/>
    </row>
    <row r="94" ht="15.75" customHeight="1">
      <c r="F94" s="119"/>
    </row>
    <row r="95" ht="15.75" customHeight="1">
      <c r="F95" s="119"/>
    </row>
    <row r="96" ht="15.75" customHeight="1">
      <c r="F96" s="119"/>
    </row>
    <row r="97" ht="15.75" customHeight="1">
      <c r="F97" s="119"/>
    </row>
    <row r="98" ht="15.75" customHeight="1">
      <c r="F98" s="119"/>
    </row>
    <row r="99" ht="15.75" customHeight="1">
      <c r="F99" s="119"/>
    </row>
    <row r="100" ht="15.75" customHeight="1">
      <c r="F100" s="119"/>
    </row>
    <row r="101" ht="15.75" customHeight="1">
      <c r="F101" s="119"/>
    </row>
    <row r="102" ht="15.75" customHeight="1">
      <c r="F102" s="119"/>
    </row>
    <row r="103" ht="15.75" customHeight="1">
      <c r="F103" s="119"/>
    </row>
    <row r="104" ht="15.75" customHeight="1">
      <c r="F104" s="119"/>
    </row>
    <row r="105" ht="15.75" customHeight="1">
      <c r="F105" s="119"/>
    </row>
    <row r="106" ht="15.75" customHeight="1">
      <c r="F106" s="119"/>
    </row>
    <row r="107" ht="15.75" customHeight="1">
      <c r="F107" s="119"/>
    </row>
    <row r="108" ht="15.75" customHeight="1">
      <c r="F108" s="119"/>
    </row>
    <row r="109" ht="15.75" customHeight="1">
      <c r="F109" s="119"/>
    </row>
    <row r="110" ht="15.75" customHeight="1">
      <c r="F110" s="119"/>
    </row>
    <row r="111" ht="15.75" customHeight="1">
      <c r="F111" s="119"/>
    </row>
    <row r="112" ht="15.75" customHeight="1">
      <c r="F112" s="119"/>
    </row>
    <row r="113" ht="15.75" customHeight="1">
      <c r="F113" s="119"/>
    </row>
    <row r="114" ht="15.75" customHeight="1">
      <c r="F114" s="119"/>
    </row>
    <row r="115" ht="15.75" customHeight="1">
      <c r="F115" s="119"/>
    </row>
    <row r="116" ht="15.75" customHeight="1">
      <c r="F116" s="119"/>
    </row>
    <row r="117" ht="15.75" customHeight="1">
      <c r="F117" s="119"/>
    </row>
    <row r="118" ht="15.75" customHeight="1">
      <c r="F118" s="119"/>
    </row>
    <row r="119" ht="15.75" customHeight="1">
      <c r="F119" s="119"/>
    </row>
    <row r="120" ht="15.75" customHeight="1">
      <c r="F120" s="119"/>
    </row>
    <row r="121" ht="15.75" customHeight="1">
      <c r="F121" s="119"/>
    </row>
    <row r="122" ht="15.75" customHeight="1">
      <c r="F122" s="119"/>
    </row>
    <row r="123" ht="15.75" customHeight="1">
      <c r="F123" s="119"/>
    </row>
    <row r="124" ht="15.75" customHeight="1">
      <c r="F124" s="119"/>
    </row>
    <row r="125" ht="15.75" customHeight="1">
      <c r="F125" s="119"/>
    </row>
    <row r="126" ht="15.75" customHeight="1">
      <c r="F126" s="119"/>
    </row>
    <row r="127" ht="15.75" customHeight="1">
      <c r="F127" s="119"/>
    </row>
    <row r="128" ht="15.75" customHeight="1">
      <c r="F128" s="119"/>
    </row>
    <row r="129" ht="15.75" customHeight="1">
      <c r="F129" s="119"/>
    </row>
    <row r="130" ht="15.75" customHeight="1">
      <c r="F130" s="119"/>
    </row>
    <row r="131" ht="15.75" customHeight="1">
      <c r="F131" s="119"/>
    </row>
    <row r="132" ht="15.75" customHeight="1">
      <c r="F132" s="119"/>
    </row>
    <row r="133" ht="15.75" customHeight="1">
      <c r="F133" s="119"/>
    </row>
    <row r="134" ht="15.75" customHeight="1">
      <c r="F134" s="119"/>
    </row>
    <row r="135" ht="15.75" customHeight="1">
      <c r="F135" s="119"/>
    </row>
    <row r="136" ht="15.75" customHeight="1">
      <c r="F136" s="119"/>
    </row>
    <row r="137" ht="15.75" customHeight="1">
      <c r="F137" s="119"/>
    </row>
    <row r="138" ht="15.75" customHeight="1">
      <c r="F138" s="119"/>
    </row>
    <row r="139" ht="15.75" customHeight="1">
      <c r="F139" s="119"/>
    </row>
    <row r="140" ht="15.75" customHeight="1">
      <c r="F140" s="119"/>
    </row>
    <row r="141" ht="15.75" customHeight="1">
      <c r="F141" s="119"/>
    </row>
    <row r="142" ht="15.75" customHeight="1">
      <c r="F142" s="119"/>
    </row>
    <row r="143" ht="15.75" customHeight="1">
      <c r="F143" s="119"/>
    </row>
    <row r="144" ht="15.75" customHeight="1">
      <c r="F144" s="119"/>
    </row>
    <row r="145" ht="15.75" customHeight="1">
      <c r="F145" s="119"/>
    </row>
    <row r="146" ht="15.75" customHeight="1">
      <c r="F146" s="119"/>
    </row>
    <row r="147" ht="15.75" customHeight="1">
      <c r="F147" s="119"/>
    </row>
    <row r="148" ht="15.75" customHeight="1">
      <c r="F148" s="119"/>
    </row>
    <row r="149" ht="15.75" customHeight="1">
      <c r="F149" s="119"/>
    </row>
    <row r="150" ht="15.75" customHeight="1">
      <c r="F150" s="119"/>
    </row>
    <row r="151" ht="15.75" customHeight="1">
      <c r="F151" s="119"/>
    </row>
    <row r="152" ht="15.75" customHeight="1">
      <c r="F152" s="119"/>
    </row>
    <row r="153" ht="15.75" customHeight="1">
      <c r="F153" s="119"/>
    </row>
    <row r="154" ht="15.75" customHeight="1">
      <c r="F154" s="119"/>
    </row>
    <row r="155" ht="15.75" customHeight="1">
      <c r="F155" s="119"/>
    </row>
    <row r="156" ht="15.75" customHeight="1">
      <c r="F156" s="119"/>
    </row>
    <row r="157" ht="15.75" customHeight="1">
      <c r="F157" s="119"/>
    </row>
    <row r="158" ht="15.75" customHeight="1">
      <c r="F158" s="119"/>
    </row>
    <row r="159" ht="15.75" customHeight="1">
      <c r="F159" s="119"/>
    </row>
    <row r="160" ht="15.75" customHeight="1">
      <c r="F160" s="119"/>
    </row>
    <row r="161" ht="15.75" customHeight="1">
      <c r="F161" s="119"/>
    </row>
    <row r="162" ht="15.75" customHeight="1">
      <c r="F162" s="119"/>
    </row>
    <row r="163" ht="15.75" customHeight="1">
      <c r="F163" s="119"/>
    </row>
    <row r="164" ht="15.75" customHeight="1">
      <c r="F164" s="119"/>
    </row>
    <row r="165" ht="15.75" customHeight="1">
      <c r="F165" s="119"/>
    </row>
    <row r="166" ht="15.75" customHeight="1">
      <c r="F166" s="119"/>
    </row>
    <row r="167" ht="15.75" customHeight="1">
      <c r="F167" s="119"/>
    </row>
    <row r="168" ht="15.75" customHeight="1">
      <c r="F168" s="119"/>
    </row>
    <row r="169" ht="15.75" customHeight="1">
      <c r="F169" s="119"/>
    </row>
    <row r="170" ht="15.75" customHeight="1">
      <c r="F170" s="119"/>
    </row>
    <row r="171" ht="15.75" customHeight="1">
      <c r="F171" s="119"/>
    </row>
    <row r="172" ht="15.75" customHeight="1">
      <c r="F172" s="119"/>
    </row>
    <row r="173" ht="15.75" customHeight="1">
      <c r="F173" s="119"/>
    </row>
    <row r="174" ht="15.75" customHeight="1">
      <c r="F174" s="119"/>
    </row>
    <row r="175" ht="15.75" customHeight="1">
      <c r="F175" s="119"/>
    </row>
    <row r="176" ht="15.75" customHeight="1">
      <c r="F176" s="119"/>
    </row>
    <row r="177" ht="15.75" customHeight="1">
      <c r="F177" s="119"/>
    </row>
    <row r="178" ht="15.75" customHeight="1">
      <c r="F178" s="119"/>
    </row>
    <row r="179" ht="15.75" customHeight="1">
      <c r="F179" s="119"/>
    </row>
    <row r="180" ht="15.75" customHeight="1">
      <c r="F180" s="119"/>
    </row>
    <row r="181" ht="15.75" customHeight="1">
      <c r="F181" s="119"/>
    </row>
    <row r="182" ht="15.75" customHeight="1">
      <c r="F182" s="119"/>
    </row>
    <row r="183" ht="15.75" customHeight="1">
      <c r="F183" s="119"/>
    </row>
    <row r="184" ht="15.75" customHeight="1">
      <c r="F184" s="119"/>
    </row>
    <row r="185" ht="15.75" customHeight="1">
      <c r="F185" s="119"/>
    </row>
    <row r="186" ht="15.75" customHeight="1">
      <c r="F186" s="119"/>
    </row>
    <row r="187" ht="15.75" customHeight="1">
      <c r="F187" s="119"/>
    </row>
    <row r="188" ht="15.75" customHeight="1">
      <c r="F188" s="119"/>
    </row>
    <row r="189" ht="15.75" customHeight="1">
      <c r="F189" s="119"/>
    </row>
    <row r="190" ht="15.75" customHeight="1">
      <c r="F190" s="119"/>
    </row>
    <row r="191" ht="15.75" customHeight="1">
      <c r="F191" s="119"/>
    </row>
    <row r="192" ht="15.75" customHeight="1">
      <c r="F192" s="119"/>
    </row>
    <row r="193" ht="15.75" customHeight="1">
      <c r="F193" s="119"/>
    </row>
    <row r="194" ht="15.75" customHeight="1">
      <c r="F194" s="119"/>
    </row>
    <row r="195" ht="15.75" customHeight="1">
      <c r="F195" s="119"/>
    </row>
    <row r="196" ht="15.75" customHeight="1">
      <c r="F196" s="119"/>
    </row>
    <row r="197" ht="15.75" customHeight="1">
      <c r="F197" s="119"/>
    </row>
    <row r="198" ht="15.75" customHeight="1">
      <c r="F198" s="119"/>
    </row>
    <row r="199" ht="15.75" customHeight="1">
      <c r="F199" s="119"/>
    </row>
    <row r="200" ht="15.75" customHeight="1">
      <c r="F200" s="119"/>
    </row>
    <row r="201" ht="15.75" customHeight="1">
      <c r="F201" s="119"/>
    </row>
    <row r="202" ht="15.75" customHeight="1">
      <c r="F202" s="119"/>
    </row>
    <row r="203" ht="15.75" customHeight="1">
      <c r="F203" s="119"/>
    </row>
    <row r="204" ht="15.75" customHeight="1">
      <c r="F204" s="119"/>
    </row>
    <row r="205" ht="15.75" customHeight="1">
      <c r="F205" s="119"/>
    </row>
    <row r="206" ht="15.75" customHeight="1">
      <c r="F206" s="119"/>
    </row>
    <row r="207" ht="15.75" customHeight="1">
      <c r="F207" s="119"/>
    </row>
    <row r="208" ht="15.75" customHeight="1">
      <c r="F208" s="119"/>
    </row>
    <row r="209" ht="15.75" customHeight="1">
      <c r="F209" s="119"/>
    </row>
    <row r="210" ht="15.75" customHeight="1">
      <c r="F210" s="119"/>
    </row>
    <row r="211" ht="15.75" customHeight="1">
      <c r="F211" s="119"/>
    </row>
    <row r="212" ht="15.75" customHeight="1">
      <c r="F212" s="119"/>
    </row>
    <row r="213" ht="15.75" customHeight="1">
      <c r="F213" s="119"/>
    </row>
    <row r="214" ht="15.75" customHeight="1">
      <c r="F214" s="119"/>
    </row>
    <row r="215" ht="15.75" customHeight="1">
      <c r="F215" s="119"/>
    </row>
    <row r="216" ht="15.75" customHeight="1">
      <c r="F216" s="119"/>
    </row>
    <row r="217" ht="15.75" customHeight="1">
      <c r="F217" s="119"/>
    </row>
    <row r="218" ht="15.75" customHeight="1">
      <c r="F218" s="119"/>
    </row>
    <row r="219" ht="15.75" customHeight="1">
      <c r="F219" s="119"/>
    </row>
    <row r="220" ht="15.75" customHeight="1">
      <c r="F220" s="119"/>
    </row>
    <row r="221" ht="15.75" customHeight="1">
      <c r="F221" s="119"/>
    </row>
    <row r="222" ht="15.75" customHeight="1">
      <c r="F222" s="119"/>
    </row>
    <row r="223" ht="15.75" customHeight="1">
      <c r="F223" s="119"/>
    </row>
    <row r="224" ht="15.75" customHeight="1">
      <c r="F224" s="119"/>
    </row>
    <row r="225" ht="15.75" customHeight="1">
      <c r="F225" s="119"/>
    </row>
    <row r="226" ht="15.75" customHeight="1">
      <c r="F226" s="119"/>
    </row>
    <row r="227" ht="15.75" customHeight="1">
      <c r="F227" s="119"/>
    </row>
    <row r="228" ht="15.75" customHeight="1">
      <c r="F228" s="119"/>
    </row>
    <row r="229" ht="15.75" customHeight="1">
      <c r="F229" s="119"/>
    </row>
    <row r="230" ht="15.75" customHeight="1">
      <c r="F230" s="119"/>
    </row>
    <row r="231" ht="15.75" customHeight="1">
      <c r="F231" s="119"/>
    </row>
    <row r="232" ht="15.75" customHeight="1">
      <c r="F232" s="119"/>
    </row>
    <row r="233" ht="15.75" customHeight="1">
      <c r="F233" s="119"/>
    </row>
    <row r="234" ht="15.75" customHeight="1">
      <c r="F234" s="119"/>
    </row>
    <row r="235" ht="15.75" customHeight="1">
      <c r="F235" s="119"/>
    </row>
    <row r="236" ht="15.75" customHeight="1">
      <c r="F236" s="119"/>
    </row>
    <row r="237" ht="15.75" customHeight="1">
      <c r="F237" s="119"/>
    </row>
    <row r="238" ht="15.75" customHeight="1">
      <c r="F238" s="119"/>
    </row>
    <row r="239" ht="15.75" customHeight="1">
      <c r="F239" s="119"/>
    </row>
    <row r="240" ht="15.75" customHeight="1">
      <c r="F240" s="119"/>
    </row>
    <row r="241" ht="15.75" customHeight="1">
      <c r="F241" s="119"/>
    </row>
    <row r="242" ht="15.75" customHeight="1">
      <c r="F242" s="119"/>
    </row>
    <row r="243" ht="15.75" customHeight="1">
      <c r="F243" s="119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">
    <mergeCell ref="A2:M2"/>
  </mergeCells>
  <conditionalFormatting sqref="L2:L15 L17:L28 L30:L38 C41:J41">
    <cfRule type="cellIs" dxfId="0" priority="1" operator="equal">
      <formula>0</formula>
    </cfRule>
  </conditionalFormatting>
  <conditionalFormatting sqref="L2:L15 L17:L28 L30:L38 C41:J41">
    <cfRule type="cellIs" dxfId="1" priority="2" operator="greaterThan">
      <formula>0</formula>
    </cfRule>
  </conditionalFormatting>
  <conditionalFormatting sqref="L2:L15 L17:L28 L30:L38 C41:J4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5.14"/>
    <col customWidth="1" min="4" max="4" width="4.29"/>
    <col customWidth="1" min="5" max="5" width="5.29"/>
    <col customWidth="1" min="6" max="6" width="4.29"/>
    <col customWidth="1" min="7" max="7" width="3.29"/>
    <col customWidth="1" min="8" max="8" width="5.14"/>
    <col customWidth="1" min="9" max="9" width="4.29"/>
    <col customWidth="1" min="10" max="10" width="5.29"/>
    <col customWidth="1" min="11" max="11" width="4.29"/>
    <col customWidth="1" min="12" max="12" width="3.29"/>
    <col customWidth="1" min="13" max="13" width="5.14"/>
    <col customWidth="1" min="14" max="14" width="4.29"/>
    <col customWidth="1" min="15" max="15" width="5.29"/>
    <col customWidth="1" min="16" max="16" width="4.29"/>
    <col customWidth="1" min="17" max="17" width="3.29"/>
    <col customWidth="1" min="18" max="18" width="5.14"/>
    <col customWidth="1" min="19" max="19" width="4.29"/>
    <col customWidth="1" min="20" max="20" width="5.29"/>
    <col customWidth="1" min="21" max="21" width="4.29"/>
    <col customWidth="1" min="22" max="22" width="3.29"/>
    <col customWidth="1" min="23" max="23" width="11.29"/>
  </cols>
  <sheetData>
    <row r="1" ht="15.75" customHeight="1">
      <c r="A1" s="235" t="s">
        <v>1</v>
      </c>
      <c r="B1" s="235" t="s">
        <v>3</v>
      </c>
      <c r="C1" s="236" t="s">
        <v>100</v>
      </c>
      <c r="D1" s="237"/>
      <c r="E1" s="237"/>
      <c r="F1" s="237"/>
      <c r="G1" s="238"/>
      <c r="H1" s="239" t="s">
        <v>101</v>
      </c>
      <c r="I1" s="237"/>
      <c r="J1" s="237"/>
      <c r="K1" s="237"/>
      <c r="L1" s="238"/>
      <c r="M1" s="240" t="s">
        <v>102</v>
      </c>
      <c r="N1" s="237"/>
      <c r="O1" s="237"/>
      <c r="P1" s="237"/>
      <c r="Q1" s="238"/>
      <c r="R1" s="241" t="s">
        <v>103</v>
      </c>
      <c r="S1" s="237"/>
      <c r="T1" s="237"/>
      <c r="U1" s="237"/>
      <c r="V1" s="238"/>
      <c r="W1" s="242" t="s">
        <v>104</v>
      </c>
    </row>
    <row r="2" ht="15.75" customHeight="1">
      <c r="A2" s="243"/>
      <c r="B2" s="243" t="s">
        <v>105</v>
      </c>
      <c r="C2" s="244" t="s">
        <v>25</v>
      </c>
      <c r="D2" s="244" t="s">
        <v>26</v>
      </c>
      <c r="E2" s="244" t="s">
        <v>27</v>
      </c>
      <c r="F2" s="244" t="s">
        <v>29</v>
      </c>
      <c r="G2" s="244" t="s">
        <v>30</v>
      </c>
      <c r="H2" s="245" t="s">
        <v>25</v>
      </c>
      <c r="I2" s="245" t="s">
        <v>26</v>
      </c>
      <c r="J2" s="245" t="s">
        <v>27</v>
      </c>
      <c r="K2" s="245" t="s">
        <v>29</v>
      </c>
      <c r="L2" s="245" t="s">
        <v>30</v>
      </c>
      <c r="M2" s="246" t="s">
        <v>25</v>
      </c>
      <c r="N2" s="246" t="s">
        <v>26</v>
      </c>
      <c r="O2" s="246" t="s">
        <v>27</v>
      </c>
      <c r="P2" s="246" t="s">
        <v>29</v>
      </c>
      <c r="Q2" s="246" t="s">
        <v>30</v>
      </c>
      <c r="R2" s="247" t="s">
        <v>25</v>
      </c>
      <c r="S2" s="247" t="s">
        <v>26</v>
      </c>
      <c r="T2" s="247" t="s">
        <v>27</v>
      </c>
      <c r="U2" s="247" t="s">
        <v>29</v>
      </c>
      <c r="V2" s="247" t="s">
        <v>30</v>
      </c>
      <c r="W2" s="248"/>
    </row>
    <row r="3" ht="15.75" customHeight="1">
      <c r="A3" s="249">
        <f>Commercial!A3</f>
        <v>1291</v>
      </c>
      <c r="B3" s="250" t="str">
        <f t="array" ref="B3">IFERROR(INDEX(Commercial!B:B,MATCH(A3,Commercial!A:A,0)),"")</f>
        <v>Raven Mitchell (Commercial)</v>
      </c>
      <c r="C3" s="251">
        <f>IFERROR(SUMIF('COM Winbacks'!$A:$A,$A3,'COM Winbacks'!C:C),0)</f>
        <v>0</v>
      </c>
      <c r="D3" s="252">
        <f>IFERROR(SUMIF('COM Winbacks'!$A:$A,$A3,'COM Winbacks'!D:D),0)</f>
        <v>0</v>
      </c>
      <c r="E3" s="252">
        <f>IFERROR(SUMIF('COM Winbacks'!$A:$A,$A3,'COM Winbacks'!E:E),0)</f>
        <v>0</v>
      </c>
      <c r="F3" s="252">
        <f>IFERROR(SUMIF('COM Winbacks'!$A:$A,$A3,'COM Winbacks'!F:F),0)</f>
        <v>0</v>
      </c>
      <c r="G3" s="253">
        <f>IFERROR(SUMIF('COM Winbacks'!$A:$A,$A3,'COM Winbacks'!G:G),0)</f>
        <v>0</v>
      </c>
      <c r="H3" s="254">
        <f>IFERROR(SUMIF(Residential!$A:$A,$A3,Residential!C:C),0)</f>
        <v>1</v>
      </c>
      <c r="I3" s="252">
        <f>IFERROR(SUMIF(Residential!$A:$A,$A3,Residential!D:D),0)</f>
        <v>1</v>
      </c>
      <c r="J3" s="252">
        <f>IFERROR(SUMIF(Residential!$A:$A,$A3,Residential!E:E),0)</f>
        <v>0</v>
      </c>
      <c r="K3" s="252">
        <f>IFERROR(SUMIF(Residential!$A:$A,$A3,Residential!F:F),0)</f>
        <v>0</v>
      </c>
      <c r="L3" s="253">
        <f>IFERROR(SUMIF(Residential!$A:$A,$A3,Residential!G:G),0)</f>
        <v>0</v>
      </c>
      <c r="M3" s="254">
        <f>IFERROR(SUMIF(Commercial!$A$3:$A$9,$A3,Commercial!Q$3:Q$9),0)</f>
        <v>1</v>
      </c>
      <c r="N3" s="252">
        <f>IFERROR(SUMIF(Commercial!$A$3:$A$9,$A3,Commercial!V$3:V$9),0)</f>
        <v>0</v>
      </c>
      <c r="O3" s="252">
        <f>IFERROR(SUMIF(Commercial!$A$3:$A$9,$A3,Commercial!W$3:W$9),0)</f>
        <v>6</v>
      </c>
      <c r="P3" s="252">
        <f>IFERROR(SUMIF(Commercial!$A$3:$A$9,$A3,Commercial!AB$3:AB$9),0)</f>
        <v>0</v>
      </c>
      <c r="Q3" s="253">
        <f>IFERROR(SUMIF(Commercial!$A$3:$A$9,$A3,Commercial!AC$3:AC$9),0)</f>
        <v>0</v>
      </c>
      <c r="R3" s="255">
        <f t="shared" ref="R3:V3" si="1">C3+H3+M3</f>
        <v>2</v>
      </c>
      <c r="S3" s="256">
        <f t="shared" si="1"/>
        <v>1</v>
      </c>
      <c r="T3" s="256">
        <f t="shared" si="1"/>
        <v>6</v>
      </c>
      <c r="U3" s="257">
        <f t="shared" si="1"/>
        <v>0</v>
      </c>
      <c r="V3" s="258">
        <f t="shared" si="1"/>
        <v>0</v>
      </c>
      <c r="W3" s="259">
        <f t="shared" ref="W3:W13" si="3">SUM(R3:V3)</f>
        <v>9</v>
      </c>
    </row>
    <row r="4" ht="15.75" customHeight="1">
      <c r="A4" s="249" t="str">
        <f>#REF!</f>
        <v>#REF!</v>
      </c>
      <c r="B4" s="250" t="str">
        <f t="array" ref="B4">IFERROR(INDEX(Commercial!B:B,MATCH(A4,Commercial!A:A,0)),"")</f>
        <v/>
      </c>
      <c r="C4" s="251">
        <f>IFERROR(SUMIF('COM Winbacks'!$A:$A,$A4,'COM Winbacks'!C:C),0)</f>
        <v>0</v>
      </c>
      <c r="D4" s="252">
        <f>IFERROR(SUMIF('COM Winbacks'!$A:$A,$A4,'COM Winbacks'!D:D),0)</f>
        <v>0</v>
      </c>
      <c r="E4" s="252">
        <f>IFERROR(SUMIF('COM Winbacks'!$A:$A,$A4,'COM Winbacks'!E:E),0)</f>
        <v>0</v>
      </c>
      <c r="F4" s="252">
        <f>IFERROR(SUMIF('COM Winbacks'!$A:$A,$A4,'COM Winbacks'!F:F),0)</f>
        <v>0</v>
      </c>
      <c r="G4" s="253">
        <f>IFERROR(SUMIF('COM Winbacks'!$A:$A,$A4,'COM Winbacks'!G:G),0)</f>
        <v>0</v>
      </c>
      <c r="H4" s="254">
        <f>IFERROR(SUMIF(Residential!$A:$A,$A4,Residential!C:C),0)</f>
        <v>0</v>
      </c>
      <c r="I4" s="252">
        <f>IFERROR(SUMIF(Residential!$A:$A,$A4,Residential!D:D),0)</f>
        <v>0</v>
      </c>
      <c r="J4" s="252">
        <f>IFERROR(SUMIF(Residential!$A:$A,$A4,Residential!E:E),0)</f>
        <v>0</v>
      </c>
      <c r="K4" s="252">
        <f>IFERROR(SUMIF(Residential!$A:$A,$A4,Residential!F:F),0)</f>
        <v>0</v>
      </c>
      <c r="L4" s="253">
        <f>IFERROR(SUMIF(Residential!$A:$A,$A4,Residential!G:G),0)</f>
        <v>0</v>
      </c>
      <c r="M4" s="254">
        <f>IFERROR(SUMIF(Commercial!$A$3:$A$9,$A4,Commercial!Q$3:Q$9),0)</f>
        <v>0</v>
      </c>
      <c r="N4" s="252">
        <f>IFERROR(SUMIF(Commercial!$A$3:$A$9,$A4,Commercial!V$3:V$9),0)</f>
        <v>0</v>
      </c>
      <c r="O4" s="252">
        <f>IFERROR(SUMIF(Commercial!$A$3:$A$9,$A4,Commercial!W$3:W$9),0)</f>
        <v>0</v>
      </c>
      <c r="P4" s="252">
        <f>IFERROR(SUMIF(Commercial!$A$3:$A$9,$A4,Commercial!AB$3:AB$9),0)</f>
        <v>0</v>
      </c>
      <c r="Q4" s="253">
        <f>IFERROR(SUMIF(Commercial!$A$3:$A$9,$A4,Commercial!AC$3:AC$9),0)</f>
        <v>0</v>
      </c>
      <c r="R4" s="255">
        <f t="shared" ref="R4:V4" si="2">C4+H4+M4</f>
        <v>0</v>
      </c>
      <c r="S4" s="256">
        <f t="shared" si="2"/>
        <v>0</v>
      </c>
      <c r="T4" s="256">
        <f t="shared" si="2"/>
        <v>0</v>
      </c>
      <c r="U4" s="257">
        <f t="shared" si="2"/>
        <v>0</v>
      </c>
      <c r="V4" s="258">
        <f t="shared" si="2"/>
        <v>0</v>
      </c>
      <c r="W4" s="259">
        <f t="shared" si="3"/>
        <v>0</v>
      </c>
    </row>
    <row r="5" ht="15.75" customHeight="1">
      <c r="A5" s="249">
        <f>Commercial!A4</f>
        <v>1295</v>
      </c>
      <c r="B5" s="250" t="str">
        <f t="array" ref="B5">IFERROR(INDEX(Commercial!B:B,MATCH(A5,Commercial!A:A,0)),"")</f>
        <v>Luis Buitrago (Commercial)</v>
      </c>
      <c r="C5" s="251">
        <f>IFERROR(SUMIF('COM Winbacks'!$A:$A,$A5,'COM Winbacks'!C:C),0)</f>
        <v>0</v>
      </c>
      <c r="D5" s="252">
        <f>IFERROR(SUMIF('COM Winbacks'!$A:$A,$A5,'COM Winbacks'!D:D),0)</f>
        <v>0</v>
      </c>
      <c r="E5" s="252">
        <f>IFERROR(SUMIF('COM Winbacks'!$A:$A,$A5,'COM Winbacks'!E:E),0)</f>
        <v>0</v>
      </c>
      <c r="F5" s="252">
        <f>IFERROR(SUMIF('COM Winbacks'!$A:$A,$A5,'COM Winbacks'!F:F),0)</f>
        <v>0</v>
      </c>
      <c r="G5" s="253">
        <f>IFERROR(SUMIF('COM Winbacks'!$A:$A,$A5,'COM Winbacks'!G:G),0)</f>
        <v>0</v>
      </c>
      <c r="H5" s="254">
        <f>IFERROR(SUMIF(Residential!$A:$A,$A5,Residential!C:C),0)</f>
        <v>0</v>
      </c>
      <c r="I5" s="252">
        <f>IFERROR(SUMIF(Residential!$A:$A,$A5,Residential!D:D),0)</f>
        <v>0</v>
      </c>
      <c r="J5" s="252">
        <f>IFERROR(SUMIF(Residential!$A:$A,$A5,Residential!E:E),0)</f>
        <v>0</v>
      </c>
      <c r="K5" s="252">
        <f>IFERROR(SUMIF(Residential!$A:$A,$A5,Residential!F:F),0)</f>
        <v>0</v>
      </c>
      <c r="L5" s="253">
        <f>IFERROR(SUMIF(Residential!$A:$A,$A5,Residential!G:G),0)</f>
        <v>0</v>
      </c>
      <c r="M5" s="254">
        <f>IFERROR(SUMIF(Commercial!$A$3:$A$9,$A5,Commercial!Q$3:Q$9),0)</f>
        <v>0</v>
      </c>
      <c r="N5" s="252">
        <f>IFERROR(SUMIF(Commercial!$A$3:$A$9,$A5,Commercial!V$3:V$9),0)</f>
        <v>0</v>
      </c>
      <c r="O5" s="252">
        <f>IFERROR(SUMIF(Commercial!$A$3:$A$9,$A5,Commercial!W$3:W$9),0)</f>
        <v>0</v>
      </c>
      <c r="P5" s="252">
        <f>IFERROR(SUMIF(Commercial!$A$3:$A$9,$A5,Commercial!AB$3:AB$9),0)</f>
        <v>0</v>
      </c>
      <c r="Q5" s="253">
        <f>IFERROR(SUMIF(Commercial!$A$3:$A$9,$A5,Commercial!AC$3:AC$9),0)</f>
        <v>0</v>
      </c>
      <c r="R5" s="255">
        <f t="shared" ref="R5:V5" si="4">C5+H5+M5</f>
        <v>0</v>
      </c>
      <c r="S5" s="256">
        <f t="shared" si="4"/>
        <v>0</v>
      </c>
      <c r="T5" s="256">
        <f t="shared" si="4"/>
        <v>0</v>
      </c>
      <c r="U5" s="257">
        <f t="shared" si="4"/>
        <v>0</v>
      </c>
      <c r="V5" s="258">
        <f t="shared" si="4"/>
        <v>0</v>
      </c>
      <c r="W5" s="259">
        <f t="shared" si="3"/>
        <v>0</v>
      </c>
    </row>
    <row r="6" ht="15.75" customHeight="1">
      <c r="A6" s="249" t="str">
        <f>Commercial!#REF!</f>
        <v>#ERROR!</v>
      </c>
      <c r="B6" s="250" t="str">
        <f t="array" ref="B6">IFERROR(INDEX(Commercial!B:B,MATCH(A6,Commercial!A:A,0)),"")</f>
        <v/>
      </c>
      <c r="C6" s="251">
        <f>IFERROR(SUMIF('COM Winbacks'!$A:$A,$A6,'COM Winbacks'!C:C),0)</f>
        <v>0</v>
      </c>
      <c r="D6" s="252">
        <f>IFERROR(SUMIF('COM Winbacks'!$A:$A,$A6,'COM Winbacks'!D:D),0)</f>
        <v>0</v>
      </c>
      <c r="E6" s="252">
        <f>IFERROR(SUMIF('COM Winbacks'!$A:$A,$A6,'COM Winbacks'!E:E),0)</f>
        <v>0</v>
      </c>
      <c r="F6" s="252">
        <f>IFERROR(SUMIF('COM Winbacks'!$A:$A,$A6,'COM Winbacks'!F:F),0)</f>
        <v>0</v>
      </c>
      <c r="G6" s="253">
        <f>IFERROR(SUMIF('COM Winbacks'!$A:$A,$A6,'COM Winbacks'!G:G),0)</f>
        <v>0</v>
      </c>
      <c r="H6" s="254">
        <f>IFERROR(SUMIF(Residential!$A:$A,$A6,Residential!C:C),0)</f>
        <v>0</v>
      </c>
      <c r="I6" s="252">
        <f>IFERROR(SUMIF(Residential!$A:$A,$A6,Residential!D:D),0)</f>
        <v>0</v>
      </c>
      <c r="J6" s="252">
        <f>IFERROR(SUMIF(Residential!$A:$A,$A6,Residential!E:E),0)</f>
        <v>0</v>
      </c>
      <c r="K6" s="252">
        <f>IFERROR(SUMIF(Residential!$A:$A,$A6,Residential!F:F),0)</f>
        <v>0</v>
      </c>
      <c r="L6" s="253">
        <f>IFERROR(SUMIF(Residential!$A:$A,$A6,Residential!G:G),0)</f>
        <v>0</v>
      </c>
      <c r="M6" s="254">
        <f>IFERROR(SUMIF(Commercial!$A$3:$A$9,$A6,Commercial!Q$3:Q$9),0)</f>
        <v>0</v>
      </c>
      <c r="N6" s="252">
        <f>IFERROR(SUMIF(Commercial!$A$3:$A$9,$A6,Commercial!V$3:V$9),0)</f>
        <v>0</v>
      </c>
      <c r="O6" s="252">
        <f>IFERROR(SUMIF(Commercial!$A$3:$A$9,$A6,Commercial!W$3:W$9),0)</f>
        <v>0</v>
      </c>
      <c r="P6" s="252">
        <f>IFERROR(SUMIF(Commercial!$A$3:$A$9,$A6,Commercial!AB$3:AB$9),0)</f>
        <v>0</v>
      </c>
      <c r="Q6" s="253">
        <f>IFERROR(SUMIF(Commercial!$A$3:$A$9,$A6,Commercial!AC$3:AC$9),0)</f>
        <v>0</v>
      </c>
      <c r="R6" s="255">
        <f t="shared" ref="R6:V6" si="5">C6+H6+M6</f>
        <v>0</v>
      </c>
      <c r="S6" s="256">
        <f t="shared" si="5"/>
        <v>0</v>
      </c>
      <c r="T6" s="256">
        <f t="shared" si="5"/>
        <v>0</v>
      </c>
      <c r="U6" s="257">
        <f t="shared" si="5"/>
        <v>0</v>
      </c>
      <c r="V6" s="258">
        <f t="shared" si="5"/>
        <v>0</v>
      </c>
      <c r="W6" s="259">
        <f t="shared" si="3"/>
        <v>0</v>
      </c>
    </row>
    <row r="7" ht="15.75" customHeight="1">
      <c r="A7" s="249" t="str">
        <f>#REF!</f>
        <v>#REF!</v>
      </c>
      <c r="B7" s="250" t="str">
        <f t="array" ref="B7">IFERROR(INDEX(Commercial!B:B,MATCH(A7,Commercial!A:A,0)),"")</f>
        <v/>
      </c>
      <c r="C7" s="251">
        <f>IFERROR(SUMIF('COM Winbacks'!$A:$A,$A7,'COM Winbacks'!C:C),0)</f>
        <v>0</v>
      </c>
      <c r="D7" s="252">
        <f>IFERROR(SUMIF('COM Winbacks'!$A:$A,$A7,'COM Winbacks'!D:D),0)</f>
        <v>0</v>
      </c>
      <c r="E7" s="252">
        <f>IFERROR(SUMIF('COM Winbacks'!$A:$A,$A7,'COM Winbacks'!E:E),0)</f>
        <v>0</v>
      </c>
      <c r="F7" s="252">
        <f>IFERROR(SUMIF('COM Winbacks'!$A:$A,$A7,'COM Winbacks'!F:F),0)</f>
        <v>0</v>
      </c>
      <c r="G7" s="253">
        <f>IFERROR(SUMIF('COM Winbacks'!$A:$A,$A7,'COM Winbacks'!G:G),0)</f>
        <v>0</v>
      </c>
      <c r="H7" s="254">
        <f>IFERROR(SUMIF(Residential!$A:$A,$A7,Residential!C:C),0)</f>
        <v>0</v>
      </c>
      <c r="I7" s="252">
        <f>IFERROR(SUMIF(Residential!$A:$A,$A7,Residential!D:D),0)</f>
        <v>0</v>
      </c>
      <c r="J7" s="252">
        <f>IFERROR(SUMIF(Residential!$A:$A,$A7,Residential!E:E),0)</f>
        <v>0</v>
      </c>
      <c r="K7" s="252">
        <f>IFERROR(SUMIF(Residential!$A:$A,$A7,Residential!F:F),0)</f>
        <v>0</v>
      </c>
      <c r="L7" s="253">
        <f>IFERROR(SUMIF(Residential!$A:$A,$A7,Residential!G:G),0)</f>
        <v>0</v>
      </c>
      <c r="M7" s="254">
        <f>IFERROR(SUMIF(Commercial!$A$3:$A$9,$A7,Commercial!Q$3:Q$9),0)</f>
        <v>0</v>
      </c>
      <c r="N7" s="252">
        <f>IFERROR(SUMIF(Commercial!$A$3:$A$9,$A7,Commercial!V$3:V$9),0)</f>
        <v>0</v>
      </c>
      <c r="O7" s="252">
        <f>IFERROR(SUMIF(Commercial!$A$3:$A$9,$A7,Commercial!W$3:W$9),0)</f>
        <v>0</v>
      </c>
      <c r="P7" s="252">
        <f>IFERROR(SUMIF(Commercial!$A$3:$A$9,$A7,Commercial!AB$3:AB$9),0)</f>
        <v>0</v>
      </c>
      <c r="Q7" s="253">
        <f>IFERROR(SUMIF(Commercial!$A$3:$A$9,$A7,Commercial!AC$3:AC$9),0)</f>
        <v>0</v>
      </c>
      <c r="R7" s="255">
        <f t="shared" ref="R7:V7" si="6">C7+H7+M7</f>
        <v>0</v>
      </c>
      <c r="S7" s="256">
        <f t="shared" si="6"/>
        <v>0</v>
      </c>
      <c r="T7" s="256">
        <f t="shared" si="6"/>
        <v>0</v>
      </c>
      <c r="U7" s="257">
        <f t="shared" si="6"/>
        <v>0</v>
      </c>
      <c r="V7" s="258">
        <f t="shared" si="6"/>
        <v>0</v>
      </c>
      <c r="W7" s="259">
        <f t="shared" si="3"/>
        <v>0</v>
      </c>
    </row>
    <row r="8" ht="15.75" customHeight="1">
      <c r="A8" s="249">
        <f>Commercial!A5</f>
        <v>1175</v>
      </c>
      <c r="B8" s="250" t="str">
        <f t="array" ref="B8">IFERROR(INDEX(Commercial!B:B,MATCH(A8,Commercial!A:A,0)),"")</f>
        <v>Kenticka Tate (Remote)(Commercial)</v>
      </c>
      <c r="C8" s="251">
        <f>IFERROR(SUMIF('COM Winbacks'!$A:$A,$A8,'COM Winbacks'!C:C),0)</f>
        <v>0</v>
      </c>
      <c r="D8" s="252">
        <f>IFERROR(SUMIF('COM Winbacks'!$A:$A,$A8,'COM Winbacks'!D:D),0)</f>
        <v>0</v>
      </c>
      <c r="E8" s="252">
        <f>IFERROR(SUMIF('COM Winbacks'!$A:$A,$A8,'COM Winbacks'!E:E),0)</f>
        <v>0</v>
      </c>
      <c r="F8" s="252">
        <f>IFERROR(SUMIF('COM Winbacks'!$A:$A,$A8,'COM Winbacks'!F:F),0)</f>
        <v>0</v>
      </c>
      <c r="G8" s="253">
        <f>IFERROR(SUMIF('COM Winbacks'!$A:$A,$A8,'COM Winbacks'!G:G),0)</f>
        <v>0</v>
      </c>
      <c r="H8" s="254">
        <f>IFERROR(SUMIF(Residential!$A:$A,$A8,Residential!C:C),0)</f>
        <v>0</v>
      </c>
      <c r="I8" s="252">
        <f>IFERROR(SUMIF(Residential!$A:$A,$A8,Residential!D:D),0)</f>
        <v>2</v>
      </c>
      <c r="J8" s="252">
        <f>IFERROR(SUMIF(Residential!$A:$A,$A8,Residential!E:E),0)</f>
        <v>0</v>
      </c>
      <c r="K8" s="252">
        <f>IFERROR(SUMIF(Residential!$A:$A,$A8,Residential!F:F),0)</f>
        <v>0</v>
      </c>
      <c r="L8" s="253">
        <f>IFERROR(SUMIF(Residential!$A:$A,$A8,Residential!G:G),0)</f>
        <v>0</v>
      </c>
      <c r="M8" s="254">
        <f>IFERROR(SUMIF(Commercial!$A$3:$A$9,$A8,Commercial!Q$3:Q$9),0)</f>
        <v>1</v>
      </c>
      <c r="N8" s="252">
        <f>IFERROR(SUMIF(Commercial!$A$3:$A$9,$A8,Commercial!V$3:V$9),0)</f>
        <v>0</v>
      </c>
      <c r="O8" s="252">
        <f>IFERROR(SUMIF(Commercial!$A$3:$A$9,$A8,Commercial!W$3:W$9),0)</f>
        <v>0</v>
      </c>
      <c r="P8" s="252">
        <f>IFERROR(SUMIF(Commercial!$A$3:$A$9,$A8,Commercial!AB$3:AB$9),0)</f>
        <v>0</v>
      </c>
      <c r="Q8" s="253">
        <f>IFERROR(SUMIF(Commercial!$A$3:$A$9,$A8,Commercial!AC$3:AC$9),0)</f>
        <v>1</v>
      </c>
      <c r="R8" s="255">
        <f t="shared" ref="R8:V8" si="7">C8+H8+M8</f>
        <v>1</v>
      </c>
      <c r="S8" s="256">
        <f t="shared" si="7"/>
        <v>2</v>
      </c>
      <c r="T8" s="256">
        <f t="shared" si="7"/>
        <v>0</v>
      </c>
      <c r="U8" s="257">
        <f t="shared" si="7"/>
        <v>0</v>
      </c>
      <c r="V8" s="258">
        <f t="shared" si="7"/>
        <v>1</v>
      </c>
      <c r="W8" s="259">
        <f t="shared" si="3"/>
        <v>4</v>
      </c>
    </row>
    <row r="9" ht="15.75" customHeight="1">
      <c r="A9" s="249">
        <f>Commercial!A6</f>
        <v>1294</v>
      </c>
      <c r="B9" s="250" t="str">
        <f t="array" ref="B9">IFERROR(INDEX(Commercial!B:B,MATCH(A9,Commercial!A:A,0)),"")</f>
        <v>Brandy Paton (Commercial)</v>
      </c>
      <c r="C9" s="251">
        <f>IFERROR(SUMIF('COM Winbacks'!$A:$A,$A9,'COM Winbacks'!C:C),0)</f>
        <v>0</v>
      </c>
      <c r="D9" s="252">
        <f>IFERROR(SUMIF('COM Winbacks'!$A:$A,$A9,'COM Winbacks'!D:D),0)</f>
        <v>0</v>
      </c>
      <c r="E9" s="252">
        <f>IFERROR(SUMIF('COM Winbacks'!$A:$A,$A9,'COM Winbacks'!E:E),0)</f>
        <v>0</v>
      </c>
      <c r="F9" s="252">
        <f>IFERROR(SUMIF('COM Winbacks'!$A:$A,$A9,'COM Winbacks'!F:F),0)</f>
        <v>0</v>
      </c>
      <c r="G9" s="253">
        <f>IFERROR(SUMIF('COM Winbacks'!$A:$A,$A9,'COM Winbacks'!G:G),0)</f>
        <v>0</v>
      </c>
      <c r="H9" s="254">
        <f>IFERROR(SUMIF(Residential!$A:$A,$A9,Residential!C:C),0)</f>
        <v>0</v>
      </c>
      <c r="I9" s="252">
        <f>IFERROR(SUMIF(Residential!$A:$A,$A9,Residential!D:D),0)</f>
        <v>0</v>
      </c>
      <c r="J9" s="252">
        <f>IFERROR(SUMIF(Residential!$A:$A,$A9,Residential!E:E),0)</f>
        <v>0</v>
      </c>
      <c r="K9" s="252">
        <f>IFERROR(SUMIF(Residential!$A:$A,$A9,Residential!F:F),0)</f>
        <v>0</v>
      </c>
      <c r="L9" s="253">
        <f>IFERROR(SUMIF(Residential!$A:$A,$A9,Residential!G:G),0)</f>
        <v>0</v>
      </c>
      <c r="M9" s="254">
        <f>IFERROR(SUMIF(Commercial!$A$3:$A$9,$A9,Commercial!Q$3:Q$9),0)</f>
        <v>0</v>
      </c>
      <c r="N9" s="252">
        <f>IFERROR(SUMIF(Commercial!$A$3:$A$9,$A9,Commercial!V$3:V$9),0)</f>
        <v>0</v>
      </c>
      <c r="O9" s="252">
        <f>IFERROR(SUMIF(Commercial!$A$3:$A$9,$A9,Commercial!W$3:W$9),0)</f>
        <v>0</v>
      </c>
      <c r="P9" s="252">
        <f>IFERROR(SUMIF(Commercial!$A$3:$A$9,$A9,Commercial!AB$3:AB$9),0)</f>
        <v>0</v>
      </c>
      <c r="Q9" s="253">
        <f>IFERROR(SUMIF(Commercial!$A$3:$A$9,$A9,Commercial!AC$3:AC$9),0)</f>
        <v>0</v>
      </c>
      <c r="R9" s="255">
        <f t="shared" ref="R9:V9" si="8">C9+H9+M9</f>
        <v>0</v>
      </c>
      <c r="S9" s="256">
        <f t="shared" si="8"/>
        <v>0</v>
      </c>
      <c r="T9" s="256">
        <f t="shared" si="8"/>
        <v>0</v>
      </c>
      <c r="U9" s="257">
        <f t="shared" si="8"/>
        <v>0</v>
      </c>
      <c r="V9" s="258">
        <f t="shared" si="8"/>
        <v>0</v>
      </c>
      <c r="W9" s="259">
        <f t="shared" si="3"/>
        <v>0</v>
      </c>
    </row>
    <row r="10" ht="15.75" customHeight="1">
      <c r="A10" s="249">
        <f>Commercial!A7</f>
        <v>1280</v>
      </c>
      <c r="B10" s="250" t="str">
        <f t="array" ref="B10">IFERROR(INDEX(Commercial!B:B,MATCH(A10,Commercial!A:A,0)),"")</f>
        <v>Ashlee Franks (Commercial)</v>
      </c>
      <c r="C10" s="251">
        <f>IFERROR(SUMIF('COM Winbacks'!$A:$A,$A10,'COM Winbacks'!C:C),0)</f>
        <v>0</v>
      </c>
      <c r="D10" s="252">
        <f>IFERROR(SUMIF('COM Winbacks'!$A:$A,$A10,'COM Winbacks'!D:D),0)</f>
        <v>0</v>
      </c>
      <c r="E10" s="252">
        <f>IFERROR(SUMIF('COM Winbacks'!$A:$A,$A10,'COM Winbacks'!E:E),0)</f>
        <v>0</v>
      </c>
      <c r="F10" s="252">
        <f>IFERROR(SUMIF('COM Winbacks'!$A:$A,$A10,'COM Winbacks'!F:F),0)</f>
        <v>0</v>
      </c>
      <c r="G10" s="253">
        <f>IFERROR(SUMIF('COM Winbacks'!$A:$A,$A10,'COM Winbacks'!G:G),0)</f>
        <v>0</v>
      </c>
      <c r="H10" s="254">
        <f>IFERROR(SUMIF(Residential!$A:$A,$A10,Residential!C:C),0)</f>
        <v>0</v>
      </c>
      <c r="I10" s="252">
        <f>IFERROR(SUMIF(Residential!$A:$A,$A10,Residential!D:D),0)</f>
        <v>1</v>
      </c>
      <c r="J10" s="252">
        <f>IFERROR(SUMIF(Residential!$A:$A,$A10,Residential!E:E),0)</f>
        <v>0</v>
      </c>
      <c r="K10" s="252">
        <f>IFERROR(SUMIF(Residential!$A:$A,$A10,Residential!F:F),0)</f>
        <v>1</v>
      </c>
      <c r="L10" s="253">
        <f>IFERROR(SUMIF(Residential!$A:$A,$A10,Residential!G:G),0)</f>
        <v>0</v>
      </c>
      <c r="M10" s="254">
        <f>IFERROR(SUMIF(Commercial!$A$3:$A$9,$A10,Commercial!Q$3:Q$9),0)</f>
        <v>0</v>
      </c>
      <c r="N10" s="252">
        <f>IFERROR(SUMIF(Commercial!$A$3:$A$9,$A10,Commercial!V$3:V$9),0)</f>
        <v>0</v>
      </c>
      <c r="O10" s="252">
        <f>IFERROR(SUMIF(Commercial!$A$3:$A$9,$A10,Commercial!W$3:W$9),0)</f>
        <v>0</v>
      </c>
      <c r="P10" s="252">
        <f>IFERROR(SUMIF(Commercial!$A$3:$A$9,$A10,Commercial!AB$3:AB$9),0)</f>
        <v>0</v>
      </c>
      <c r="Q10" s="253">
        <f>IFERROR(SUMIF(Commercial!$A$3:$A$9,$A10,Commercial!AC$3:AC$9),0)</f>
        <v>1</v>
      </c>
      <c r="R10" s="255">
        <f t="shared" ref="R10:V10" si="9">C10+H10+M10</f>
        <v>0</v>
      </c>
      <c r="S10" s="256">
        <f t="shared" si="9"/>
        <v>1</v>
      </c>
      <c r="T10" s="256">
        <f t="shared" si="9"/>
        <v>0</v>
      </c>
      <c r="U10" s="257">
        <f t="shared" si="9"/>
        <v>1</v>
      </c>
      <c r="V10" s="258">
        <f t="shared" si="9"/>
        <v>1</v>
      </c>
      <c r="W10" s="259">
        <f t="shared" si="3"/>
        <v>3</v>
      </c>
    </row>
    <row r="11" ht="15.75" customHeight="1">
      <c r="A11" s="249">
        <f>Commercial!A8</f>
        <v>1298</v>
      </c>
      <c r="B11" s="250" t="str">
        <f t="array" ref="B11">IFERROR(INDEX(Commercial!B:B,MATCH(A11,Commercial!A:A,0)),"")</f>
        <v>Shelby Lewis (Commercial)</v>
      </c>
      <c r="C11" s="251">
        <f>IFERROR(SUMIF('COM Winbacks'!$A:$A,$A11,'COM Winbacks'!C:C),0)</f>
        <v>0</v>
      </c>
      <c r="D11" s="252">
        <f>IFERROR(SUMIF('COM Winbacks'!$A:$A,$A11,'COM Winbacks'!D:D),0)</f>
        <v>0</v>
      </c>
      <c r="E11" s="252">
        <f>IFERROR(SUMIF('COM Winbacks'!$A:$A,$A11,'COM Winbacks'!E:E),0)</f>
        <v>0</v>
      </c>
      <c r="F11" s="252">
        <f>IFERROR(SUMIF('COM Winbacks'!$A:$A,$A11,'COM Winbacks'!F:F),0)</f>
        <v>0</v>
      </c>
      <c r="G11" s="253">
        <f>IFERROR(SUMIF('COM Winbacks'!$A:$A,$A11,'COM Winbacks'!G:G),0)</f>
        <v>0</v>
      </c>
      <c r="H11" s="254">
        <f>IFERROR(SUMIF(Residential!$A:$A,$A11,Residential!C:C),0)</f>
        <v>0</v>
      </c>
      <c r="I11" s="252">
        <f>IFERROR(SUMIF(Residential!$A:$A,$A11,Residential!D:D),0)</f>
        <v>2</v>
      </c>
      <c r="J11" s="252">
        <f>IFERROR(SUMIF(Residential!$A:$A,$A11,Residential!E:E),0)</f>
        <v>0</v>
      </c>
      <c r="K11" s="252">
        <f>IFERROR(SUMIF(Residential!$A:$A,$A11,Residential!F:F),0)</f>
        <v>0</v>
      </c>
      <c r="L11" s="253">
        <f>IFERROR(SUMIF(Residential!$A:$A,$A11,Residential!G:G),0)</f>
        <v>0</v>
      </c>
      <c r="M11" s="254">
        <f>IFERROR(SUMIF(Commercial!$A$3:$A$9,$A11,Commercial!Q$3:Q$9),0)</f>
        <v>1</v>
      </c>
      <c r="N11" s="252">
        <f>IFERROR(SUMIF(Commercial!$A$3:$A$9,$A11,Commercial!V$3:V$9),0)</f>
        <v>1</v>
      </c>
      <c r="O11" s="252">
        <f>IFERROR(SUMIF(Commercial!$A$3:$A$9,$A11,Commercial!W$3:W$9),0)</f>
        <v>0</v>
      </c>
      <c r="P11" s="252">
        <f>IFERROR(SUMIF(Commercial!$A$3:$A$9,$A11,Commercial!AB$3:AB$9),0)</f>
        <v>0</v>
      </c>
      <c r="Q11" s="253">
        <f>IFERROR(SUMIF(Commercial!$A$3:$A$9,$A11,Commercial!AC$3:AC$9),0)</f>
        <v>0</v>
      </c>
      <c r="R11" s="255">
        <f t="shared" ref="R11:V11" si="10">C11+H11+M11</f>
        <v>1</v>
      </c>
      <c r="S11" s="256">
        <f t="shared" si="10"/>
        <v>3</v>
      </c>
      <c r="T11" s="256">
        <f t="shared" si="10"/>
        <v>0</v>
      </c>
      <c r="U11" s="257">
        <f t="shared" si="10"/>
        <v>0</v>
      </c>
      <c r="V11" s="258">
        <f t="shared" si="10"/>
        <v>0</v>
      </c>
      <c r="W11" s="259">
        <f t="shared" si="3"/>
        <v>4</v>
      </c>
    </row>
    <row r="12" ht="15.75" customHeight="1">
      <c r="A12" s="249" t="str">
        <f>Commercial!#REF!</f>
        <v>#ERROR!</v>
      </c>
      <c r="B12" s="250" t="str">
        <f t="array" ref="B12">IFERROR(INDEX(Commercial!B:B,MATCH(A12,Commercial!A:A,0)),"")</f>
        <v/>
      </c>
      <c r="C12" s="251">
        <f>IFERROR(SUMIF('COM Winbacks'!$A:$A,$A12,'COM Winbacks'!C:C),0)</f>
        <v>0</v>
      </c>
      <c r="D12" s="252">
        <f>IFERROR(SUMIF('COM Winbacks'!$A:$A,$A12,'COM Winbacks'!D:D),0)</f>
        <v>0</v>
      </c>
      <c r="E12" s="252">
        <f>IFERROR(SUMIF('COM Winbacks'!$A:$A,$A12,'COM Winbacks'!E:E),0)</f>
        <v>0</v>
      </c>
      <c r="F12" s="252">
        <f>IFERROR(SUMIF('COM Winbacks'!$A:$A,$A12,'COM Winbacks'!F:F),0)</f>
        <v>0</v>
      </c>
      <c r="G12" s="253">
        <f>IFERROR(SUMIF('COM Winbacks'!$A:$A,$A12,'COM Winbacks'!G:G),0)</f>
        <v>0</v>
      </c>
      <c r="H12" s="254">
        <f>IFERROR(SUMIF(Residential!$A:$A,$A12,Residential!C:C),0)</f>
        <v>0</v>
      </c>
      <c r="I12" s="252">
        <f>IFERROR(SUMIF(Residential!$A:$A,$A12,Residential!D:D),0)</f>
        <v>0</v>
      </c>
      <c r="J12" s="252">
        <f>IFERROR(SUMIF(Residential!$A:$A,$A12,Residential!E:E),0)</f>
        <v>0</v>
      </c>
      <c r="K12" s="252">
        <f>IFERROR(SUMIF(Residential!$A:$A,$A12,Residential!F:F),0)</f>
        <v>0</v>
      </c>
      <c r="L12" s="253">
        <f>IFERROR(SUMIF(Residential!$A:$A,$A12,Residential!G:G),0)</f>
        <v>0</v>
      </c>
      <c r="M12" s="254">
        <f>IFERROR(SUMIF(Commercial!$A$3:$A$9,$A12,Commercial!Q$3:Q$9),0)</f>
        <v>0</v>
      </c>
      <c r="N12" s="252">
        <f>IFERROR(SUMIF(Commercial!$A$3:$A$9,$A12,Commercial!V$3:V$9),0)</f>
        <v>0</v>
      </c>
      <c r="O12" s="252">
        <f>IFERROR(SUMIF(Commercial!$A$3:$A$9,$A12,Commercial!W$3:W$9),0)</f>
        <v>0</v>
      </c>
      <c r="P12" s="252">
        <f>IFERROR(SUMIF(Commercial!$A$3:$A$9,$A12,Commercial!AB$3:AB$9),0)</f>
        <v>0</v>
      </c>
      <c r="Q12" s="253">
        <f>IFERROR(SUMIF(Commercial!$A$3:$A$9,$A12,Commercial!AC$3:AC$9),0)</f>
        <v>0</v>
      </c>
      <c r="R12" s="255">
        <f t="shared" ref="R12:V12" si="11">C12+H12+M12</f>
        <v>0</v>
      </c>
      <c r="S12" s="256">
        <f t="shared" si="11"/>
        <v>0</v>
      </c>
      <c r="T12" s="256">
        <f t="shared" si="11"/>
        <v>0</v>
      </c>
      <c r="U12" s="257">
        <f t="shared" si="11"/>
        <v>0</v>
      </c>
      <c r="V12" s="258">
        <f t="shared" si="11"/>
        <v>0</v>
      </c>
      <c r="W12" s="259">
        <f t="shared" si="3"/>
        <v>0</v>
      </c>
    </row>
    <row r="13" ht="15.75" customHeight="1">
      <c r="A13" s="249">
        <f>Commercial!A9</f>
        <v>1301</v>
      </c>
      <c r="B13" s="250" t="str">
        <f t="array" ref="B13">IFERROR(INDEX(Commercial!B:B,MATCH(A13,Commercial!A:A,0)),"")</f>
        <v>Albert Williams (Commercial)</v>
      </c>
      <c r="C13" s="251">
        <f>IFERROR(SUMIF('COM Winbacks'!$A:$A,$A13,'COM Winbacks'!C:C),0)</f>
        <v>0</v>
      </c>
      <c r="D13" s="252">
        <f>IFERROR(SUMIF('COM Winbacks'!$A:$A,$A13,'COM Winbacks'!D:D),0)</f>
        <v>0</v>
      </c>
      <c r="E13" s="252">
        <f>IFERROR(SUMIF('COM Winbacks'!$A:$A,$A13,'COM Winbacks'!E:E),0)</f>
        <v>0</v>
      </c>
      <c r="F13" s="252">
        <f>IFERROR(SUMIF('COM Winbacks'!$A:$A,$A13,'COM Winbacks'!F:F),0)</f>
        <v>0</v>
      </c>
      <c r="G13" s="253">
        <f>IFERROR(SUMIF('COM Winbacks'!$A:$A,$A13,'COM Winbacks'!G:G),0)</f>
        <v>0</v>
      </c>
      <c r="H13" s="254">
        <f>IFERROR(SUMIF(Residential!$A:$A,$A13,Residential!C:C),0)</f>
        <v>0</v>
      </c>
      <c r="I13" s="252">
        <f>IFERROR(SUMIF(Residential!$A:$A,$A13,Residential!D:D),0)</f>
        <v>1</v>
      </c>
      <c r="J13" s="252">
        <f>IFERROR(SUMIF(Residential!$A:$A,$A13,Residential!E:E),0)</f>
        <v>0</v>
      </c>
      <c r="K13" s="252">
        <f>IFERROR(SUMIF(Residential!$A:$A,$A13,Residential!F:F),0)</f>
        <v>0</v>
      </c>
      <c r="L13" s="253">
        <f>IFERROR(SUMIF(Residential!$A:$A,$A13,Residential!G:G),0)</f>
        <v>0</v>
      </c>
      <c r="M13" s="254">
        <f>IFERROR(SUMIF(Commercial!$A$3:$A$9,$A13,Commercial!Q$3:Q$9),0)</f>
        <v>0</v>
      </c>
      <c r="N13" s="252">
        <f>IFERROR(SUMIF(Commercial!$A$3:$A$9,$A13,Commercial!V$3:V$9),0)</f>
        <v>0</v>
      </c>
      <c r="O13" s="252">
        <f>IFERROR(SUMIF(Commercial!$A$3:$A$9,$A13,Commercial!W$3:W$9),0)</f>
        <v>2</v>
      </c>
      <c r="P13" s="252">
        <f>IFERROR(SUMIF(Commercial!$A$3:$A$9,$A13,Commercial!AB$3:AB$9),0)</f>
        <v>0</v>
      </c>
      <c r="Q13" s="253">
        <f>IFERROR(SUMIF(Commercial!$A$3:$A$9,$A13,Commercial!AC$3:AC$9),0)</f>
        <v>0</v>
      </c>
      <c r="R13" s="255">
        <f t="shared" ref="R13:V13" si="12">C13+H13+M13</f>
        <v>0</v>
      </c>
      <c r="S13" s="256">
        <f t="shared" si="12"/>
        <v>1</v>
      </c>
      <c r="T13" s="256">
        <f t="shared" si="12"/>
        <v>2</v>
      </c>
      <c r="U13" s="257">
        <f t="shared" si="12"/>
        <v>0</v>
      </c>
      <c r="V13" s="258">
        <f t="shared" si="12"/>
        <v>0</v>
      </c>
      <c r="W13" s="259">
        <f t="shared" si="3"/>
        <v>3</v>
      </c>
    </row>
    <row r="14" ht="15.75" customHeight="1">
      <c r="A14" s="249"/>
      <c r="B14" s="250"/>
      <c r="C14" s="251"/>
      <c r="D14" s="252"/>
      <c r="E14" s="252"/>
      <c r="F14" s="252"/>
      <c r="G14" s="253"/>
      <c r="H14" s="254"/>
      <c r="I14" s="252"/>
      <c r="J14" s="252"/>
      <c r="K14" s="252"/>
      <c r="L14" s="253"/>
      <c r="M14" s="254"/>
      <c r="N14" s="252"/>
      <c r="O14" s="252"/>
      <c r="P14" s="252"/>
      <c r="Q14" s="253"/>
      <c r="R14" s="255"/>
      <c r="S14" s="256"/>
      <c r="T14" s="256"/>
      <c r="U14" s="257"/>
      <c r="V14" s="258"/>
      <c r="W14" s="259"/>
    </row>
    <row r="15" ht="15.75" customHeight="1">
      <c r="A15" s="260"/>
      <c r="B15" s="261" t="s">
        <v>106</v>
      </c>
      <c r="C15" s="262"/>
      <c r="D15" s="263"/>
      <c r="E15" s="263"/>
      <c r="F15" s="263"/>
      <c r="G15" s="264"/>
      <c r="H15" s="265"/>
      <c r="I15" s="263"/>
      <c r="J15" s="263"/>
      <c r="K15" s="263"/>
      <c r="L15" s="264"/>
      <c r="M15" s="265"/>
      <c r="N15" s="263"/>
      <c r="O15" s="263"/>
      <c r="P15" s="263"/>
      <c r="Q15" s="264"/>
      <c r="R15" s="262"/>
      <c r="S15" s="263"/>
      <c r="T15" s="263"/>
      <c r="U15" s="264"/>
      <c r="V15" s="266"/>
      <c r="W15" s="145">
        <f>SUM(W3:W14)</f>
        <v>23</v>
      </c>
    </row>
    <row r="16" ht="15.75" customHeight="1">
      <c r="A16" s="249">
        <f>Commercial!A10</f>
        <v>1290</v>
      </c>
      <c r="B16" s="250" t="str">
        <f t="array" ref="B16">IFERROR(INDEX(Commercial!B:B,MATCH(A16,Commercial!A:A,0)),"")</f>
        <v>Abigail Gambino (Commercial-Closer)</v>
      </c>
      <c r="C16" s="251">
        <f>IFERROR(SUMIF('COM Winbacks'!$A:$A,$A16,'COM Winbacks'!C:C),0)</f>
        <v>0</v>
      </c>
      <c r="D16" s="252">
        <f>IFERROR(SUMIF('COM Winbacks'!$A:$A,$A16,'COM Winbacks'!D:D),0)</f>
        <v>0</v>
      </c>
      <c r="E16" s="252">
        <f>IFERROR(SUMIF('COM Winbacks'!$A:$A,$A16,'COM Winbacks'!E:E),0)</f>
        <v>0</v>
      </c>
      <c r="F16" s="252">
        <f>IFERROR(SUMIF('COM Winbacks'!$A:$A,$A16,'COM Winbacks'!F:F),0)</f>
        <v>0</v>
      </c>
      <c r="G16" s="253">
        <f>IFERROR(SUMIF('COM Winbacks'!$A:$A,$A16,'COM Winbacks'!G:G),0)</f>
        <v>0</v>
      </c>
      <c r="H16" s="254">
        <f>IFERROR(SUMIF(Residential!$A:$A,$A16,Residential!C:C),0)</f>
        <v>0</v>
      </c>
      <c r="I16" s="252">
        <f>IFERROR(SUMIF(Residential!$A:$A,$A16,Residential!D:D),0)</f>
        <v>0</v>
      </c>
      <c r="J16" s="252">
        <f>IFERROR(SUMIF(Residential!$A:$A,$A16,Residential!E:E),0)</f>
        <v>0</v>
      </c>
      <c r="K16" s="252">
        <f>IFERROR(SUMIF(Residential!$A:$A,$A16,Residential!F:F),0)</f>
        <v>0</v>
      </c>
      <c r="L16" s="253">
        <f>IFERROR(SUMIF(Residential!$A:$A,$A16,Residential!G:G),0)</f>
        <v>0</v>
      </c>
      <c r="M16" s="254">
        <f>IFERROR(SUMIF(Commercial!$A$10:$A$13,$A16,Commercial!Q$10:Q$13),0)</f>
        <v>0</v>
      </c>
      <c r="N16" s="252">
        <f>IFERROR(SUMIF(Commercial!$A$10:$A$13,$A16,Commercial!V$10:V$13),0)</f>
        <v>0</v>
      </c>
      <c r="O16" s="252">
        <f>IFERROR(SUMIF(Commercial!$A$10:$A$13,$A16,Commercial!W$10:W$13),0)</f>
        <v>0</v>
      </c>
      <c r="P16" s="252">
        <f>IFERROR(SUMIF(Commercial!$A$10:$A$13,$A16,Commercial!AB$10:AB$13),0)</f>
        <v>0</v>
      </c>
      <c r="Q16" s="253">
        <f>IFERROR(SUMIF(Commercial!$A$10:$A$13,$A16,Commercial!AC$10:AC$13),0)</f>
        <v>0</v>
      </c>
      <c r="R16" s="255">
        <f t="shared" ref="R16:V16" si="13">C16+H16+M16</f>
        <v>0</v>
      </c>
      <c r="S16" s="256">
        <f t="shared" si="13"/>
        <v>0</v>
      </c>
      <c r="T16" s="256">
        <f t="shared" si="13"/>
        <v>0</v>
      </c>
      <c r="U16" s="257">
        <f t="shared" si="13"/>
        <v>0</v>
      </c>
      <c r="V16" s="258">
        <f t="shared" si="13"/>
        <v>0</v>
      </c>
      <c r="W16" s="259">
        <f t="shared" ref="W16:W20" si="15">SUM(R16:V16)</f>
        <v>0</v>
      </c>
    </row>
    <row r="17" ht="15.75" customHeight="1">
      <c r="A17" s="249" t="str">
        <f>Commercial!#REF!</f>
        <v>#ERROR!</v>
      </c>
      <c r="B17" s="250" t="str">
        <f t="array" ref="B17">IFERROR(INDEX(Commercial!B:B,MATCH(A17,Commercial!A:A,0)),"")</f>
        <v/>
      </c>
      <c r="C17" s="251">
        <f>IFERROR(SUMIF('COM Winbacks'!$A:$A,$A17,'COM Winbacks'!C:C),0)</f>
        <v>0</v>
      </c>
      <c r="D17" s="252">
        <f>IFERROR(SUMIF('COM Winbacks'!$A:$A,$A17,'COM Winbacks'!D:D),0)</f>
        <v>0</v>
      </c>
      <c r="E17" s="252">
        <f>IFERROR(SUMIF('COM Winbacks'!$A:$A,$A17,'COM Winbacks'!E:E),0)</f>
        <v>0</v>
      </c>
      <c r="F17" s="252">
        <f>IFERROR(SUMIF('COM Winbacks'!$A:$A,$A17,'COM Winbacks'!F:F),0)</f>
        <v>0</v>
      </c>
      <c r="G17" s="253">
        <f>IFERROR(SUMIF('COM Winbacks'!$A:$A,$A17,'COM Winbacks'!G:G),0)</f>
        <v>0</v>
      </c>
      <c r="H17" s="254">
        <f>IFERROR(SUMIF(Residential!$A:$A,$A17,Residential!C:C),0)</f>
        <v>0</v>
      </c>
      <c r="I17" s="252">
        <f>IFERROR(SUMIF(Residential!$A:$A,$A17,Residential!D:D),0)</f>
        <v>0</v>
      </c>
      <c r="J17" s="252">
        <f>IFERROR(SUMIF(Residential!$A:$A,$A17,Residential!E:E),0)</f>
        <v>0</v>
      </c>
      <c r="K17" s="252">
        <f>IFERROR(SUMIF(Residential!$A:$A,$A17,Residential!F:F),0)</f>
        <v>0</v>
      </c>
      <c r="L17" s="253">
        <f>IFERROR(SUMIF(Residential!$A:$A,$A17,Residential!G:G),0)</f>
        <v>0</v>
      </c>
      <c r="M17" s="254">
        <f>IFERROR(SUMIF(Commercial!$A$10:$A$13,$A17,Commercial!Q$10:Q$13),0)</f>
        <v>0</v>
      </c>
      <c r="N17" s="252">
        <f>IFERROR(SUMIF(Commercial!$A$10:$A$13,$A17,Commercial!V$10:V$13),0)</f>
        <v>0</v>
      </c>
      <c r="O17" s="252">
        <f>IFERROR(SUMIF(Commercial!$A$10:$A$13,$A17,Commercial!W$10:W$13),0)</f>
        <v>0</v>
      </c>
      <c r="P17" s="252">
        <f>IFERROR(SUMIF(Commercial!$A$10:$A$13,$A17,Commercial!AB$10:AB$13),0)</f>
        <v>0</v>
      </c>
      <c r="Q17" s="253">
        <f>IFERROR(SUMIF(Commercial!$A$10:$A$13,$A17,Commercial!AC$10:AC$13),0)</f>
        <v>0</v>
      </c>
      <c r="R17" s="255">
        <f t="shared" ref="R17:V17" si="14">C17+H17+M17</f>
        <v>0</v>
      </c>
      <c r="S17" s="256">
        <f t="shared" si="14"/>
        <v>0</v>
      </c>
      <c r="T17" s="256">
        <f t="shared" si="14"/>
        <v>0</v>
      </c>
      <c r="U17" s="257">
        <f t="shared" si="14"/>
        <v>0</v>
      </c>
      <c r="V17" s="258">
        <f t="shared" si="14"/>
        <v>0</v>
      </c>
      <c r="W17" s="259">
        <f t="shared" si="15"/>
        <v>0</v>
      </c>
    </row>
    <row r="18" ht="15.75" customHeight="1">
      <c r="A18" s="249">
        <f>Commercial!A11</f>
        <v>1151</v>
      </c>
      <c r="B18" s="250" t="str">
        <f t="array" ref="B18">IFERROR(INDEX(Commercial!B:B,MATCH(A18,Commercial!A:A,0)),"")</f>
        <v>CJ Jackson (Manager/Closer)</v>
      </c>
      <c r="C18" s="251">
        <f>IFERROR(SUMIF('COM Winbacks'!$A:$A,$A18,'COM Winbacks'!C:C),0)</f>
        <v>0</v>
      </c>
      <c r="D18" s="252">
        <f>IFERROR(SUMIF('COM Winbacks'!$A:$A,$A18,'COM Winbacks'!D:D),0)</f>
        <v>0</v>
      </c>
      <c r="E18" s="252">
        <f>IFERROR(SUMIF('COM Winbacks'!$A:$A,$A18,'COM Winbacks'!E:E),0)</f>
        <v>0</v>
      </c>
      <c r="F18" s="252">
        <f>IFERROR(SUMIF('COM Winbacks'!$A:$A,$A18,'COM Winbacks'!F:F),0)</f>
        <v>0</v>
      </c>
      <c r="G18" s="253">
        <f>IFERROR(SUMIF('COM Winbacks'!$A:$A,$A18,'COM Winbacks'!G:G),0)</f>
        <v>0</v>
      </c>
      <c r="H18" s="254">
        <f>IFERROR(SUMIF(Residential!$A:$A,$A18,Residential!C:C),0)</f>
        <v>0</v>
      </c>
      <c r="I18" s="252">
        <f>IFERROR(SUMIF(Residential!$A:$A,$A18,Residential!D:D),0)</f>
        <v>0</v>
      </c>
      <c r="J18" s="252">
        <f>IFERROR(SUMIF(Residential!$A:$A,$A18,Residential!E:E),0)</f>
        <v>0</v>
      </c>
      <c r="K18" s="252">
        <f>IFERROR(SUMIF(Residential!$A:$A,$A18,Residential!F:F),0)</f>
        <v>0</v>
      </c>
      <c r="L18" s="253">
        <f>IFERROR(SUMIF(Residential!$A:$A,$A18,Residential!G:G),0)</f>
        <v>0</v>
      </c>
      <c r="M18" s="254">
        <f>IFERROR(SUMIF(Commercial!$A$10:$A$13,$A18,Commercial!Q$10:Q$13),0)</f>
        <v>0</v>
      </c>
      <c r="N18" s="252">
        <f>IFERROR(SUMIF(Commercial!$A$10:$A$13,$A18,Commercial!V$10:V$13),0)</f>
        <v>0</v>
      </c>
      <c r="O18" s="252">
        <f>IFERROR(SUMIF(Commercial!$A$10:$A$13,$A18,Commercial!W$10:W$13),0)</f>
        <v>0</v>
      </c>
      <c r="P18" s="252">
        <f>IFERROR(SUMIF(Commercial!$A$10:$A$13,$A18,Commercial!AB$10:AB$13),0)</f>
        <v>0</v>
      </c>
      <c r="Q18" s="253">
        <f>IFERROR(SUMIF(Commercial!$A$10:$A$13,$A18,Commercial!AC$10:AC$13),0)</f>
        <v>0</v>
      </c>
      <c r="R18" s="255">
        <f t="shared" ref="R18:V18" si="16">C18+H18+M18</f>
        <v>0</v>
      </c>
      <c r="S18" s="256">
        <f t="shared" si="16"/>
        <v>0</v>
      </c>
      <c r="T18" s="256">
        <f t="shared" si="16"/>
        <v>0</v>
      </c>
      <c r="U18" s="257">
        <f t="shared" si="16"/>
        <v>0</v>
      </c>
      <c r="V18" s="258">
        <f t="shared" si="16"/>
        <v>0</v>
      </c>
      <c r="W18" s="259">
        <f t="shared" si="15"/>
        <v>0</v>
      </c>
    </row>
    <row r="19" ht="15.75" customHeight="1">
      <c r="A19" s="249" t="str">
        <f>Commercial!#REF!</f>
        <v>#ERROR!</v>
      </c>
      <c r="B19" s="250" t="str">
        <f t="array" ref="B19">IFERROR(INDEX(Commercial!B:B,MATCH(A19,Commercial!A:A,0)),"")</f>
        <v/>
      </c>
      <c r="C19" s="251">
        <f>IFERROR(SUMIF('COM Winbacks'!$A:$A,$A19,'COM Winbacks'!C:C),0)</f>
        <v>0</v>
      </c>
      <c r="D19" s="252">
        <f>IFERROR(SUMIF('COM Winbacks'!$A:$A,$A19,'COM Winbacks'!D:D),0)</f>
        <v>0</v>
      </c>
      <c r="E19" s="252">
        <f>IFERROR(SUMIF('COM Winbacks'!$A:$A,$A19,'COM Winbacks'!E:E),0)</f>
        <v>0</v>
      </c>
      <c r="F19" s="252">
        <f>IFERROR(SUMIF('COM Winbacks'!$A:$A,$A19,'COM Winbacks'!F:F),0)</f>
        <v>0</v>
      </c>
      <c r="G19" s="253">
        <f>IFERROR(SUMIF('COM Winbacks'!$A:$A,$A19,'COM Winbacks'!G:G),0)</f>
        <v>0</v>
      </c>
      <c r="H19" s="254">
        <f>IFERROR(SUMIF(Residential!$A:$A,$A19,Residential!C:C),0)</f>
        <v>0</v>
      </c>
      <c r="I19" s="252">
        <f>IFERROR(SUMIF(Residential!$A:$A,$A19,Residential!D:D),0)</f>
        <v>0</v>
      </c>
      <c r="J19" s="252">
        <f>IFERROR(SUMIF(Residential!$A:$A,$A19,Residential!E:E),0)</f>
        <v>0</v>
      </c>
      <c r="K19" s="252">
        <f>IFERROR(SUMIF(Residential!$A:$A,$A19,Residential!F:F),0)</f>
        <v>0</v>
      </c>
      <c r="L19" s="253">
        <f>IFERROR(SUMIF(Residential!$A:$A,$A19,Residential!G:G),0)</f>
        <v>0</v>
      </c>
      <c r="M19" s="254">
        <f>IFERROR(SUMIF(Commercial!$A$10:$A$13,$A19,Commercial!Q$10:Q$13),0)</f>
        <v>0</v>
      </c>
      <c r="N19" s="252">
        <f>IFERROR(SUMIF(Commercial!$A$10:$A$13,$A19,Commercial!V$10:V$13),0)</f>
        <v>0</v>
      </c>
      <c r="O19" s="252">
        <f>IFERROR(SUMIF(Commercial!$A$10:$A$13,$A19,Commercial!W$10:W$13),0)</f>
        <v>0</v>
      </c>
      <c r="P19" s="252">
        <f>IFERROR(SUMIF(Commercial!$A$10:$A$13,$A19,Commercial!AB$10:AB$13),0)</f>
        <v>0</v>
      </c>
      <c r="Q19" s="253">
        <f>IFERROR(SUMIF(Commercial!$A$10:$A$13,$A19,Commercial!AC$10:AC$13),0)</f>
        <v>0</v>
      </c>
      <c r="R19" s="255">
        <f t="shared" ref="R19:V19" si="17">C19+H19+M19</f>
        <v>0</v>
      </c>
      <c r="S19" s="256">
        <f t="shared" si="17"/>
        <v>0</v>
      </c>
      <c r="T19" s="256">
        <f t="shared" si="17"/>
        <v>0</v>
      </c>
      <c r="U19" s="257">
        <f t="shared" si="17"/>
        <v>0</v>
      </c>
      <c r="V19" s="258">
        <f t="shared" si="17"/>
        <v>0</v>
      </c>
      <c r="W19" s="259">
        <f t="shared" si="15"/>
        <v>0</v>
      </c>
    </row>
    <row r="20" ht="15.75" customHeight="1">
      <c r="A20" s="249">
        <f>Commercial!A12</f>
        <v>1300</v>
      </c>
      <c r="B20" s="250" t="str">
        <f t="array" ref="B20">IFERROR(INDEX(Commercial!B:B,MATCH(A20,Commercial!A:A,0)),"")</f>
        <v>Neil Singhal (Commercial)</v>
      </c>
      <c r="C20" s="251">
        <f>IFERROR(SUMIF('COM Winbacks'!$A:$A,$A20,'COM Winbacks'!C:C),0)</f>
        <v>0</v>
      </c>
      <c r="D20" s="252">
        <f>IFERROR(SUMIF('COM Winbacks'!$A:$A,$A20,'COM Winbacks'!D:D),0)</f>
        <v>0</v>
      </c>
      <c r="E20" s="252">
        <f>IFERROR(SUMIF('COM Winbacks'!$A:$A,$A20,'COM Winbacks'!E:E),0)</f>
        <v>0</v>
      </c>
      <c r="F20" s="252">
        <f>IFERROR(SUMIF('COM Winbacks'!$A:$A,$A20,'COM Winbacks'!F:F),0)</f>
        <v>0</v>
      </c>
      <c r="G20" s="253">
        <f>IFERROR(SUMIF('COM Winbacks'!$A:$A,$A20,'COM Winbacks'!G:G),0)</f>
        <v>0</v>
      </c>
      <c r="H20" s="254">
        <f>IFERROR(SUMIF(Residential!$A:$A,$A20,Residential!C:C),0)</f>
        <v>0</v>
      </c>
      <c r="I20" s="252">
        <f>IFERROR(SUMIF(Residential!$A:$A,$A20,Residential!D:D),0)</f>
        <v>0</v>
      </c>
      <c r="J20" s="252">
        <f>IFERROR(SUMIF(Residential!$A:$A,$A20,Residential!E:E),0)</f>
        <v>0</v>
      </c>
      <c r="K20" s="252">
        <f>IFERROR(SUMIF(Residential!$A:$A,$A20,Residential!F:F),0)</f>
        <v>0</v>
      </c>
      <c r="L20" s="253">
        <f>IFERROR(SUMIF(Residential!$A:$A,$A20,Residential!G:G),0)</f>
        <v>0</v>
      </c>
      <c r="M20" s="254">
        <f>IFERROR(SUMIF(Commercial!$A$10:$A$13,$A20,Commercial!Q$10:Q$13),0)</f>
        <v>0</v>
      </c>
      <c r="N20" s="252">
        <f>IFERROR(SUMIF(Commercial!$A$10:$A$13,$A20,Commercial!V$10:V$13),0)</f>
        <v>0</v>
      </c>
      <c r="O20" s="252">
        <f>IFERROR(SUMIF(Commercial!$A$10:$A$13,$A20,Commercial!W$10:W$13),0)</f>
        <v>3</v>
      </c>
      <c r="P20" s="252">
        <f>IFERROR(SUMIF(Commercial!$A$10:$A$13,$A20,Commercial!AB$10:AB$13),0)</f>
        <v>0</v>
      </c>
      <c r="Q20" s="253">
        <f>IFERROR(SUMIF(Commercial!$A$10:$A$13,$A20,Commercial!AC$10:AC$13),0)</f>
        <v>0</v>
      </c>
      <c r="R20" s="255">
        <f t="shared" ref="R20:V20" si="18">C20+H20+M20</f>
        <v>0</v>
      </c>
      <c r="S20" s="256">
        <f t="shared" si="18"/>
        <v>0</v>
      </c>
      <c r="T20" s="256">
        <f t="shared" si="18"/>
        <v>3</v>
      </c>
      <c r="U20" s="257">
        <f t="shared" si="18"/>
        <v>0</v>
      </c>
      <c r="V20" s="258">
        <f t="shared" si="18"/>
        <v>0</v>
      </c>
      <c r="W20" s="259">
        <f t="shared" si="15"/>
        <v>3</v>
      </c>
    </row>
    <row r="21" ht="15.75" customHeight="1">
      <c r="A21" s="267"/>
      <c r="B21" s="268" t="s">
        <v>23</v>
      </c>
      <c r="C21" s="269">
        <f t="shared" ref="C21:V21" si="19">SUM(C3:C20)</f>
        <v>0</v>
      </c>
      <c r="D21" s="270">
        <f t="shared" si="19"/>
        <v>0</v>
      </c>
      <c r="E21" s="270">
        <f t="shared" si="19"/>
        <v>0</v>
      </c>
      <c r="F21" s="270">
        <f t="shared" si="19"/>
        <v>0</v>
      </c>
      <c r="G21" s="271">
        <f t="shared" si="19"/>
        <v>0</v>
      </c>
      <c r="H21" s="272">
        <f t="shared" si="19"/>
        <v>1</v>
      </c>
      <c r="I21" s="270">
        <f t="shared" si="19"/>
        <v>7</v>
      </c>
      <c r="J21" s="270">
        <f t="shared" si="19"/>
        <v>0</v>
      </c>
      <c r="K21" s="270">
        <f t="shared" si="19"/>
        <v>1</v>
      </c>
      <c r="L21" s="271">
        <f t="shared" si="19"/>
        <v>0</v>
      </c>
      <c r="M21" s="272">
        <f t="shared" si="19"/>
        <v>3</v>
      </c>
      <c r="N21" s="270">
        <f t="shared" si="19"/>
        <v>1</v>
      </c>
      <c r="O21" s="270">
        <f t="shared" si="19"/>
        <v>11</v>
      </c>
      <c r="P21" s="270">
        <f t="shared" si="19"/>
        <v>0</v>
      </c>
      <c r="Q21" s="271">
        <f t="shared" si="19"/>
        <v>2</v>
      </c>
      <c r="R21" s="269">
        <f t="shared" si="19"/>
        <v>4</v>
      </c>
      <c r="S21" s="270">
        <f t="shared" si="19"/>
        <v>8</v>
      </c>
      <c r="T21" s="270">
        <f t="shared" si="19"/>
        <v>11</v>
      </c>
      <c r="U21" s="271">
        <f t="shared" si="19"/>
        <v>1</v>
      </c>
      <c r="V21" s="273">
        <f t="shared" si="19"/>
        <v>2</v>
      </c>
      <c r="W21" s="145">
        <f>SUM(W16:W20)</f>
        <v>3</v>
      </c>
    </row>
    <row r="22" ht="15.75" customHeight="1"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</row>
    <row r="23" ht="15.75" customHeight="1"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</row>
    <row r="24" ht="15.75" customHeight="1"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</row>
    <row r="25" ht="15.75" customHeight="1"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</row>
    <row r="26" ht="15.75" customHeight="1"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</row>
    <row r="27" ht="15.75" customHeight="1"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</row>
    <row r="28" ht="15.75" customHeight="1"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</row>
    <row r="29" ht="15.75" customHeight="1"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</row>
    <row r="30" ht="15.75" customHeight="1"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</row>
    <row r="31" ht="15.75" customHeight="1"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</row>
    <row r="32" ht="15.75" customHeight="1"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</row>
    <row r="33" ht="15.75" customHeight="1"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</row>
    <row r="34" ht="15.75" customHeight="1"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</row>
    <row r="35" ht="15.75" customHeight="1"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</row>
    <row r="36" ht="15.75" customHeight="1"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</row>
    <row r="37" ht="15.75" customHeight="1"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</row>
    <row r="38" ht="15.75" customHeight="1"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</row>
    <row r="39" ht="15.75" customHeight="1"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</row>
    <row r="40" ht="15.75" customHeight="1"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</row>
    <row r="41" ht="15.75" customHeight="1"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</row>
    <row r="42" ht="15.75" customHeight="1"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</row>
    <row r="43" ht="15.75" customHeight="1"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</row>
    <row r="44" ht="15.75" customHeight="1"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</row>
    <row r="45" ht="15.75" customHeight="1"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</row>
    <row r="46" ht="15.75" customHeight="1"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</row>
    <row r="47" ht="15.75" customHeight="1"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</row>
    <row r="48" ht="15.75" customHeight="1"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</row>
    <row r="49" ht="15.75" customHeight="1"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</row>
    <row r="50" ht="15.75" customHeight="1"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</row>
    <row r="51" ht="15.75" customHeight="1"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</row>
    <row r="52" ht="15.75" customHeight="1"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</row>
    <row r="53" ht="15.75" customHeight="1"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</row>
    <row r="54" ht="15.75" customHeight="1"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</row>
    <row r="55" ht="15.75" customHeight="1"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</row>
    <row r="56" ht="15.75" customHeight="1"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</row>
    <row r="57" ht="15.75" customHeight="1"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</row>
    <row r="58" ht="15.75" customHeight="1"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</row>
    <row r="59" ht="15.75" customHeight="1"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</row>
    <row r="60" ht="15.75" customHeight="1"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</row>
    <row r="61" ht="15.75" customHeight="1"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</row>
    <row r="62" ht="15.75" customHeight="1"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</row>
    <row r="63" ht="15.75" customHeight="1"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</row>
    <row r="64" ht="15.75" customHeight="1"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</row>
    <row r="65" ht="15.75" customHeight="1"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</row>
    <row r="66" ht="15.75" customHeight="1"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</row>
    <row r="67" ht="15.75" customHeight="1"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</row>
    <row r="68" ht="15.75" customHeight="1"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</row>
    <row r="69" ht="15.75" customHeight="1"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</row>
    <row r="70" ht="15.75" customHeight="1"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</row>
    <row r="71" ht="15.75" customHeight="1"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</row>
    <row r="72" ht="15.75" customHeight="1"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</row>
    <row r="73" ht="15.75" customHeight="1"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</row>
    <row r="74" ht="15.75" customHeight="1"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</row>
    <row r="75" ht="15.75" customHeight="1"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</row>
    <row r="76" ht="15.75" customHeight="1"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</row>
    <row r="77" ht="15.75" customHeight="1"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</row>
    <row r="78" ht="15.75" customHeight="1"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</row>
    <row r="79" ht="15.75" customHeight="1"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</row>
    <row r="80" ht="15.75" customHeight="1"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</row>
    <row r="81" ht="15.75" customHeight="1"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</row>
    <row r="82" ht="15.75" customHeight="1"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</row>
    <row r="83" ht="15.75" customHeight="1"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</row>
    <row r="84" ht="15.75" customHeight="1"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</row>
    <row r="85" ht="15.75" customHeight="1"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</row>
    <row r="86" ht="15.75" customHeight="1"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</row>
    <row r="87" ht="15.75" customHeight="1"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</row>
    <row r="88" ht="15.75" customHeight="1"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</row>
    <row r="89" ht="15.75" customHeight="1"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</row>
    <row r="90" ht="15.75" customHeight="1"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</row>
    <row r="91" ht="15.75" customHeight="1"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</row>
    <row r="92" ht="15.75" customHeight="1"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</row>
    <row r="93" ht="15.75" customHeight="1"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</row>
    <row r="94" ht="15.75" customHeight="1"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</row>
    <row r="95" ht="15.75" customHeight="1"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</row>
    <row r="96" ht="15.75" customHeight="1"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</row>
    <row r="97" ht="15.75" customHeight="1"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</row>
    <row r="98" ht="15.75" customHeight="1"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</row>
    <row r="99" ht="15.75" customHeight="1"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</row>
    <row r="100" ht="15.75" customHeight="1"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</row>
    <row r="101" ht="15.75" customHeight="1"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</row>
    <row r="102" ht="15.75" customHeight="1"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</row>
    <row r="103" ht="15.75" customHeight="1"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</row>
    <row r="104" ht="15.75" customHeight="1"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</row>
    <row r="105" ht="15.75" customHeight="1"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</row>
    <row r="106" ht="15.75" customHeight="1"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</row>
    <row r="107" ht="15.75" customHeight="1"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</row>
    <row r="108" ht="15.75" customHeight="1"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</row>
    <row r="109" ht="15.75" customHeight="1"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</row>
    <row r="110" ht="15.75" customHeight="1"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</row>
    <row r="111" ht="15.75" customHeight="1"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</row>
    <row r="112" ht="15.75" customHeight="1"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</row>
    <row r="113" ht="15.75" customHeight="1"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</row>
    <row r="114" ht="15.75" customHeight="1"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</row>
    <row r="115" ht="15.75" customHeight="1"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</row>
    <row r="116" ht="15.75" customHeight="1"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</row>
    <row r="117" ht="15.75" customHeight="1"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</row>
    <row r="118" ht="15.75" customHeight="1"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</row>
    <row r="119" ht="15.75" customHeight="1"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</row>
    <row r="120" ht="15.75" customHeight="1"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</row>
    <row r="121" ht="15.75" customHeight="1"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</row>
    <row r="122" ht="15.75" customHeight="1"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</row>
    <row r="123" ht="15.75" customHeight="1"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</row>
    <row r="124" ht="15.75" customHeight="1"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</row>
    <row r="125" ht="15.75" customHeight="1"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</row>
    <row r="126" ht="15.75" customHeight="1"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</row>
    <row r="127" ht="15.75" customHeight="1"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</row>
    <row r="128" ht="15.75" customHeight="1"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</row>
    <row r="129" ht="15.75" customHeight="1"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</row>
    <row r="130" ht="15.75" customHeight="1"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</row>
    <row r="131" ht="15.75" customHeight="1"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</row>
    <row r="132" ht="15.75" customHeight="1"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</row>
    <row r="133" ht="15.75" customHeight="1"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</row>
    <row r="134" ht="15.75" customHeight="1"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</row>
    <row r="135" ht="15.75" customHeight="1"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</row>
    <row r="136" ht="15.75" customHeight="1"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</row>
    <row r="137" ht="15.75" customHeight="1"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</row>
    <row r="138" ht="15.75" customHeight="1"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</row>
    <row r="139" ht="15.75" customHeight="1"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</row>
    <row r="140" ht="15.75" customHeight="1"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</row>
    <row r="141" ht="15.75" customHeight="1"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</row>
    <row r="142" ht="15.75" customHeight="1"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</row>
    <row r="143" ht="15.75" customHeight="1"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</row>
    <row r="144" ht="15.75" customHeight="1"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</row>
    <row r="145" ht="15.75" customHeight="1"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</row>
    <row r="146" ht="15.75" customHeight="1"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</row>
    <row r="147" ht="15.75" customHeight="1"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</row>
    <row r="148" ht="15.75" customHeight="1"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</row>
    <row r="149" ht="15.75" customHeight="1"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</row>
    <row r="150" ht="15.75" customHeight="1"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</row>
    <row r="151" ht="15.75" customHeight="1"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</row>
    <row r="152" ht="15.75" customHeight="1"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</row>
    <row r="153" ht="15.75" customHeight="1"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</row>
    <row r="154" ht="15.75" customHeight="1"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</row>
    <row r="155" ht="15.75" customHeight="1"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</row>
    <row r="156" ht="15.75" customHeight="1"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</row>
    <row r="157" ht="15.75" customHeight="1"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</row>
    <row r="158" ht="15.75" customHeight="1"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</row>
    <row r="159" ht="15.75" customHeight="1"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</row>
    <row r="160" ht="15.75" customHeight="1"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</row>
    <row r="161" ht="15.75" customHeight="1"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</row>
    <row r="162" ht="15.75" customHeight="1"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</row>
    <row r="163" ht="15.75" customHeight="1"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</row>
    <row r="164" ht="15.75" customHeight="1"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</row>
    <row r="165" ht="15.75" customHeight="1"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</row>
    <row r="166" ht="15.75" customHeight="1"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</row>
    <row r="167" ht="15.75" customHeight="1"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</row>
    <row r="168" ht="15.75" customHeight="1"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</row>
    <row r="169" ht="15.75" customHeight="1"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</row>
    <row r="170" ht="15.75" customHeight="1"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</row>
    <row r="171" ht="15.75" customHeight="1"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</row>
    <row r="172" ht="15.75" customHeight="1"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</row>
    <row r="173" ht="15.75" customHeight="1"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</row>
    <row r="174" ht="15.75" customHeight="1"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</row>
    <row r="175" ht="15.75" customHeight="1"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</row>
    <row r="176" ht="15.75" customHeight="1"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</row>
    <row r="177" ht="15.75" customHeight="1"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</row>
    <row r="178" ht="15.75" customHeight="1"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</row>
    <row r="179" ht="15.75" customHeight="1"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</row>
    <row r="180" ht="15.75" customHeight="1"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</row>
    <row r="181" ht="15.75" customHeight="1"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</row>
    <row r="182" ht="15.75" customHeight="1"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</row>
    <row r="183" ht="15.75" customHeight="1"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</row>
    <row r="184" ht="15.75" customHeight="1"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</row>
    <row r="185" ht="15.75" customHeight="1"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</row>
    <row r="186" ht="15.75" customHeight="1"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</row>
    <row r="187" ht="15.75" customHeight="1"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</row>
    <row r="188" ht="15.75" customHeight="1"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</row>
    <row r="189" ht="15.75" customHeight="1"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</row>
    <row r="190" ht="15.75" customHeight="1"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</row>
    <row r="191" ht="15.75" customHeight="1"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</row>
    <row r="192" ht="15.75" customHeight="1"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</row>
    <row r="193" ht="15.75" customHeight="1"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</row>
    <row r="194" ht="15.75" customHeight="1"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</row>
    <row r="195" ht="15.75" customHeight="1"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</row>
    <row r="196" ht="15.75" customHeight="1"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</row>
    <row r="197" ht="15.75" customHeight="1"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</row>
    <row r="198" ht="15.75" customHeight="1"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</row>
    <row r="199" ht="15.75" customHeight="1"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</row>
    <row r="200" ht="15.75" customHeight="1"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</row>
    <row r="201" ht="15.75" customHeight="1"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</row>
    <row r="202" ht="15.75" customHeight="1"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</row>
    <row r="203" ht="15.75" customHeight="1"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</row>
    <row r="204" ht="15.75" customHeight="1"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</row>
    <row r="205" ht="15.75" customHeight="1"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</row>
    <row r="206" ht="15.75" customHeight="1"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</row>
    <row r="207" ht="15.75" customHeight="1"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</row>
    <row r="208" ht="15.75" customHeight="1"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</row>
    <row r="209" ht="15.75" customHeight="1"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</row>
    <row r="210" ht="15.75" customHeight="1"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</row>
    <row r="211" ht="15.75" customHeight="1"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</row>
    <row r="212" ht="15.75" customHeight="1"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</row>
    <row r="213" ht="15.75" customHeight="1"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</row>
    <row r="214" ht="15.75" customHeight="1"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</row>
    <row r="215" ht="15.75" customHeight="1"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</row>
    <row r="216" ht="15.75" customHeight="1"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</row>
    <row r="217" ht="15.75" customHeight="1"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</row>
    <row r="218" ht="15.75" customHeight="1"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</row>
    <row r="219" ht="15.75" customHeight="1"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</row>
    <row r="220" ht="15.75" customHeight="1"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</row>
    <row r="221" ht="15.75" customHeight="1"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C1:G1"/>
    <mergeCell ref="H1:L1"/>
    <mergeCell ref="M1:Q1"/>
    <mergeCell ref="R1:V1"/>
  </mergeCells>
  <conditionalFormatting sqref="C3:Q20">
    <cfRule type="cellIs" dxfId="3" priority="1" operator="greaterThan">
      <formula>0</formula>
    </cfRule>
  </conditionalFormatting>
  <conditionalFormatting sqref="C3:Q20">
    <cfRule type="cellIs" dxfId="4" priority="2" operator="equal">
      <formula>0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2019-04-02T20:53:37Z</dcterms:created>
  <dc:creator>Timothy Ford</dc:creator>
</cp:coreProperties>
</file>