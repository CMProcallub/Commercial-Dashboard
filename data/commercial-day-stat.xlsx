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rocallhub-my.sharepoint.com/personal/cristhian_procallhub_onmicrosoft_com/Documents/Projects/Commercial Dashboard/"/>
    </mc:Choice>
  </mc:AlternateContent>
  <xr:revisionPtr revIDLastSave="65" documentId="11_B63C70F3DFF8299AAEB52D1F97974B1C38A1CADC" xr6:coauthVersionLast="47" xr6:coauthVersionMax="47" xr10:uidLastSave="{71927AB5-0D97-4289-9EA9-AFBADA71A717}"/>
  <bookViews>
    <workbookView xWindow="28680" yWindow="-120" windowWidth="29040" windowHeight="15720" xr2:uid="{00000000-000D-0000-FFFF-FFFF00000000}"/>
  </bookViews>
  <sheets>
    <sheet name="Commercial" sheetId="1" r:id="rId1"/>
    <sheet name="Agents Hrs" sheetId="2" r:id="rId2"/>
    <sheet name="Commercial Agent-Day" sheetId="3" r:id="rId3"/>
    <sheet name="COM Winbacks" sheetId="4" r:id="rId4"/>
    <sheet name="Residential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WvebWqkDpENUx6cJJFJ+I1iQR/e72Kqp852yz0HOsM="/>
    </ext>
  </extLst>
</workbook>
</file>

<file path=xl/calcChain.xml><?xml version="1.0" encoding="utf-8"?>
<calcChain xmlns="http://schemas.openxmlformats.org/spreadsheetml/2006/main">
  <c r="S11" i="1" l="1"/>
  <c r="S10" i="1"/>
  <c r="S9" i="1"/>
  <c r="S8" i="1"/>
  <c r="S7" i="1"/>
  <c r="S6" i="1"/>
  <c r="S5" i="1"/>
  <c r="S4" i="1"/>
  <c r="S3" i="1"/>
  <c r="AO11" i="1"/>
  <c r="AN11" i="1"/>
  <c r="AM11" i="1"/>
  <c r="AL11" i="1"/>
  <c r="AJ11" i="1"/>
  <c r="AI11" i="1"/>
  <c r="AG11" i="1"/>
  <c r="AE11" i="1"/>
  <c r="Y11" i="1"/>
  <c r="G11" i="1"/>
  <c r="AO10" i="1"/>
  <c r="AN10" i="1"/>
  <c r="AM10" i="1"/>
  <c r="AL10" i="1"/>
  <c r="AJ10" i="1"/>
  <c r="AI10" i="1"/>
  <c r="AG10" i="1"/>
  <c r="AE10" i="1"/>
  <c r="Y10" i="1"/>
  <c r="G10" i="1"/>
  <c r="AO13" i="1"/>
  <c r="AM13" i="1"/>
  <c r="AK13" i="1"/>
  <c r="AI13" i="1"/>
  <c r="AH13" i="1"/>
  <c r="AG13" i="1"/>
  <c r="AF13" i="1"/>
  <c r="AD13" i="1"/>
  <c r="AC13" i="1"/>
  <c r="AB13" i="1"/>
  <c r="AA13" i="1"/>
  <c r="Z13" i="1"/>
  <c r="X13" i="1"/>
  <c r="W13" i="1"/>
  <c r="V13" i="1"/>
  <c r="U13" i="1"/>
  <c r="T13" i="1"/>
  <c r="R13" i="1"/>
  <c r="Q13" i="1"/>
  <c r="P13" i="1"/>
  <c r="O13" i="1"/>
  <c r="N13" i="1"/>
  <c r="L13" i="1"/>
  <c r="K13" i="1"/>
  <c r="K23" i="1" s="1"/>
  <c r="K25" i="1" s="1"/>
  <c r="J13" i="1"/>
  <c r="J23" i="1" s="1"/>
  <c r="J25" i="1" s="1"/>
  <c r="I13" i="1"/>
  <c r="H13" i="1"/>
  <c r="F13" i="1"/>
  <c r="E13" i="1"/>
  <c r="D13" i="1"/>
  <c r="C13" i="1"/>
  <c r="A13" i="6"/>
  <c r="A12" i="6"/>
  <c r="M12" i="6" s="1"/>
  <c r="Q11" i="6"/>
  <c r="P11" i="6"/>
  <c r="O11" i="6"/>
  <c r="N11" i="6"/>
  <c r="M11" i="6"/>
  <c r="L11" i="6"/>
  <c r="V11" i="6" s="1"/>
  <c r="K11" i="6"/>
  <c r="U11" i="6" s="1"/>
  <c r="J11" i="6"/>
  <c r="I11" i="6"/>
  <c r="H11" i="6"/>
  <c r="G11" i="6"/>
  <c r="F11" i="6"/>
  <c r="E11" i="6"/>
  <c r="D11" i="6"/>
  <c r="C11" i="6"/>
  <c r="B11" i="6" a="1"/>
  <c r="B11" i="6"/>
  <c r="L8" i="6"/>
  <c r="A8" i="6"/>
  <c r="Q7" i="6"/>
  <c r="P7" i="6"/>
  <c r="O7" i="6"/>
  <c r="N7" i="6"/>
  <c r="M7" i="6"/>
  <c r="L7" i="6"/>
  <c r="V7" i="6" s="1"/>
  <c r="K7" i="6"/>
  <c r="U7" i="6" s="1"/>
  <c r="J7" i="6"/>
  <c r="I7" i="6"/>
  <c r="H7" i="6"/>
  <c r="G7" i="6"/>
  <c r="F7" i="6"/>
  <c r="E7" i="6"/>
  <c r="D7" i="6"/>
  <c r="C7" i="6"/>
  <c r="B7" i="6" a="1"/>
  <c r="B7" i="6"/>
  <c r="K6" i="6"/>
  <c r="A6" i="6"/>
  <c r="A5" i="6"/>
  <c r="L5" i="6" s="1"/>
  <c r="A4" i="6"/>
  <c r="K4" i="6" s="1"/>
  <c r="A3" i="6"/>
  <c r="L35" i="5"/>
  <c r="H35" i="5"/>
  <c r="J35" i="5" s="1"/>
  <c r="H34" i="5"/>
  <c r="L34" i="5" s="1"/>
  <c r="H33" i="5"/>
  <c r="L33" i="5" s="1"/>
  <c r="L32" i="5"/>
  <c r="J32" i="5"/>
  <c r="H32" i="5"/>
  <c r="L30" i="5"/>
  <c r="H30" i="5"/>
  <c r="J30" i="5" s="1"/>
  <c r="H29" i="5"/>
  <c r="L29" i="5" s="1"/>
  <c r="H28" i="5"/>
  <c r="L28" i="5" s="1"/>
  <c r="L27" i="5"/>
  <c r="J27" i="5"/>
  <c r="H27" i="5"/>
  <c r="K24" i="5"/>
  <c r="I24" i="5"/>
  <c r="G24" i="5"/>
  <c r="F24" i="5"/>
  <c r="E24" i="5"/>
  <c r="D24" i="5"/>
  <c r="C24" i="5"/>
  <c r="L23" i="5"/>
  <c r="H23" i="5"/>
  <c r="J23" i="5" s="1"/>
  <c r="H22" i="5"/>
  <c r="L22" i="5" s="1"/>
  <c r="H21" i="5"/>
  <c r="L21" i="5" s="1"/>
  <c r="L20" i="5"/>
  <c r="J20" i="5"/>
  <c r="H20" i="5"/>
  <c r="L19" i="5"/>
  <c r="H19" i="5"/>
  <c r="J19" i="5" s="1"/>
  <c r="H18" i="5"/>
  <c r="L18" i="5" s="1"/>
  <c r="H17" i="5"/>
  <c r="J17" i="5" s="1"/>
  <c r="L16" i="5"/>
  <c r="J16" i="5"/>
  <c r="H16" i="5"/>
  <c r="L15" i="5"/>
  <c r="H15" i="5"/>
  <c r="J15" i="5" s="1"/>
  <c r="H14" i="5"/>
  <c r="L14" i="5" s="1"/>
  <c r="K11" i="5"/>
  <c r="K36" i="5" s="1"/>
  <c r="I11" i="5"/>
  <c r="I36" i="5" s="1"/>
  <c r="J10" i="5"/>
  <c r="H10" i="5"/>
  <c r="L10" i="5" s="1"/>
  <c r="H9" i="5"/>
  <c r="G8" i="5" a="1"/>
  <c r="G8" i="5" s="1"/>
  <c r="L3" i="6" s="1"/>
  <c r="F8" i="5" a="1"/>
  <c r="F8" i="5" s="1"/>
  <c r="K3" i="6" s="1"/>
  <c r="E8" i="5" a="1"/>
  <c r="E8" i="5" s="1"/>
  <c r="D8" i="5" a="1"/>
  <c r="D8" i="5" s="1"/>
  <c r="C8" i="5" a="1"/>
  <c r="C8" i="5" s="1"/>
  <c r="G7" i="5" a="1"/>
  <c r="G7" i="5" s="1"/>
  <c r="F7" i="5" a="1"/>
  <c r="F7" i="5" s="1"/>
  <c r="E7" i="5" a="1"/>
  <c r="E7" i="5" s="1"/>
  <c r="D7" i="5" a="1"/>
  <c r="D7" i="5"/>
  <c r="C7" i="5" a="1"/>
  <c r="C7" i="5" s="1"/>
  <c r="G6" i="5" a="1"/>
  <c r="G6" i="5" s="1"/>
  <c r="F6" i="5" a="1"/>
  <c r="F6" i="5" s="1"/>
  <c r="E6" i="5" a="1"/>
  <c r="E6" i="5" s="1"/>
  <c r="D6" i="5" a="1"/>
  <c r="D6" i="5" s="1"/>
  <c r="C6" i="5" a="1"/>
  <c r="C6" i="5" s="1"/>
  <c r="G5" i="5" a="1"/>
  <c r="G5" i="5"/>
  <c r="F5" i="5" a="1"/>
  <c r="F5" i="5" s="1"/>
  <c r="E5" i="5" a="1"/>
  <c r="E5" i="5" s="1"/>
  <c r="D5" i="5" a="1"/>
  <c r="D5" i="5" s="1"/>
  <c r="C5" i="5" a="1"/>
  <c r="C5" i="5" s="1"/>
  <c r="G4" i="5" a="1"/>
  <c r="G4" i="5" s="1"/>
  <c r="L6" i="6" s="1"/>
  <c r="F4" i="5" a="1"/>
  <c r="F4" i="5"/>
  <c r="E4" i="5" a="1"/>
  <c r="E4" i="5" s="1"/>
  <c r="D4" i="5" a="1"/>
  <c r="D4" i="5" s="1"/>
  <c r="C4" i="5" a="1"/>
  <c r="C4" i="5" s="1"/>
  <c r="G3" i="5" a="1"/>
  <c r="G3" i="5"/>
  <c r="F3" i="5" a="1"/>
  <c r="F3" i="5"/>
  <c r="E3" i="5" a="1"/>
  <c r="E3" i="5" s="1"/>
  <c r="D3" i="5" a="1"/>
  <c r="D3" i="5" s="1"/>
  <c r="C3" i="5" a="1"/>
  <c r="C3" i="5" s="1"/>
  <c r="N30" i="4"/>
  <c r="L30" i="4"/>
  <c r="J30" i="4"/>
  <c r="N29" i="4"/>
  <c r="J29" i="4"/>
  <c r="L29" i="4" s="1"/>
  <c r="J28" i="4"/>
  <c r="N28" i="4" s="1"/>
  <c r="L27" i="4"/>
  <c r="J27" i="4"/>
  <c r="N27" i="4" s="1"/>
  <c r="M25" i="4"/>
  <c r="K25" i="4"/>
  <c r="I25" i="4"/>
  <c r="H25" i="4"/>
  <c r="G25" i="4"/>
  <c r="F25" i="4"/>
  <c r="E25" i="4"/>
  <c r="D25" i="4"/>
  <c r="C25" i="4"/>
  <c r="N24" i="4"/>
  <c r="L24" i="4"/>
  <c r="J24" i="4"/>
  <c r="J23" i="4"/>
  <c r="N23" i="4" s="1"/>
  <c r="J22" i="4"/>
  <c r="J25" i="4" s="1"/>
  <c r="N25" i="4" s="1"/>
  <c r="M19" i="4"/>
  <c r="K19" i="4"/>
  <c r="I19" i="4"/>
  <c r="H19" i="4"/>
  <c r="G19" i="4"/>
  <c r="F19" i="4"/>
  <c r="E19" i="4"/>
  <c r="D19" i="4"/>
  <c r="C19" i="4"/>
  <c r="L18" i="4"/>
  <c r="J18" i="4"/>
  <c r="N18" i="4" s="1"/>
  <c r="N17" i="4"/>
  <c r="L17" i="4"/>
  <c r="J17" i="4"/>
  <c r="J16" i="4"/>
  <c r="N16" i="4" s="1"/>
  <c r="J15" i="4"/>
  <c r="N15" i="4" s="1"/>
  <c r="L14" i="4"/>
  <c r="J14" i="4"/>
  <c r="M11" i="4"/>
  <c r="K11" i="4"/>
  <c r="K31" i="4" s="1"/>
  <c r="I11" i="4"/>
  <c r="I31" i="4" s="1"/>
  <c r="H11" i="4"/>
  <c r="H31" i="4" s="1"/>
  <c r="H33" i="4" s="1"/>
  <c r="G11" i="4"/>
  <c r="G31" i="4" s="1"/>
  <c r="G33" i="4" s="1"/>
  <c r="F11" i="4"/>
  <c r="F31" i="4" s="1"/>
  <c r="F33" i="4" s="1"/>
  <c r="E11" i="4"/>
  <c r="E31" i="4" s="1"/>
  <c r="E33" i="4" s="1"/>
  <c r="D11" i="4"/>
  <c r="D31" i="4" s="1"/>
  <c r="D33" i="4" s="1"/>
  <c r="C11" i="4"/>
  <c r="C31" i="4" s="1"/>
  <c r="C33" i="4" s="1"/>
  <c r="N10" i="4"/>
  <c r="L10" i="4"/>
  <c r="J10" i="4"/>
  <c r="J9" i="4"/>
  <c r="N9" i="4" s="1"/>
  <c r="J8" i="4"/>
  <c r="N8" i="4" s="1"/>
  <c r="J7" i="4"/>
  <c r="N7" i="4" s="1"/>
  <c r="N6" i="4"/>
  <c r="L6" i="4"/>
  <c r="J6" i="4"/>
  <c r="J5" i="4"/>
  <c r="N5" i="4" s="1"/>
  <c r="J4" i="4"/>
  <c r="N4" i="4" s="1"/>
  <c r="J3" i="4"/>
  <c r="L3" i="4" s="1"/>
  <c r="N15" i="3" a="1"/>
  <c r="N15" i="3" s="1"/>
  <c r="M15" i="3" a="1"/>
  <c r="M15" i="3"/>
  <c r="L15" i="3" a="1"/>
  <c r="L15" i="3"/>
  <c r="K15" i="3" a="1"/>
  <c r="K15" i="3"/>
  <c r="J15" i="3" a="1"/>
  <c r="J15" i="3" s="1"/>
  <c r="O15" i="3" s="1"/>
  <c r="G15" i="3" a="1"/>
  <c r="G15" i="3"/>
  <c r="F15" i="3" a="1"/>
  <c r="F15" i="3"/>
  <c r="E15" i="3" a="1"/>
  <c r="E15" i="3" s="1"/>
  <c r="D15" i="3" a="1"/>
  <c r="D15" i="3"/>
  <c r="C15" i="3" a="1"/>
  <c r="C15" i="3"/>
  <c r="H15" i="3" s="1"/>
  <c r="N14" i="3" a="1"/>
  <c r="N14" i="3" s="1"/>
  <c r="M14" i="3" a="1"/>
  <c r="M14" i="3" s="1"/>
  <c r="L14" i="3" a="1"/>
  <c r="L14" i="3" s="1"/>
  <c r="K14" i="3" a="1"/>
  <c r="K14" i="3"/>
  <c r="J14" i="3" a="1"/>
  <c r="J14" i="3"/>
  <c r="G14" i="3" a="1"/>
  <c r="G14" i="3" s="1"/>
  <c r="F14" i="3" a="1"/>
  <c r="F14" i="3" s="1"/>
  <c r="E14" i="3" a="1"/>
  <c r="E14" i="3"/>
  <c r="D14" i="3" a="1"/>
  <c r="D14" i="3"/>
  <c r="C14" i="3" a="1"/>
  <c r="C14" i="3"/>
  <c r="H14" i="3" s="1"/>
  <c r="N13" i="3" a="1"/>
  <c r="N13" i="3" s="1"/>
  <c r="M13" i="3" a="1"/>
  <c r="M13" i="3" s="1"/>
  <c r="L13" i="3" a="1"/>
  <c r="L13" i="3"/>
  <c r="K13" i="3" a="1"/>
  <c r="K13" i="3"/>
  <c r="J13" i="3" a="1"/>
  <c r="J13" i="3"/>
  <c r="G13" i="3" a="1"/>
  <c r="G13" i="3"/>
  <c r="H13" i="3" s="1"/>
  <c r="F13" i="3" a="1"/>
  <c r="F13" i="3"/>
  <c r="E13" i="3" a="1"/>
  <c r="E13" i="3"/>
  <c r="D13" i="3" a="1"/>
  <c r="D13" i="3" s="1"/>
  <c r="C13" i="3" a="1"/>
  <c r="C13" i="3"/>
  <c r="N12" i="3" a="1"/>
  <c r="N12" i="3"/>
  <c r="M12" i="3" a="1"/>
  <c r="M12" i="3" s="1"/>
  <c r="L12" i="3" a="1"/>
  <c r="L12" i="3" s="1"/>
  <c r="K12" i="3" a="1"/>
  <c r="K12" i="3" s="1"/>
  <c r="O12" i="3" s="1"/>
  <c r="J12" i="3" a="1"/>
  <c r="J12" i="3"/>
  <c r="G12" i="3" a="1"/>
  <c r="G12" i="3" s="1"/>
  <c r="F12" i="3" a="1"/>
  <c r="F12" i="3" s="1"/>
  <c r="H12" i="3" s="1"/>
  <c r="P12" i="3" s="1"/>
  <c r="E12" i="3" a="1"/>
  <c r="E12" i="3"/>
  <c r="D12" i="3" a="1"/>
  <c r="D12" i="3"/>
  <c r="C12" i="3" a="1"/>
  <c r="C12" i="3"/>
  <c r="O11" i="3"/>
  <c r="N11" i="3" a="1"/>
  <c r="N11" i="3" s="1"/>
  <c r="M11" i="3" a="1"/>
  <c r="M11" i="3" s="1"/>
  <c r="L11" i="3" a="1"/>
  <c r="L11" i="3" s="1"/>
  <c r="K11" i="3" a="1"/>
  <c r="K11" i="3"/>
  <c r="J11" i="3" a="1"/>
  <c r="J11" i="3"/>
  <c r="G11" i="3" a="1"/>
  <c r="G11" i="3"/>
  <c r="F11" i="3" a="1"/>
  <c r="F11" i="3"/>
  <c r="E11" i="3" a="1"/>
  <c r="E11" i="3" s="1"/>
  <c r="D11" i="3" a="1"/>
  <c r="D11" i="3" s="1"/>
  <c r="C11" i="3" a="1"/>
  <c r="C11" i="3" s="1"/>
  <c r="N10" i="3" a="1"/>
  <c r="N10" i="3" s="1"/>
  <c r="M10" i="3" a="1"/>
  <c r="M10" i="3"/>
  <c r="L10" i="3" a="1"/>
  <c r="L10" i="3" s="1"/>
  <c r="K10" i="3" a="1"/>
  <c r="K10" i="3" s="1"/>
  <c r="J10" i="3" a="1"/>
  <c r="J10" i="3" s="1"/>
  <c r="G10" i="3" a="1"/>
  <c r="G10" i="3"/>
  <c r="F10" i="3" a="1"/>
  <c r="F10" i="3" s="1"/>
  <c r="E10" i="3" a="1"/>
  <c r="E10" i="3" s="1"/>
  <c r="D10" i="3" a="1"/>
  <c r="D10" i="3"/>
  <c r="C10" i="3" a="1"/>
  <c r="C10" i="3"/>
  <c r="N9" i="3" a="1"/>
  <c r="N9" i="3"/>
  <c r="M9" i="3" a="1"/>
  <c r="M9" i="3" s="1"/>
  <c r="L9" i="3" a="1"/>
  <c r="L9" i="3" s="1"/>
  <c r="O9" i="3" s="1"/>
  <c r="K9" i="3" a="1"/>
  <c r="K9" i="3"/>
  <c r="J9" i="3" a="1"/>
  <c r="J9" i="3"/>
  <c r="G9" i="3" a="1"/>
  <c r="G9" i="3"/>
  <c r="F9" i="3" a="1"/>
  <c r="F9" i="3"/>
  <c r="E9" i="3" a="1"/>
  <c r="E9" i="3"/>
  <c r="D9" i="3" a="1"/>
  <c r="D9" i="3" s="1"/>
  <c r="C9" i="3" a="1"/>
  <c r="C9" i="3" s="1"/>
  <c r="H9" i="3" s="1"/>
  <c r="N8" i="3" a="1"/>
  <c r="N8" i="3"/>
  <c r="M8" i="3" a="1"/>
  <c r="M8" i="3" s="1"/>
  <c r="L8" i="3" a="1"/>
  <c r="L8" i="3"/>
  <c r="K8" i="3" a="1"/>
  <c r="K8" i="3" s="1"/>
  <c r="J8" i="3" a="1"/>
  <c r="J8" i="3" s="1"/>
  <c r="G8" i="3" a="1"/>
  <c r="G8" i="3"/>
  <c r="F8" i="3" a="1"/>
  <c r="F8" i="3"/>
  <c r="E8" i="3" a="1"/>
  <c r="E8" i="3" s="1"/>
  <c r="D8" i="3" a="1"/>
  <c r="D8" i="3" s="1"/>
  <c r="C8" i="3" a="1"/>
  <c r="C8" i="3"/>
  <c r="N7" i="3" a="1"/>
  <c r="N7" i="3"/>
  <c r="M7" i="3" a="1"/>
  <c r="M7" i="3"/>
  <c r="L7" i="3" a="1"/>
  <c r="L7" i="3" s="1"/>
  <c r="K7" i="3" a="1"/>
  <c r="K7" i="3" s="1"/>
  <c r="J7" i="3" a="1"/>
  <c r="J7" i="3" s="1"/>
  <c r="O7" i="3" s="1"/>
  <c r="G7" i="3" a="1"/>
  <c r="G7" i="3" s="1"/>
  <c r="F7" i="3" a="1"/>
  <c r="F7" i="3"/>
  <c r="E7" i="3" a="1"/>
  <c r="E7" i="3" s="1"/>
  <c r="D7" i="3" a="1"/>
  <c r="D7" i="3"/>
  <c r="C7" i="3" a="1"/>
  <c r="C7" i="3" s="1"/>
  <c r="N6" i="3" a="1"/>
  <c r="N6" i="3" s="1"/>
  <c r="M6" i="3" a="1"/>
  <c r="M6" i="3"/>
  <c r="L6" i="3" a="1"/>
  <c r="L6" i="3"/>
  <c r="K6" i="3" a="1"/>
  <c r="K6" i="3"/>
  <c r="J6" i="3" a="1"/>
  <c r="J6" i="3" s="1"/>
  <c r="O6" i="3" s="1"/>
  <c r="G6" i="3" a="1"/>
  <c r="G6" i="3"/>
  <c r="F6" i="3" a="1"/>
  <c r="F6" i="3"/>
  <c r="E6" i="3" a="1"/>
  <c r="E6" i="3"/>
  <c r="E16" i="3" s="1"/>
  <c r="D6" i="3" a="1"/>
  <c r="D6" i="3" s="1"/>
  <c r="C6" i="3" a="1"/>
  <c r="C6" i="3" s="1"/>
  <c r="H6" i="3" s="1"/>
  <c r="N5" i="3" a="1"/>
  <c r="N5" i="3"/>
  <c r="M5" i="3" a="1"/>
  <c r="M5" i="3"/>
  <c r="L5" i="3" a="1"/>
  <c r="L5" i="3"/>
  <c r="K5" i="3" a="1"/>
  <c r="K5" i="3" s="1"/>
  <c r="J5" i="3" a="1"/>
  <c r="J5" i="3" s="1"/>
  <c r="G5" i="3" a="1"/>
  <c r="G5" i="3" s="1"/>
  <c r="F5" i="3" a="1"/>
  <c r="F5" i="3" s="1"/>
  <c r="E5" i="3" a="1"/>
  <c r="E5" i="3"/>
  <c r="D5" i="3" a="1"/>
  <c r="D5" i="3"/>
  <c r="D16" i="3" s="1"/>
  <c r="C5" i="3" a="1"/>
  <c r="C5" i="3"/>
  <c r="H5" i="3" s="1"/>
  <c r="N4" i="3" a="1"/>
  <c r="N4" i="3" s="1"/>
  <c r="M4" i="3" a="1"/>
  <c r="M4" i="3" s="1"/>
  <c r="L4" i="3" a="1"/>
  <c r="L4" i="3"/>
  <c r="K4" i="3" a="1"/>
  <c r="K4" i="3" s="1"/>
  <c r="K16" i="3" s="1"/>
  <c r="J4" i="3" a="1"/>
  <c r="J4" i="3"/>
  <c r="G4" i="3" a="1"/>
  <c r="G4" i="3"/>
  <c r="F4" i="3" a="1"/>
  <c r="F4" i="3"/>
  <c r="E4" i="3" a="1"/>
  <c r="E4" i="3"/>
  <c r="D4" i="3" a="1"/>
  <c r="D4" i="3"/>
  <c r="C4" i="3" a="1"/>
  <c r="C4" i="3" s="1"/>
  <c r="M43" i="2"/>
  <c r="M42" i="2"/>
  <c r="L41" i="2"/>
  <c r="J41" i="2"/>
  <c r="H41" i="2"/>
  <c r="F41" i="2"/>
  <c r="D41" i="2"/>
  <c r="M41" i="2" s="1"/>
  <c r="M40" i="2"/>
  <c r="M39" i="2"/>
  <c r="M38" i="2"/>
  <c r="M36" i="2"/>
  <c r="M35" i="2"/>
  <c r="M34" i="2"/>
  <c r="M33" i="2"/>
  <c r="M32" i="2"/>
  <c r="M30" i="2"/>
  <c r="M29" i="2"/>
  <c r="M28" i="2"/>
  <c r="M27" i="2"/>
  <c r="M26" i="2"/>
  <c r="M25" i="2"/>
  <c r="M24" i="2"/>
  <c r="M23" i="2"/>
  <c r="M22" i="2"/>
  <c r="M21" i="2"/>
  <c r="M20" i="2"/>
  <c r="M19" i="2"/>
  <c r="L17" i="2"/>
  <c r="J17" i="2"/>
  <c r="H17" i="2"/>
  <c r="F17" i="2"/>
  <c r="D17" i="2"/>
  <c r="M17" i="2" s="1"/>
  <c r="M12" i="2"/>
  <c r="M11" i="2"/>
  <c r="M10" i="2"/>
  <c r="M9" i="2"/>
  <c r="M8" i="2"/>
  <c r="M7" i="2"/>
  <c r="M6" i="2"/>
  <c r="M5" i="2"/>
  <c r="AB25" i="1"/>
  <c r="AC23" i="1"/>
  <c r="AC25" i="1" s="1"/>
  <c r="AB23" i="1"/>
  <c r="W23" i="1"/>
  <c r="W25" i="1" s="1"/>
  <c r="D23" i="1"/>
  <c r="D25" i="1" s="1"/>
  <c r="AG22" i="1"/>
  <c r="AL22" i="1" s="1"/>
  <c r="AL21" i="1"/>
  <c r="AJ21" i="1"/>
  <c r="AG21" i="1"/>
  <c r="AG20" i="1"/>
  <c r="AL20" i="1" s="1"/>
  <c r="AG19" i="1"/>
  <c r="AL19" i="1" s="1"/>
  <c r="AO17" i="1"/>
  <c r="AK17" i="1"/>
  <c r="AI17" i="1"/>
  <c r="AH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M17" i="1" s="1"/>
  <c r="AN17" i="1" s="1"/>
  <c r="AL16" i="1"/>
  <c r="AL17" i="1" s="1"/>
  <c r="AJ16" i="1"/>
  <c r="AJ17" i="1" s="1"/>
  <c r="AG16" i="1"/>
  <c r="AG17" i="1" s="1"/>
  <c r="AK23" i="1"/>
  <c r="AH23" i="1"/>
  <c r="V23" i="1"/>
  <c r="V25" i="1" s="1"/>
  <c r="Q23" i="1"/>
  <c r="Q25" i="1" s="1"/>
  <c r="P23" i="1"/>
  <c r="P25" i="1" s="1"/>
  <c r="G13" i="1"/>
  <c r="E23" i="1"/>
  <c r="E25" i="1" s="1"/>
  <c r="AA11" i="1" a="1"/>
  <c r="AA11" i="1" s="1"/>
  <c r="U11" i="1" a="1"/>
  <c r="U11" i="1"/>
  <c r="O11" i="1" a="1"/>
  <c r="O11" i="1"/>
  <c r="M11" i="1"/>
  <c r="I11" i="1" a="1"/>
  <c r="I11" i="1"/>
  <c r="C11" i="1" a="1"/>
  <c r="C11" i="1" s="1"/>
  <c r="AA10" i="1" a="1"/>
  <c r="AA10" i="1"/>
  <c r="U10" i="1" a="1"/>
  <c r="U10" i="1"/>
  <c r="O10" i="1" a="1"/>
  <c r="O10" i="1"/>
  <c r="M10" i="1"/>
  <c r="I10" i="1" a="1"/>
  <c r="I10" i="1" s="1"/>
  <c r="C10" i="1" a="1"/>
  <c r="C10" i="1" s="1"/>
  <c r="AO9" i="1"/>
  <c r="AI9" i="1"/>
  <c r="AG9" i="1"/>
  <c r="AA9" i="1" a="1"/>
  <c r="AA9" i="1" s="1"/>
  <c r="AE9" i="1" s="1"/>
  <c r="U9" i="1" a="1"/>
  <c r="U9" i="1" s="1"/>
  <c r="Y9" i="1" s="1"/>
  <c r="O9" i="1" a="1"/>
  <c r="O9" i="1" s="1"/>
  <c r="I9" i="1" a="1"/>
  <c r="I9" i="1"/>
  <c r="M9" i="1" s="1"/>
  <c r="C9" i="1" a="1"/>
  <c r="C9" i="1"/>
  <c r="AO8" i="1"/>
  <c r="AJ8" i="1"/>
  <c r="AI8" i="1"/>
  <c r="AG8" i="1"/>
  <c r="AL8" i="1" s="1"/>
  <c r="AA8" i="1" a="1"/>
  <c r="AA8" i="1" s="1"/>
  <c r="AE8" i="1" s="1"/>
  <c r="U8" i="1" a="1"/>
  <c r="U8" i="1" s="1"/>
  <c r="Y8" i="1" s="1"/>
  <c r="O8" i="1" a="1"/>
  <c r="O8" i="1" s="1"/>
  <c r="I8" i="1" a="1"/>
  <c r="I8" i="1" s="1"/>
  <c r="M8" i="1" s="1"/>
  <c r="C8" i="1" a="1"/>
  <c r="C8" i="1" s="1"/>
  <c r="AO7" i="1"/>
  <c r="AL7" i="1"/>
  <c r="AJ7" i="1"/>
  <c r="AI7" i="1"/>
  <c r="AG7" i="1"/>
  <c r="AA7" i="1" a="1"/>
  <c r="AA7" i="1" s="1"/>
  <c r="AE7" i="1" s="1"/>
  <c r="U7" i="1" a="1"/>
  <c r="U7" i="1"/>
  <c r="Y7" i="1" s="1"/>
  <c r="O7" i="1" a="1"/>
  <c r="O7" i="1" s="1"/>
  <c r="I7" i="1" a="1"/>
  <c r="I7" i="1" s="1"/>
  <c r="M7" i="1" s="1"/>
  <c r="C7" i="1" a="1"/>
  <c r="C7" i="1" s="1"/>
  <c r="G7" i="1" s="1"/>
  <c r="AO6" i="1"/>
  <c r="AL6" i="1"/>
  <c r="AJ6" i="1"/>
  <c r="AI6" i="1"/>
  <c r="AG6" i="1"/>
  <c r="AA6" i="1" a="1"/>
  <c r="AA6" i="1" s="1"/>
  <c r="AE6" i="1" s="1"/>
  <c r="U6" i="1" a="1"/>
  <c r="U6" i="1" s="1"/>
  <c r="Y6" i="1" s="1"/>
  <c r="O6" i="1" a="1"/>
  <c r="O6" i="1"/>
  <c r="I6" i="1" a="1"/>
  <c r="I6" i="1" s="1"/>
  <c r="M6" i="1" s="1"/>
  <c r="C6" i="1" a="1"/>
  <c r="C6" i="1" s="1"/>
  <c r="AO5" i="1"/>
  <c r="AI5" i="1"/>
  <c r="AG5" i="1"/>
  <c r="AL5" i="1" s="1"/>
  <c r="AA5" i="1" a="1"/>
  <c r="AA5" i="1" s="1"/>
  <c r="AE5" i="1" s="1"/>
  <c r="U5" i="1" a="1"/>
  <c r="U5" i="1" s="1"/>
  <c r="O5" i="1" a="1"/>
  <c r="O5" i="1" s="1"/>
  <c r="I5" i="1" a="1"/>
  <c r="I5" i="1"/>
  <c r="M5" i="1" s="1"/>
  <c r="C5" i="1" a="1"/>
  <c r="C5" i="1" s="1"/>
  <c r="AO4" i="1"/>
  <c r="AJ4" i="1"/>
  <c r="AI4" i="1"/>
  <c r="AG4" i="1"/>
  <c r="AL4" i="1" s="1"/>
  <c r="AA4" i="1" a="1"/>
  <c r="AA4" i="1"/>
  <c r="AE4" i="1" s="1"/>
  <c r="Y4" i="1"/>
  <c r="U4" i="1" a="1"/>
  <c r="U4" i="1" s="1"/>
  <c r="O4" i="1" a="1"/>
  <c r="O4" i="1" s="1"/>
  <c r="I4" i="1" a="1"/>
  <c r="I4" i="1" s="1"/>
  <c r="M4" i="1" s="1"/>
  <c r="C4" i="1" a="1"/>
  <c r="C4" i="1"/>
  <c r="G4" i="1" s="1"/>
  <c r="AO3" i="1"/>
  <c r="AM3" i="1"/>
  <c r="AN3" i="1" s="1"/>
  <c r="AL3" i="1"/>
  <c r="AJ3" i="1"/>
  <c r="AI3" i="1"/>
  <c r="AG3" i="1"/>
  <c r="AA3" i="1" a="1"/>
  <c r="AA3" i="1" s="1"/>
  <c r="U3" i="1" a="1"/>
  <c r="U3" i="1"/>
  <c r="Y3" i="1" s="1"/>
  <c r="O3" i="1" a="1"/>
  <c r="O3" i="1"/>
  <c r="I3" i="1" a="1"/>
  <c r="I3" i="1" s="1"/>
  <c r="M3" i="1" s="1"/>
  <c r="C3" i="1" a="1"/>
  <c r="C3" i="1" s="1"/>
  <c r="G3" i="1" s="1"/>
  <c r="T7" i="6" l="1"/>
  <c r="T11" i="6"/>
  <c r="S7" i="6"/>
  <c r="H8" i="5"/>
  <c r="H7" i="5"/>
  <c r="L7" i="5" s="1"/>
  <c r="S11" i="6"/>
  <c r="R11" i="6"/>
  <c r="J8" i="5"/>
  <c r="L8" i="5"/>
  <c r="AM5" i="1"/>
  <c r="G5" i="1"/>
  <c r="H8" i="3"/>
  <c r="G11" i="5"/>
  <c r="G36" i="5" s="1"/>
  <c r="G38" i="5" s="1"/>
  <c r="J33" i="5"/>
  <c r="G4" i="6"/>
  <c r="B4" i="6" a="1"/>
  <c r="B4" i="6" s="1"/>
  <c r="M4" i="6"/>
  <c r="F4" i="6"/>
  <c r="U4" i="6" s="1"/>
  <c r="Q4" i="6"/>
  <c r="E4" i="6"/>
  <c r="P4" i="6"/>
  <c r="D4" i="6"/>
  <c r="O4" i="6"/>
  <c r="C4" i="6"/>
  <c r="J4" i="6"/>
  <c r="I4" i="6"/>
  <c r="H4" i="6"/>
  <c r="N4" i="6"/>
  <c r="P9" i="3"/>
  <c r="H4" i="5"/>
  <c r="O4" i="3"/>
  <c r="J16" i="3"/>
  <c r="AL13" i="1"/>
  <c r="AJ13" i="1"/>
  <c r="AJ23" i="1" s="1"/>
  <c r="AJ22" i="1"/>
  <c r="O13" i="3"/>
  <c r="P13" i="3" s="1"/>
  <c r="P15" i="3"/>
  <c r="J28" i="5"/>
  <c r="K5" i="6"/>
  <c r="H8" i="6"/>
  <c r="G8" i="6"/>
  <c r="F8" i="6"/>
  <c r="O8" i="6"/>
  <c r="Q8" i="6"/>
  <c r="E8" i="6"/>
  <c r="N8" i="6"/>
  <c r="B8" i="6" a="1"/>
  <c r="B8" i="6" s="1"/>
  <c r="P8" i="6"/>
  <c r="D8" i="6"/>
  <c r="K8" i="6"/>
  <c r="J8" i="6"/>
  <c r="I8" i="6"/>
  <c r="C8" i="6"/>
  <c r="L12" i="6"/>
  <c r="P5" i="3"/>
  <c r="Y5" i="1"/>
  <c r="L4" i="6"/>
  <c r="F16" i="3"/>
  <c r="H13" i="6"/>
  <c r="C13" i="6"/>
  <c r="G13" i="6"/>
  <c r="F13" i="6"/>
  <c r="Q13" i="6"/>
  <c r="E13" i="6"/>
  <c r="N13" i="6"/>
  <c r="B13" i="6" a="1"/>
  <c r="B13" i="6" s="1"/>
  <c r="M13" i="6"/>
  <c r="P13" i="6"/>
  <c r="D13" i="6"/>
  <c r="K13" i="6"/>
  <c r="J13" i="6"/>
  <c r="I13" i="6"/>
  <c r="O13" i="6"/>
  <c r="J11" i="4"/>
  <c r="N3" i="4"/>
  <c r="P6" i="3"/>
  <c r="C16" i="3"/>
  <c r="H4" i="3"/>
  <c r="G16" i="3"/>
  <c r="H6" i="5"/>
  <c r="L9" i="5"/>
  <c r="J9" i="5"/>
  <c r="AM6" i="1"/>
  <c r="AN6" i="1" s="1"/>
  <c r="G6" i="1"/>
  <c r="AM7" i="1"/>
  <c r="AN7" i="1" s="1"/>
  <c r="L16" i="3"/>
  <c r="O5" i="3"/>
  <c r="H7" i="3"/>
  <c r="P7" i="3" s="1"/>
  <c r="L7" i="4"/>
  <c r="C11" i="5"/>
  <c r="H3" i="5"/>
  <c r="G3" i="6"/>
  <c r="F3" i="6"/>
  <c r="Q3" i="6"/>
  <c r="E3" i="6"/>
  <c r="P3" i="6"/>
  <c r="P14" i="6" s="1"/>
  <c r="D3" i="6"/>
  <c r="N3" i="6"/>
  <c r="M3" i="6"/>
  <c r="O3" i="6"/>
  <c r="C3" i="6"/>
  <c r="J3" i="6"/>
  <c r="I3" i="6"/>
  <c r="H3" i="6"/>
  <c r="B3" i="6" a="1"/>
  <c r="B3" i="6" s="1"/>
  <c r="G6" i="6"/>
  <c r="V6" i="6" s="1"/>
  <c r="N6" i="6"/>
  <c r="F6" i="6"/>
  <c r="U6" i="6" s="1"/>
  <c r="Q6" i="6"/>
  <c r="E6" i="6"/>
  <c r="P6" i="6"/>
  <c r="D6" i="6"/>
  <c r="M6" i="6"/>
  <c r="O6" i="6"/>
  <c r="C6" i="6"/>
  <c r="J6" i="6"/>
  <c r="I6" i="6"/>
  <c r="H6" i="6"/>
  <c r="B6" i="6" a="1"/>
  <c r="B6" i="6" s="1"/>
  <c r="M8" i="6"/>
  <c r="G5" i="6"/>
  <c r="N5" i="6"/>
  <c r="B5" i="6" a="1"/>
  <c r="B5" i="6" s="1"/>
  <c r="F5" i="6"/>
  <c r="Q5" i="6"/>
  <c r="E5" i="6"/>
  <c r="P5" i="6"/>
  <c r="D5" i="6"/>
  <c r="M5" i="6"/>
  <c r="O5" i="6"/>
  <c r="C5" i="6"/>
  <c r="J5" i="6"/>
  <c r="I5" i="6"/>
  <c r="H5" i="6"/>
  <c r="M13" i="1"/>
  <c r="Y13" i="1"/>
  <c r="D11" i="5"/>
  <c r="D36" i="5" s="1"/>
  <c r="D38" i="5" s="1"/>
  <c r="L13" i="6"/>
  <c r="R7" i="6"/>
  <c r="W7" i="6" s="1"/>
  <c r="S13" i="1"/>
  <c r="O8" i="3"/>
  <c r="AG23" i="1"/>
  <c r="M16" i="3"/>
  <c r="H11" i="3"/>
  <c r="P11" i="3" s="1"/>
  <c r="O14" i="3"/>
  <c r="P14" i="3" s="1"/>
  <c r="M31" i="4"/>
  <c r="E11" i="5"/>
  <c r="E36" i="5" s="1"/>
  <c r="E38" i="5" s="1"/>
  <c r="O10" i="3"/>
  <c r="H12" i="6"/>
  <c r="B12" i="6" a="1"/>
  <c r="B12" i="6" s="1"/>
  <c r="G12" i="6"/>
  <c r="F12" i="6"/>
  <c r="Q12" i="6"/>
  <c r="E12" i="6"/>
  <c r="C12" i="6"/>
  <c r="N12" i="6"/>
  <c r="P12" i="6"/>
  <c r="D12" i="6"/>
  <c r="K12" i="6"/>
  <c r="J12" i="6"/>
  <c r="I12" i="6"/>
  <c r="O12" i="6"/>
  <c r="AM9" i="1"/>
  <c r="AN9" i="1" s="1"/>
  <c r="G9" i="1"/>
  <c r="AE3" i="1"/>
  <c r="AE13" i="1"/>
  <c r="G8" i="1"/>
  <c r="AM8" i="1"/>
  <c r="AN8" i="1" s="1"/>
  <c r="N16" i="3"/>
  <c r="H10" i="3"/>
  <c r="N14" i="4"/>
  <c r="J19" i="4"/>
  <c r="N19" i="4" s="1"/>
  <c r="F11" i="5"/>
  <c r="F36" i="5" s="1"/>
  <c r="F38" i="5" s="1"/>
  <c r="H5" i="5"/>
  <c r="J21" i="5"/>
  <c r="AN5" i="1"/>
  <c r="AM4" i="1"/>
  <c r="AN4" i="1" s="1"/>
  <c r="AJ9" i="1"/>
  <c r="AJ19" i="1"/>
  <c r="L4" i="4"/>
  <c r="L8" i="4"/>
  <c r="L15" i="4"/>
  <c r="L19" i="4" s="1"/>
  <c r="L22" i="4"/>
  <c r="L28" i="4"/>
  <c r="L17" i="5"/>
  <c r="H24" i="5"/>
  <c r="L24" i="5" s="1"/>
  <c r="J29" i="5"/>
  <c r="J34" i="5"/>
  <c r="AJ5" i="1"/>
  <c r="AL9" i="1"/>
  <c r="N22" i="4"/>
  <c r="J14" i="5"/>
  <c r="J18" i="5"/>
  <c r="J22" i="5"/>
  <c r="AJ20" i="1"/>
  <c r="L5" i="4"/>
  <c r="L11" i="4" s="1"/>
  <c r="L9" i="4"/>
  <c r="L16" i="4"/>
  <c r="L23" i="4"/>
  <c r="L14" i="6" l="1"/>
  <c r="J7" i="5"/>
  <c r="U12" i="6"/>
  <c r="U5" i="6"/>
  <c r="U13" i="6"/>
  <c r="K14" i="6"/>
  <c r="T12" i="6"/>
  <c r="S8" i="6"/>
  <c r="S5" i="6"/>
  <c r="W11" i="6"/>
  <c r="R12" i="6"/>
  <c r="L31" i="4"/>
  <c r="J5" i="5"/>
  <c r="L5" i="5"/>
  <c r="V12" i="6"/>
  <c r="H14" i="6"/>
  <c r="G14" i="6"/>
  <c r="V3" i="6"/>
  <c r="L6" i="5"/>
  <c r="J6" i="5"/>
  <c r="T5" i="6"/>
  <c r="R6" i="6"/>
  <c r="I14" i="6"/>
  <c r="L3" i="5"/>
  <c r="J3" i="5"/>
  <c r="S13" i="6"/>
  <c r="T8" i="6"/>
  <c r="R4" i="6"/>
  <c r="P8" i="3"/>
  <c r="F14" i="6"/>
  <c r="U3" i="6"/>
  <c r="L25" i="4"/>
  <c r="J14" i="6"/>
  <c r="C36" i="5"/>
  <c r="C38" i="5" s="1"/>
  <c r="H11" i="5"/>
  <c r="H16" i="3"/>
  <c r="P16" i="3" s="1"/>
  <c r="P4" i="3"/>
  <c r="R3" i="6"/>
  <c r="C14" i="6"/>
  <c r="S4" i="6"/>
  <c r="P10" i="3"/>
  <c r="S6" i="6"/>
  <c r="O14" i="6"/>
  <c r="U8" i="6"/>
  <c r="O16" i="3"/>
  <c r="J24" i="5"/>
  <c r="S12" i="6"/>
  <c r="M14" i="6"/>
  <c r="R8" i="6"/>
  <c r="V8" i="6"/>
  <c r="T4" i="6"/>
  <c r="V5" i="6"/>
  <c r="T6" i="6"/>
  <c r="N14" i="6"/>
  <c r="T13" i="6"/>
  <c r="L4" i="5"/>
  <c r="J4" i="5"/>
  <c r="AN13" i="1"/>
  <c r="S3" i="6"/>
  <c r="D14" i="6"/>
  <c r="R5" i="6"/>
  <c r="J31" i="4"/>
  <c r="N11" i="4"/>
  <c r="AL23" i="1"/>
  <c r="AG25" i="1"/>
  <c r="E14" i="6"/>
  <c r="T3" i="6"/>
  <c r="V13" i="6"/>
  <c r="Q14" i="6"/>
  <c r="R13" i="6"/>
  <c r="V4" i="6"/>
  <c r="W12" i="6" l="1"/>
  <c r="W8" i="6"/>
  <c r="T14" i="6"/>
  <c r="W13" i="6"/>
  <c r="S14" i="6"/>
  <c r="J11" i="5"/>
  <c r="J36" i="5" s="1"/>
  <c r="W6" i="6"/>
  <c r="H36" i="5"/>
  <c r="L11" i="5"/>
  <c r="V14" i="6"/>
  <c r="W4" i="6"/>
  <c r="U14" i="6"/>
  <c r="J33" i="4"/>
  <c r="N31" i="4"/>
  <c r="W5" i="6"/>
  <c r="R14" i="6"/>
  <c r="W3" i="6"/>
  <c r="L36" i="5" l="1"/>
  <c r="H38" i="5"/>
  <c r="W10" i="6"/>
  <c r="W14" i="6"/>
</calcChain>
</file>

<file path=xl/sharedStrings.xml><?xml version="1.0" encoding="utf-8"?>
<sst xmlns="http://schemas.openxmlformats.org/spreadsheetml/2006/main" count="439" uniqueCount="103">
  <si>
    <t>Commercial — Sales &amp; Fronts by Agent, by Day</t>
  </si>
  <si>
    <t>Rep #</t>
  </si>
  <si>
    <t>Eligo Energy Hours Commercial</t>
  </si>
  <si>
    <t>Rep Name</t>
  </si>
  <si>
    <t>FRONTS</t>
  </si>
  <si>
    <t>Monday</t>
  </si>
  <si>
    <t>Tuesday</t>
  </si>
  <si>
    <t>Wednesday</t>
  </si>
  <si>
    <t>Thursday</t>
  </si>
  <si>
    <t>Friday</t>
  </si>
  <si>
    <t>Nights</t>
  </si>
  <si>
    <t>Saturday</t>
  </si>
  <si>
    <t>Total COMP</t>
  </si>
  <si>
    <t>BAD TPV</t>
  </si>
  <si>
    <t>TOTAL WK</t>
  </si>
  <si>
    <t>Last Week</t>
  </si>
  <si>
    <t>Difference</t>
  </si>
  <si>
    <t>Name</t>
  </si>
  <si>
    <t>Hrs</t>
  </si>
  <si>
    <t>Program</t>
  </si>
  <si>
    <t>Manager</t>
  </si>
  <si>
    <t xml:space="preserve">Thursday </t>
  </si>
  <si>
    <t>IN HOUSE AGENTS</t>
  </si>
  <si>
    <t>TOTAL</t>
  </si>
  <si>
    <t>SALES (CLOSES)</t>
  </si>
  <si>
    <t>Mon</t>
  </si>
  <si>
    <t>Tue</t>
  </si>
  <si>
    <t>Wed</t>
  </si>
  <si>
    <t>Thu</t>
  </si>
  <si>
    <t>Fri</t>
  </si>
  <si>
    <t>Front Total</t>
  </si>
  <si>
    <t xml:space="preserve">Brandy Paton </t>
  </si>
  <si>
    <t>Sales Total</t>
  </si>
  <si>
    <t>Grand Total (Fronts + Sales)</t>
  </si>
  <si>
    <t>830-1230</t>
  </si>
  <si>
    <t>Neil Singhal (Commercial)</t>
  </si>
  <si>
    <t>Raven Mitchell</t>
  </si>
  <si>
    <t>TOTAL RESI</t>
  </si>
  <si>
    <t>OUT</t>
  </si>
  <si>
    <t>Total Hrs</t>
  </si>
  <si>
    <t>830-5</t>
  </si>
  <si>
    <t>SPH</t>
  </si>
  <si>
    <t>MWH Total</t>
  </si>
  <si>
    <t>ELIGO</t>
  </si>
  <si>
    <t>Commercial Agents</t>
  </si>
  <si>
    <t>CJ</t>
  </si>
  <si>
    <t>Front</t>
  </si>
  <si>
    <t>Sales</t>
  </si>
  <si>
    <t>Resi</t>
  </si>
  <si>
    <t>MGW</t>
  </si>
  <si>
    <t>Kenticka Tate (Remote)(Commercial)</t>
  </si>
  <si>
    <t>830-130-145-5</t>
  </si>
  <si>
    <t>830-430</t>
  </si>
  <si>
    <t>Raven Mitchell (Commercial)</t>
  </si>
  <si>
    <t>830-3</t>
  </si>
  <si>
    <t>830-415</t>
  </si>
  <si>
    <t xml:space="preserve">Neil Singhal </t>
  </si>
  <si>
    <t>830-445</t>
  </si>
  <si>
    <t>830-1115</t>
  </si>
  <si>
    <t>Albert Williams (Commercial)</t>
  </si>
  <si>
    <t>TOR</t>
  </si>
  <si>
    <t>Total</t>
  </si>
  <si>
    <t>Ashlee Franks</t>
  </si>
  <si>
    <t>1130-130-145-5</t>
  </si>
  <si>
    <t>830-1130-1145-130-145-5</t>
  </si>
  <si>
    <t>Ian Mills</t>
  </si>
  <si>
    <t>1000-1115-1130-1145-5</t>
  </si>
  <si>
    <t>900-1230</t>
  </si>
  <si>
    <t>Angie Castro</t>
  </si>
  <si>
    <t>900-1045-1100-5</t>
  </si>
  <si>
    <t>830-1130-1145-5</t>
  </si>
  <si>
    <t>Night Shift</t>
  </si>
  <si>
    <t>HOURS</t>
  </si>
  <si>
    <t>Remote Agents</t>
  </si>
  <si>
    <t>TRAINING (in house)</t>
  </si>
  <si>
    <t>Admin Staff</t>
  </si>
  <si>
    <t>Kenticka Tate (Commercial)</t>
  </si>
  <si>
    <t>Trainees</t>
  </si>
  <si>
    <t>Jakarta Hunter</t>
  </si>
  <si>
    <t>Night Reps</t>
  </si>
  <si>
    <t>Brandy Paton (Commercial)</t>
  </si>
  <si>
    <t xml:space="preserve">DEALS </t>
  </si>
  <si>
    <t>TOTAL DEALS</t>
  </si>
  <si>
    <t>Ashlee Franks (Commercial)</t>
  </si>
  <si>
    <t>Luis Buitrago</t>
  </si>
  <si>
    <t>CJ Jackson (Manager/Closer)</t>
  </si>
  <si>
    <t>Abigail Gambino</t>
  </si>
  <si>
    <t>Allen Alberts</t>
  </si>
  <si>
    <t>Kenticka Tate (Remote)</t>
  </si>
  <si>
    <t>Brandy Paton</t>
  </si>
  <si>
    <t>Shelby Lewis</t>
  </si>
  <si>
    <t xml:space="preserve"> </t>
  </si>
  <si>
    <t>Neil Singhal</t>
  </si>
  <si>
    <t>Albert Williams</t>
  </si>
  <si>
    <t>CJ Jackson (Manager)</t>
  </si>
  <si>
    <t>COM Winbacks</t>
  </si>
  <si>
    <t>Residential</t>
  </si>
  <si>
    <t>Commercial</t>
  </si>
  <si>
    <t>DAILY TOTALS</t>
  </si>
  <si>
    <t>Grand Total</t>
  </si>
  <si>
    <t>FRONTERS</t>
  </si>
  <si>
    <t>CLOSERS</t>
  </si>
  <si>
    <t>Note: Per department rule, only the SALES (CLOSES) total counts toward the Commercial department's official weekly total (Commercial tab, row 23). FRONTS are tracked here separately for lead-generation performance and are not part of the department's sales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</si>
</sst>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"/>
    <numFmt numFmtId="165" formatCode="m\-d"/>
  </numFmts>
  <fonts count="11" x14ac:knownFonts="1">
    <font>
      <sz val="11"/>
      <color theme="1"/>
      <name val="Calibri"/>
      <scheme val="minor"/>
    </font>
    <font>
      <sz val="11"/>
      <color rgb="FF000000"/>
      <name val="Calibri"/>
    </font>
    <font>
      <b/>
      <sz val="13"/>
      <color theme="1"/>
      <name val="Calibri"/>
    </font>
    <font>
      <b/>
      <u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1"/>
      <color rgb="FF000000"/>
      <name val="Calibri"/>
    </font>
    <font>
      <b/>
      <u/>
      <sz val="11"/>
      <color theme="1"/>
      <name val="Calibri"/>
    </font>
    <font>
      <b/>
      <sz val="11"/>
      <color rgb="FFFFFFFF"/>
      <name val="Calibri"/>
    </font>
    <font>
      <i/>
      <sz val="9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theme="1"/>
        <bgColor theme="1"/>
      </patternFill>
    </fill>
    <fill>
      <patternFill patternType="solid">
        <fgColor rgb="FFE2EFDA"/>
        <bgColor rgb="FFE2EFDA"/>
      </patternFill>
    </fill>
  </fills>
  <borders count="8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theme="1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5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4" fillId="2" borderId="2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1" fillId="0" borderId="20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2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4" fillId="2" borderId="2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6" borderId="2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5" fillId="2" borderId="19" xfId="0" applyFont="1" applyFill="1" applyBorder="1"/>
    <xf numFmtId="0" fontId="5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4" fillId="3" borderId="28" xfId="0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4" fillId="2" borderId="29" xfId="0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/>
    </xf>
    <xf numFmtId="2" fontId="1" fillId="0" borderId="20" xfId="0" applyNumberFormat="1" applyFont="1" applyBorder="1" applyAlignment="1">
      <alignment horizontal="center"/>
    </xf>
    <xf numFmtId="0" fontId="5" fillId="0" borderId="20" xfId="0" applyFont="1" applyBorder="1" applyAlignment="1">
      <alignment wrapText="1"/>
    </xf>
    <xf numFmtId="0" fontId="4" fillId="6" borderId="3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wrapText="1"/>
    </xf>
    <xf numFmtId="165" fontId="5" fillId="0" borderId="1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center" wrapText="1"/>
    </xf>
    <xf numFmtId="0" fontId="4" fillId="0" borderId="33" xfId="0" applyFont="1" applyBorder="1" applyAlignment="1">
      <alignment horizontal="center" wrapText="1"/>
    </xf>
    <xf numFmtId="0" fontId="5" fillId="0" borderId="34" xfId="0" applyFont="1" applyBorder="1" applyAlignment="1">
      <alignment horizontal="center" wrapText="1"/>
    </xf>
    <xf numFmtId="0" fontId="4" fillId="5" borderId="35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center" wrapText="1"/>
    </xf>
    <xf numFmtId="0" fontId="5" fillId="0" borderId="36" xfId="0" applyFont="1" applyBorder="1" applyAlignment="1">
      <alignment horizontal="center" wrapText="1"/>
    </xf>
    <xf numFmtId="0" fontId="4" fillId="5" borderId="37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4" fillId="2" borderId="38" xfId="0" applyFont="1" applyFill="1" applyBorder="1" applyAlignment="1">
      <alignment horizontal="left"/>
    </xf>
    <xf numFmtId="0" fontId="5" fillId="3" borderId="38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39" xfId="0" applyFont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7" fillId="7" borderId="6" xfId="0" applyFont="1" applyFill="1" applyBorder="1" applyAlignment="1">
      <alignment horizontal="center"/>
    </xf>
    <xf numFmtId="20" fontId="7" fillId="7" borderId="1" xfId="0" applyNumberFormat="1" applyFont="1" applyFill="1" applyBorder="1" applyAlignment="1">
      <alignment horizontal="left" vertical="center"/>
    </xf>
    <xf numFmtId="0" fontId="7" fillId="7" borderId="4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20" fontId="7" fillId="7" borderId="30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20" fontId="7" fillId="7" borderId="38" xfId="0" applyNumberFormat="1" applyFont="1" applyFill="1" applyBorder="1" applyAlignment="1">
      <alignment horizontal="left"/>
    </xf>
    <xf numFmtId="0" fontId="5" fillId="0" borderId="0" xfId="0" applyFont="1" applyAlignment="1">
      <alignment vertical="center"/>
    </xf>
    <xf numFmtId="0" fontId="5" fillId="5" borderId="36" xfId="0" applyFont="1" applyFill="1" applyBorder="1" applyAlignment="1">
      <alignment horizontal="center"/>
    </xf>
    <xf numFmtId="2" fontId="1" fillId="7" borderId="30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 vertical="center"/>
    </xf>
    <xf numFmtId="20" fontId="1" fillId="0" borderId="1" xfId="0" applyNumberFormat="1" applyFont="1" applyBorder="1" applyAlignment="1">
      <alignment horizontal="left" vertical="center"/>
    </xf>
    <xf numFmtId="0" fontId="5" fillId="5" borderId="34" xfId="0" applyFont="1" applyFill="1" applyBorder="1" applyAlignment="1">
      <alignment horizontal="center"/>
    </xf>
    <xf numFmtId="20" fontId="1" fillId="0" borderId="20" xfId="0" applyNumberFormat="1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1" fillId="0" borderId="20" xfId="0" applyFont="1" applyBorder="1" applyAlignment="1">
      <alignment horizontal="left" vertical="center"/>
    </xf>
    <xf numFmtId="0" fontId="4" fillId="0" borderId="17" xfId="0" applyFont="1" applyBorder="1" applyAlignment="1">
      <alignment horizontal="center"/>
    </xf>
    <xf numFmtId="20" fontId="1" fillId="0" borderId="1" xfId="0" applyNumberFormat="1" applyFont="1" applyBorder="1" applyAlignment="1">
      <alignment horizontal="left"/>
    </xf>
    <xf numFmtId="20" fontId="1" fillId="0" borderId="20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20" fontId="1" fillId="0" borderId="40" xfId="0" applyNumberFormat="1" applyFont="1" applyBorder="1" applyAlignment="1">
      <alignment horizontal="left"/>
    </xf>
    <xf numFmtId="0" fontId="1" fillId="0" borderId="2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42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5" fillId="0" borderId="3" xfId="0" applyFont="1" applyBorder="1"/>
    <xf numFmtId="0" fontId="5" fillId="0" borderId="34" xfId="0" applyFont="1" applyBorder="1"/>
    <xf numFmtId="0" fontId="5" fillId="5" borderId="2" xfId="0" applyFont="1" applyFill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5" fillId="0" borderId="32" xfId="0" applyFont="1" applyBorder="1"/>
    <xf numFmtId="0" fontId="5" fillId="0" borderId="17" xfId="0" applyFont="1" applyBorder="1"/>
    <xf numFmtId="0" fontId="4" fillId="0" borderId="43" xfId="0" applyFont="1" applyBorder="1" applyAlignment="1">
      <alignment horizontal="center" wrapText="1"/>
    </xf>
    <xf numFmtId="0" fontId="4" fillId="0" borderId="44" xfId="0" applyFont="1" applyBorder="1" applyAlignment="1">
      <alignment horizontal="center" wrapText="1"/>
    </xf>
    <xf numFmtId="0" fontId="4" fillId="5" borderId="45" xfId="0" applyFont="1" applyFill="1" applyBorder="1" applyAlignment="1">
      <alignment horizontal="center"/>
    </xf>
    <xf numFmtId="2" fontId="5" fillId="0" borderId="46" xfId="0" applyNumberFormat="1" applyFont="1" applyBorder="1" applyAlignment="1">
      <alignment horizontal="center" wrapText="1"/>
    </xf>
    <xf numFmtId="0" fontId="4" fillId="5" borderId="47" xfId="0" applyFont="1" applyFill="1" applyBorder="1" applyAlignment="1">
      <alignment horizontal="center"/>
    </xf>
    <xf numFmtId="0" fontId="4" fillId="5" borderId="48" xfId="0" applyFont="1" applyFill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5" borderId="50" xfId="0" applyFont="1" applyFill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6" borderId="52" xfId="0" applyFont="1" applyFill="1" applyBorder="1" applyAlignment="1">
      <alignment horizontal="center"/>
    </xf>
    <xf numFmtId="0" fontId="5" fillId="5" borderId="53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/>
    </xf>
    <xf numFmtId="2" fontId="5" fillId="0" borderId="46" xfId="0" applyNumberFormat="1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4" fillId="2" borderId="55" xfId="0" applyFont="1" applyFill="1" applyBorder="1" applyAlignment="1">
      <alignment horizontal="left"/>
    </xf>
    <xf numFmtId="0" fontId="4" fillId="2" borderId="56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center"/>
    </xf>
    <xf numFmtId="0" fontId="4" fillId="2" borderId="57" xfId="0" applyFont="1" applyFill="1" applyBorder="1" applyAlignment="1">
      <alignment horizontal="center"/>
    </xf>
    <xf numFmtId="0" fontId="5" fillId="3" borderId="57" xfId="0" applyFont="1" applyFill="1" applyBorder="1" applyAlignment="1">
      <alignment horizontal="center"/>
    </xf>
    <xf numFmtId="0" fontId="5" fillId="3" borderId="56" xfId="0" applyFont="1" applyFill="1" applyBorder="1" applyAlignment="1">
      <alignment horizontal="center"/>
    </xf>
    <xf numFmtId="0" fontId="4" fillId="3" borderId="58" xfId="0" applyFont="1" applyFill="1" applyBorder="1" applyAlignment="1">
      <alignment horizontal="center"/>
    </xf>
    <xf numFmtId="0" fontId="4" fillId="3" borderId="55" xfId="0" applyFont="1" applyFill="1" applyBorder="1" applyAlignment="1">
      <alignment horizontal="center"/>
    </xf>
    <xf numFmtId="0" fontId="5" fillId="3" borderId="59" xfId="0" applyFont="1" applyFill="1" applyBorder="1" applyAlignment="1">
      <alignment horizontal="center"/>
    </xf>
    <xf numFmtId="0" fontId="5" fillId="3" borderId="58" xfId="0" applyFont="1" applyFill="1" applyBorder="1" applyAlignment="1">
      <alignment horizontal="center"/>
    </xf>
    <xf numFmtId="2" fontId="5" fillId="3" borderId="38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4" fillId="3" borderId="34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5" fillId="0" borderId="21" xfId="0" applyFont="1" applyBorder="1" applyAlignment="1">
      <alignment vertical="center"/>
    </xf>
    <xf numFmtId="0" fontId="5" fillId="0" borderId="6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5" borderId="62" xfId="0" applyFont="1" applyFill="1" applyBorder="1" applyAlignment="1">
      <alignment horizontal="center"/>
    </xf>
    <xf numFmtId="0" fontId="5" fillId="5" borderId="63" xfId="0" applyFont="1" applyFill="1" applyBorder="1" applyAlignment="1">
      <alignment horizontal="center"/>
    </xf>
    <xf numFmtId="2" fontId="5" fillId="0" borderId="20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0" xfId="0" applyFont="1" applyBorder="1"/>
    <xf numFmtId="0" fontId="4" fillId="0" borderId="64" xfId="0" applyFont="1" applyBorder="1" applyAlignment="1">
      <alignment horizontal="center" wrapText="1"/>
    </xf>
    <xf numFmtId="2" fontId="5" fillId="0" borderId="33" xfId="0" applyNumberFormat="1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7" xfId="0" applyFont="1" applyBorder="1"/>
    <xf numFmtId="0" fontId="4" fillId="3" borderId="55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2" fontId="5" fillId="3" borderId="65" xfId="0" applyNumberFormat="1" applyFont="1" applyFill="1" applyBorder="1" applyAlignment="1">
      <alignment horizontal="center"/>
    </xf>
    <xf numFmtId="0" fontId="5" fillId="3" borderId="65" xfId="0" applyFont="1" applyFill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5" fillId="6" borderId="32" xfId="0" applyFont="1" applyFill="1" applyBorder="1" applyAlignment="1">
      <alignment horizontal="center"/>
    </xf>
    <xf numFmtId="0" fontId="1" fillId="0" borderId="21" xfId="0" applyFont="1" applyBorder="1" applyAlignment="1">
      <alignment horizontal="left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3" borderId="66" xfId="0" applyFont="1" applyFill="1" applyBorder="1" applyAlignment="1">
      <alignment horizontal="center"/>
    </xf>
    <xf numFmtId="0" fontId="4" fillId="3" borderId="33" xfId="0" applyFont="1" applyFill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4" fillId="3" borderId="67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0" borderId="69" xfId="0" applyFont="1" applyBorder="1" applyAlignment="1">
      <alignment horizontal="left"/>
    </xf>
    <xf numFmtId="0" fontId="5" fillId="0" borderId="70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71" xfId="0" applyFont="1" applyBorder="1" applyAlignment="1">
      <alignment horizontal="center"/>
    </xf>
    <xf numFmtId="0" fontId="5" fillId="5" borderId="57" xfId="0" applyFont="1" applyFill="1" applyBorder="1" applyAlignment="1">
      <alignment horizontal="center"/>
    </xf>
    <xf numFmtId="0" fontId="5" fillId="5" borderId="56" xfId="0" applyFont="1" applyFill="1" applyBorder="1" applyAlignment="1">
      <alignment horizontal="center"/>
    </xf>
    <xf numFmtId="0" fontId="5" fillId="5" borderId="38" xfId="0" applyFont="1" applyFill="1" applyBorder="1" applyAlignment="1">
      <alignment horizontal="center"/>
    </xf>
    <xf numFmtId="0" fontId="5" fillId="0" borderId="72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73" xfId="0" applyFont="1" applyBorder="1" applyAlignment="1">
      <alignment horizontal="center"/>
    </xf>
    <xf numFmtId="0" fontId="5" fillId="0" borderId="74" xfId="0" applyFont="1" applyBorder="1" applyAlignment="1">
      <alignment horizontal="center"/>
    </xf>
    <xf numFmtId="0" fontId="5" fillId="0" borderId="75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76" xfId="0" applyFont="1" applyBorder="1" applyAlignment="1">
      <alignment horizontal="center"/>
    </xf>
    <xf numFmtId="0" fontId="5" fillId="0" borderId="77" xfId="0" applyFont="1" applyBorder="1" applyAlignment="1">
      <alignment horizontal="center"/>
    </xf>
    <xf numFmtId="0" fontId="5" fillId="5" borderId="30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/>
    </xf>
    <xf numFmtId="0" fontId="4" fillId="3" borderId="45" xfId="0" applyFont="1" applyFill="1" applyBorder="1" applyAlignment="1">
      <alignment horizontal="center"/>
    </xf>
    <xf numFmtId="0" fontId="4" fillId="3" borderId="47" xfId="0" applyFont="1" applyFill="1" applyBorder="1" applyAlignment="1">
      <alignment horizontal="center"/>
    </xf>
    <xf numFmtId="0" fontId="5" fillId="5" borderId="48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" fillId="0" borderId="20" xfId="0" applyFont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40" xfId="0" applyFont="1" applyBorder="1" applyAlignment="1">
      <alignment horizontal="left"/>
    </xf>
    <xf numFmtId="0" fontId="9" fillId="8" borderId="19" xfId="0" applyFont="1" applyFill="1" applyBorder="1"/>
    <xf numFmtId="0" fontId="9" fillId="10" borderId="6" xfId="0" applyFont="1" applyFill="1" applyBorder="1" applyAlignment="1">
      <alignment horizontal="center"/>
    </xf>
    <xf numFmtId="0" fontId="9" fillId="12" borderId="19" xfId="0" applyFont="1" applyFill="1" applyBorder="1" applyAlignment="1">
      <alignment horizontal="center"/>
    </xf>
    <xf numFmtId="0" fontId="9" fillId="8" borderId="19" xfId="0" applyFont="1" applyFill="1" applyBorder="1" applyAlignment="1">
      <alignment horizontal="center"/>
    </xf>
    <xf numFmtId="0" fontId="9" fillId="9" borderId="19" xfId="0" applyFont="1" applyFill="1" applyBorder="1" applyAlignment="1">
      <alignment horizontal="center"/>
    </xf>
    <xf numFmtId="0" fontId="9" fillId="10" borderId="19" xfId="0" applyFont="1" applyFill="1" applyBorder="1" applyAlignment="1">
      <alignment horizontal="center"/>
    </xf>
    <xf numFmtId="0" fontId="9" fillId="11" borderId="19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5" fillId="0" borderId="81" xfId="0" applyFont="1" applyBorder="1"/>
    <xf numFmtId="0" fontId="5" fillId="0" borderId="35" xfId="0" applyFont="1" applyBorder="1" applyAlignment="1">
      <alignment horizontal="center" vertical="center"/>
    </xf>
    <xf numFmtId="0" fontId="5" fillId="0" borderId="82" xfId="0" applyFont="1" applyBorder="1"/>
    <xf numFmtId="0" fontId="4" fillId="0" borderId="35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/>
    </xf>
    <xf numFmtId="0" fontId="5" fillId="0" borderId="81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5" fillId="0" borderId="84" xfId="0" applyFont="1" applyBorder="1" applyAlignment="1">
      <alignment horizontal="center"/>
    </xf>
    <xf numFmtId="0" fontId="5" fillId="13" borderId="83" xfId="0" applyFont="1" applyFill="1" applyBorder="1" applyAlignment="1">
      <alignment horizontal="center"/>
    </xf>
    <xf numFmtId="0" fontId="5" fillId="13" borderId="81" xfId="0" applyFont="1" applyFill="1" applyBorder="1" applyAlignment="1">
      <alignment horizontal="center"/>
    </xf>
    <xf numFmtId="0" fontId="5" fillId="13" borderId="85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4" fillId="10" borderId="67" xfId="0" applyFont="1" applyFill="1" applyBorder="1" applyAlignment="1">
      <alignment horizontal="center"/>
    </xf>
    <xf numFmtId="0" fontId="5" fillId="12" borderId="81" xfId="0" applyFont="1" applyFill="1" applyBorder="1"/>
    <xf numFmtId="0" fontId="9" fillId="12" borderId="85" xfId="0" applyFont="1" applyFill="1" applyBorder="1" applyAlignment="1">
      <alignment horizontal="center"/>
    </xf>
    <xf numFmtId="0" fontId="5" fillId="12" borderId="83" xfId="0" applyFont="1" applyFill="1" applyBorder="1" applyAlignment="1">
      <alignment horizontal="center"/>
    </xf>
    <xf numFmtId="0" fontId="5" fillId="12" borderId="81" xfId="0" applyFont="1" applyFill="1" applyBorder="1" applyAlignment="1">
      <alignment horizontal="center"/>
    </xf>
    <xf numFmtId="0" fontId="5" fillId="12" borderId="85" xfId="0" applyFont="1" applyFill="1" applyBorder="1" applyAlignment="1">
      <alignment horizontal="center"/>
    </xf>
    <xf numFmtId="0" fontId="5" fillId="12" borderId="86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4" fillId="0" borderId="87" xfId="0" applyFont="1" applyBorder="1" applyAlignment="1">
      <alignment horizontal="center"/>
    </xf>
    <xf numFmtId="0" fontId="4" fillId="9" borderId="81" xfId="0" applyFont="1" applyFill="1" applyBorder="1"/>
    <xf numFmtId="0" fontId="4" fillId="9" borderId="85" xfId="0" applyFont="1" applyFill="1" applyBorder="1"/>
    <xf numFmtId="0" fontId="4" fillId="9" borderId="83" xfId="0" applyFont="1" applyFill="1" applyBorder="1" applyAlignment="1">
      <alignment horizontal="center"/>
    </xf>
    <xf numFmtId="0" fontId="4" fillId="9" borderId="81" xfId="0" applyFont="1" applyFill="1" applyBorder="1" applyAlignment="1">
      <alignment horizontal="center"/>
    </xf>
    <xf numFmtId="0" fontId="4" fillId="9" borderId="85" xfId="0" applyFont="1" applyFill="1" applyBorder="1" applyAlignment="1">
      <alignment horizontal="center"/>
    </xf>
    <xf numFmtId="0" fontId="4" fillId="9" borderId="86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4" fillId="2" borderId="11" xfId="0" applyFont="1" applyFill="1" applyBorder="1" applyAlignment="1">
      <alignment horizontal="center"/>
    </xf>
    <xf numFmtId="0" fontId="6" fillId="0" borderId="13" xfId="0" applyFont="1" applyBorder="1"/>
    <xf numFmtId="0" fontId="6" fillId="0" borderId="14" xfId="0" applyFont="1" applyBorder="1"/>
    <xf numFmtId="0" fontId="4" fillId="2" borderId="1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6" fillId="0" borderId="23" xfId="0" applyFont="1" applyBorder="1"/>
    <xf numFmtId="0" fontId="6" fillId="0" borderId="24" xfId="0" applyFont="1" applyBorder="1"/>
    <xf numFmtId="2" fontId="7" fillId="4" borderId="10" xfId="0" applyNumberFormat="1" applyFont="1" applyFill="1" applyBorder="1" applyAlignment="1">
      <alignment horizontal="center"/>
    </xf>
    <xf numFmtId="0" fontId="6" fillId="0" borderId="12" xfId="0" applyFont="1" applyBorder="1"/>
    <xf numFmtId="0" fontId="6" fillId="0" borderId="15" xfId="0" applyFont="1" applyBorder="1"/>
    <xf numFmtId="2" fontId="7" fillId="4" borderId="3" xfId="0" applyNumberFormat="1" applyFont="1" applyFill="1" applyBorder="1" applyAlignment="1">
      <alignment horizontal="center"/>
    </xf>
    <xf numFmtId="0" fontId="6" fillId="0" borderId="4" xfId="0" applyFont="1" applyBorder="1"/>
    <xf numFmtId="0" fontId="6" fillId="0" borderId="17" xfId="0" applyFont="1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6" fillId="0" borderId="9" xfId="0" applyFont="1" applyBorder="1"/>
    <xf numFmtId="0" fontId="10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center" vertical="center" wrapText="1"/>
    </xf>
    <xf numFmtId="0" fontId="9" fillId="8" borderId="78" xfId="0" applyFont="1" applyFill="1" applyBorder="1" applyAlignment="1">
      <alignment horizontal="center"/>
    </xf>
    <xf numFmtId="0" fontId="6" fillId="0" borderId="79" xfId="0" applyFont="1" applyBorder="1"/>
    <xf numFmtId="0" fontId="6" fillId="0" borderId="80" xfId="0" applyFont="1" applyBorder="1"/>
    <xf numFmtId="0" fontId="9" fillId="9" borderId="78" xfId="0" applyFont="1" applyFill="1" applyBorder="1" applyAlignment="1">
      <alignment horizontal="center"/>
    </xf>
    <xf numFmtId="0" fontId="9" fillId="10" borderId="78" xfId="0" applyFont="1" applyFill="1" applyBorder="1" applyAlignment="1">
      <alignment horizontal="center"/>
    </xf>
    <xf numFmtId="0" fontId="9" fillId="11" borderId="78" xfId="0" applyFont="1" applyFill="1" applyBorder="1" applyAlignment="1">
      <alignment horizontal="center"/>
    </xf>
    <xf numFmtId="0" fontId="0" fillId="0" borderId="0" xfId="0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5" fillId="0" borderId="34" xfId="0" applyFont="1" applyBorder="1" applyAlignment="1">
      <alignment horizontal="center"/>
    </xf>
  </cellXfs>
  <cellStyles count="1">
    <cellStyle name="Normal" xfId="0" builtinId="0"/>
  </cellStyles>
  <dxfs count="11">
    <dxf>
      <font>
        <color rgb="FFC0C0C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223220-C992-4692-BD6C-E80300A3AA1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15d5b3-1e8a-4ce2-960e-414e88728f6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9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R26" sqref="AR26"/>
    </sheetView>
  </sheetViews>
  <sheetFormatPr defaultColWidth="14.42578125" defaultRowHeight="15" customHeight="1" x14ac:dyDescent="0.25"/>
  <cols>
    <col min="1" max="1" width="5.85546875" customWidth="1"/>
    <col min="2" max="2" width="35.140625" customWidth="1"/>
    <col min="3" max="3" width="7.140625" customWidth="1"/>
    <col min="4" max="6" width="7.85546875" customWidth="1"/>
    <col min="7" max="7" width="7.85546875" style="282" customWidth="1"/>
    <col min="8" max="18" width="7.85546875" customWidth="1"/>
    <col min="19" max="19" width="7.85546875" style="282" customWidth="1"/>
    <col min="20" max="20" width="7.85546875" customWidth="1"/>
    <col min="21" max="25" width="7.85546875" style="282" customWidth="1"/>
    <col min="26" max="32" width="7.85546875" customWidth="1"/>
    <col min="33" max="33" width="11.42578125" customWidth="1"/>
    <col min="34" max="34" width="8.7109375" customWidth="1"/>
    <col min="35" max="35" width="10.7109375" customWidth="1"/>
    <col min="36" max="37" width="10" customWidth="1"/>
    <col min="38" max="38" width="10.140625" customWidth="1"/>
    <col min="39" max="40" width="9" customWidth="1"/>
    <col min="41" max="41" width="17.140625" customWidth="1"/>
    <col min="42" max="42" width="8.5703125" customWidth="1"/>
    <col min="43" max="43" width="9" customWidth="1"/>
    <col min="44" max="45" width="8.7109375" customWidth="1"/>
  </cols>
  <sheetData>
    <row r="1" spans="1:45" ht="15" customHeight="1" x14ac:dyDescent="0.25">
      <c r="A1" s="3" t="s">
        <v>1</v>
      </c>
      <c r="B1" s="7" t="s">
        <v>3</v>
      </c>
      <c r="C1" s="254" t="s">
        <v>5</v>
      </c>
      <c r="D1" s="255"/>
      <c r="E1" s="255"/>
      <c r="F1" s="255"/>
      <c r="G1" s="255"/>
      <c r="H1" s="256"/>
      <c r="I1" s="10"/>
      <c r="J1" s="257" t="s">
        <v>6</v>
      </c>
      <c r="K1" s="258"/>
      <c r="L1" s="258"/>
      <c r="M1" s="258"/>
      <c r="N1" s="259"/>
      <c r="O1" s="12"/>
      <c r="P1" s="260" t="s">
        <v>7</v>
      </c>
      <c r="Q1" s="258"/>
      <c r="R1" s="258"/>
      <c r="S1" s="258"/>
      <c r="T1" s="259"/>
      <c r="U1" s="16"/>
      <c r="V1" s="261" t="s">
        <v>8</v>
      </c>
      <c r="W1" s="262"/>
      <c r="X1" s="262"/>
      <c r="Y1" s="262"/>
      <c r="Z1" s="263"/>
      <c r="AA1" s="16"/>
      <c r="AB1" s="260" t="s">
        <v>9</v>
      </c>
      <c r="AC1" s="258"/>
      <c r="AD1" s="258"/>
      <c r="AE1" s="258"/>
      <c r="AF1" s="259"/>
      <c r="AG1" s="24" t="s">
        <v>12</v>
      </c>
      <c r="AH1" s="3" t="s">
        <v>13</v>
      </c>
      <c r="AI1" s="25" t="s">
        <v>37</v>
      </c>
      <c r="AJ1" s="25" t="s">
        <v>14</v>
      </c>
      <c r="AK1" s="27" t="s">
        <v>15</v>
      </c>
      <c r="AL1" s="24" t="s">
        <v>16</v>
      </c>
      <c r="AM1" s="3" t="s">
        <v>39</v>
      </c>
      <c r="AN1" s="29" t="s">
        <v>41</v>
      </c>
      <c r="AO1" s="3" t="s">
        <v>42</v>
      </c>
      <c r="AP1" s="3" t="s">
        <v>19</v>
      </c>
      <c r="AQ1" s="3" t="s">
        <v>20</v>
      </c>
      <c r="AR1" s="30"/>
      <c r="AS1" s="30"/>
    </row>
    <row r="2" spans="1:45" ht="15" customHeight="1" x14ac:dyDescent="0.25">
      <c r="A2" s="34"/>
      <c r="B2" s="35" t="s">
        <v>44</v>
      </c>
      <c r="C2" s="37" t="s">
        <v>18</v>
      </c>
      <c r="D2" s="39" t="s">
        <v>46</v>
      </c>
      <c r="E2" s="39" t="s">
        <v>47</v>
      </c>
      <c r="F2" s="39" t="s">
        <v>48</v>
      </c>
      <c r="G2" s="39" t="s">
        <v>41</v>
      </c>
      <c r="H2" s="41" t="s">
        <v>49</v>
      </c>
      <c r="I2" s="37" t="s">
        <v>18</v>
      </c>
      <c r="J2" s="39" t="s">
        <v>46</v>
      </c>
      <c r="K2" s="39" t="s">
        <v>47</v>
      </c>
      <c r="L2" s="39" t="s">
        <v>48</v>
      </c>
      <c r="M2" s="39" t="s">
        <v>41</v>
      </c>
      <c r="N2" s="41" t="s">
        <v>49</v>
      </c>
      <c r="O2" s="37" t="s">
        <v>18</v>
      </c>
      <c r="P2" s="39" t="s">
        <v>46</v>
      </c>
      <c r="Q2" s="39" t="s">
        <v>47</v>
      </c>
      <c r="R2" s="39" t="s">
        <v>48</v>
      </c>
      <c r="S2" s="39" t="s">
        <v>41</v>
      </c>
      <c r="T2" s="41" t="s">
        <v>49</v>
      </c>
      <c r="U2" s="37" t="s">
        <v>18</v>
      </c>
      <c r="V2" s="39" t="s">
        <v>46</v>
      </c>
      <c r="W2" s="39" t="s">
        <v>47</v>
      </c>
      <c r="X2" s="39" t="s">
        <v>48</v>
      </c>
      <c r="Y2" s="39" t="s">
        <v>41</v>
      </c>
      <c r="Z2" s="41" t="s">
        <v>49</v>
      </c>
      <c r="AA2" s="37" t="s">
        <v>18</v>
      </c>
      <c r="AB2" s="39" t="s">
        <v>46</v>
      </c>
      <c r="AC2" s="39" t="s">
        <v>47</v>
      </c>
      <c r="AD2" s="39" t="s">
        <v>48</v>
      </c>
      <c r="AE2" s="39" t="s">
        <v>41</v>
      </c>
      <c r="AF2" s="41" t="s">
        <v>49</v>
      </c>
      <c r="AG2" s="34"/>
      <c r="AH2" s="34"/>
      <c r="AI2" s="34"/>
      <c r="AJ2" s="34"/>
      <c r="AK2" s="45"/>
      <c r="AL2" s="34"/>
      <c r="AM2" s="15"/>
      <c r="AN2" s="47"/>
      <c r="AO2" s="15"/>
      <c r="AP2" s="48"/>
      <c r="AQ2" s="15"/>
    </row>
    <row r="3" spans="1:45" ht="15.75" customHeight="1" x14ac:dyDescent="0.25">
      <c r="A3" s="18">
        <v>1291</v>
      </c>
      <c r="B3" s="49" t="s">
        <v>53</v>
      </c>
      <c r="C3" s="53">
        <f t="array" ref="C3">_xlfn.XLOOKUP(A3,'Agents Hrs'!A:A,'Agents Hrs'!D:D,0,0)</f>
        <v>8</v>
      </c>
      <c r="D3" s="18">
        <v>0</v>
      </c>
      <c r="E3" s="18">
        <v>1</v>
      </c>
      <c r="F3" s="18">
        <v>0</v>
      </c>
      <c r="G3" s="56">
        <f t="shared" ref="G3:G9" si="0">IFERROR(E3/C3, 0)</f>
        <v>0.125</v>
      </c>
      <c r="H3" s="57"/>
      <c r="I3" s="53">
        <f t="array" ref="I3">_xlfn.XLOOKUP(A3,'Agents Hrs'!A:A,'Agents Hrs'!F:F,0,0)</f>
        <v>6</v>
      </c>
      <c r="J3" s="18">
        <v>0</v>
      </c>
      <c r="K3" s="18">
        <v>0</v>
      </c>
      <c r="L3" s="18">
        <v>0</v>
      </c>
      <c r="M3" s="56">
        <f t="shared" ref="M3:M11" si="1">IFERROR(K3/I3, 0)</f>
        <v>0</v>
      </c>
      <c r="N3" s="57"/>
      <c r="O3" s="33">
        <f t="array" ref="O3">_xlfn.XLOOKUP(A3,'Agents Hrs'!A:A,'Agents Hrs'!H:H,0,0)</f>
        <v>7.25</v>
      </c>
      <c r="P3" s="18">
        <v>0</v>
      </c>
      <c r="Q3" s="22">
        <v>0</v>
      </c>
      <c r="R3" s="22">
        <v>0</v>
      </c>
      <c r="S3" s="56">
        <f>IFERROR(Q3/O3, 0)</f>
        <v>0</v>
      </c>
      <c r="T3" s="57"/>
      <c r="U3" s="53">
        <f t="array" ref="U3">_xlfn.XLOOKUP(A3,'Agents Hrs'!A:A,'Agents Hrs'!J:J,0,0)</f>
        <v>0</v>
      </c>
      <c r="V3" s="22"/>
      <c r="W3" s="22"/>
      <c r="X3" s="22"/>
      <c r="Y3" s="56">
        <f t="shared" ref="Y3:Y9" si="2">IFERROR(W3/U3, 0)</f>
        <v>0</v>
      </c>
      <c r="Z3" s="78"/>
      <c r="AA3" s="83">
        <f t="array" ref="AA3">_xlfn.XLOOKUP(A3,'Agents Hrs'!A:A,'Agents Hrs'!L:L,0,0)</f>
        <v>0</v>
      </c>
      <c r="AB3" s="22"/>
      <c r="AC3" s="22"/>
      <c r="AD3" s="22"/>
      <c r="AE3" s="56">
        <f t="shared" ref="AE3:AE9" si="3">IFERROR(AC3/AA3, 0)</f>
        <v>0</v>
      </c>
      <c r="AF3" s="78"/>
      <c r="AG3" s="87">
        <f t="shared" ref="AG3:AG9" si="4">SUM(E3,K3,Q3,W3,AC3)</f>
        <v>1</v>
      </c>
      <c r="AH3" s="26"/>
      <c r="AI3" s="90">
        <f t="shared" ref="AI3:AI9" si="5">SUM(F3,L3,R3,X3,AD3)</f>
        <v>0</v>
      </c>
      <c r="AJ3" s="90">
        <f t="shared" ref="AJ3:AJ10" si="6">AG3-AH3</f>
        <v>1</v>
      </c>
      <c r="AK3" s="91">
        <v>11</v>
      </c>
      <c r="AL3" s="92">
        <f t="shared" ref="AL3:AL9" si="7">AG3-AK3</f>
        <v>-10</v>
      </c>
      <c r="AM3" s="33">
        <f t="shared" ref="AM3:AM9" si="8">SUM(C3,I3,O3,U3,AA3)</f>
        <v>21.25</v>
      </c>
      <c r="AN3" s="93">
        <f t="shared" ref="AN3:AN10" si="9">IFERROR(AG3/AM3, 0)</f>
        <v>4.7058823529411764E-2</v>
      </c>
      <c r="AO3" s="33">
        <f t="shared" ref="AO3:AO9" si="10">SUM(H3,N3,T3,Z3,AF3)</f>
        <v>0</v>
      </c>
      <c r="AP3" s="33" t="s">
        <v>43</v>
      </c>
      <c r="AQ3" s="36" t="s">
        <v>45</v>
      </c>
    </row>
    <row r="4" spans="1:45" ht="15.75" customHeight="1" x14ac:dyDescent="0.25">
      <c r="A4" s="18">
        <v>1175</v>
      </c>
      <c r="B4" s="20" t="s">
        <v>76</v>
      </c>
      <c r="C4" s="53">
        <f t="array" ref="C4">_xlfn.XLOOKUP(A4,'Agents Hrs'!A:A,'Agents Hrs'!D:D,0,0)</f>
        <v>8</v>
      </c>
      <c r="D4" s="18">
        <v>0</v>
      </c>
      <c r="E4" s="18">
        <v>0</v>
      </c>
      <c r="F4" s="18">
        <v>0</v>
      </c>
      <c r="G4" s="56">
        <f t="shared" si="0"/>
        <v>0</v>
      </c>
      <c r="H4" s="57"/>
      <c r="I4" s="53">
        <f t="array" ref="I4">_xlfn.XLOOKUP(A4,'Agents Hrs'!A:A,'Agents Hrs'!F:F,0,0)</f>
        <v>7.75</v>
      </c>
      <c r="J4" s="18">
        <v>0</v>
      </c>
      <c r="K4" s="18">
        <v>1</v>
      </c>
      <c r="L4" s="18">
        <v>0</v>
      </c>
      <c r="M4" s="56">
        <f t="shared" si="1"/>
        <v>0.12903225806451613</v>
      </c>
      <c r="N4" s="57"/>
      <c r="O4" s="33">
        <f t="array" ref="O4">_xlfn.XLOOKUP(A4,'Agents Hrs'!A:A,'Agents Hrs'!H:H,0,0)</f>
        <v>7.5</v>
      </c>
      <c r="P4" s="18">
        <v>0</v>
      </c>
      <c r="Q4" s="22">
        <v>0</v>
      </c>
      <c r="R4" s="22">
        <v>0</v>
      </c>
      <c r="S4" s="56">
        <f>IFERROR(Q4/O4, 0)</f>
        <v>0</v>
      </c>
      <c r="T4" s="57"/>
      <c r="U4" s="53">
        <f t="array" ref="U4">_xlfn.XLOOKUP(A4,'Agents Hrs'!A:A,'Agents Hrs'!J:J,0,0)</f>
        <v>0</v>
      </c>
      <c r="V4" s="22"/>
      <c r="W4" s="22"/>
      <c r="X4" s="22"/>
      <c r="Y4" s="56">
        <f t="shared" si="2"/>
        <v>0</v>
      </c>
      <c r="Z4" s="78"/>
      <c r="AA4" s="83">
        <f t="array" ref="AA4">_xlfn.XLOOKUP(A4,'Agents Hrs'!A:A,'Agents Hrs'!L:L,0,0)</f>
        <v>0</v>
      </c>
      <c r="AB4" s="22"/>
      <c r="AC4" s="22"/>
      <c r="AD4" s="22"/>
      <c r="AE4" s="56">
        <f t="shared" si="3"/>
        <v>0</v>
      </c>
      <c r="AF4" s="78"/>
      <c r="AG4" s="87">
        <f t="shared" si="4"/>
        <v>1</v>
      </c>
      <c r="AH4" s="26"/>
      <c r="AI4" s="90">
        <f t="shared" si="5"/>
        <v>0</v>
      </c>
      <c r="AJ4" s="90">
        <f t="shared" si="6"/>
        <v>1</v>
      </c>
      <c r="AK4" s="91">
        <v>2</v>
      </c>
      <c r="AL4" s="92">
        <f t="shared" si="7"/>
        <v>-1</v>
      </c>
      <c r="AM4" s="33">
        <f t="shared" si="8"/>
        <v>23.25</v>
      </c>
      <c r="AN4" s="93">
        <f t="shared" si="9"/>
        <v>4.3010752688172046E-2</v>
      </c>
      <c r="AO4" s="33">
        <f t="shared" si="10"/>
        <v>0</v>
      </c>
      <c r="AP4" s="33" t="s">
        <v>43</v>
      </c>
      <c r="AQ4" s="36" t="s">
        <v>45</v>
      </c>
    </row>
    <row r="5" spans="1:45" ht="15.75" customHeight="1" x14ac:dyDescent="0.25">
      <c r="A5" s="18">
        <v>1294</v>
      </c>
      <c r="B5" s="20" t="s">
        <v>80</v>
      </c>
      <c r="C5" s="53">
        <f t="array" ref="C5">_xlfn.XLOOKUP(A5,'Agents Hrs'!A:A,'Agents Hrs'!D:D,0,0)</f>
        <v>3</v>
      </c>
      <c r="D5" s="18">
        <v>0</v>
      </c>
      <c r="E5" s="18">
        <v>0</v>
      </c>
      <c r="F5" s="18">
        <v>0</v>
      </c>
      <c r="G5" s="56">
        <f t="shared" si="0"/>
        <v>0</v>
      </c>
      <c r="H5" s="57"/>
      <c r="I5" s="53">
        <f t="array" ref="I5">_xlfn.XLOOKUP(A5,'Agents Hrs'!A:A,'Agents Hrs'!F:F,0,0)</f>
        <v>0</v>
      </c>
      <c r="J5" s="18">
        <v>0</v>
      </c>
      <c r="K5" s="18">
        <v>0</v>
      </c>
      <c r="L5" s="18">
        <v>0</v>
      </c>
      <c r="M5" s="56">
        <f t="shared" si="1"/>
        <v>0</v>
      </c>
      <c r="N5" s="57"/>
      <c r="O5" s="33">
        <f t="array" ref="O5">_xlfn.XLOOKUP(A5,'Agents Hrs'!A:A,'Agents Hrs'!H:H,0,0)</f>
        <v>8</v>
      </c>
      <c r="P5" s="18">
        <v>0</v>
      </c>
      <c r="Q5" s="22">
        <v>2</v>
      </c>
      <c r="R5" s="22">
        <v>0</v>
      </c>
      <c r="S5" s="56">
        <f>IFERROR(Q5/O5, 0)</f>
        <v>0.25</v>
      </c>
      <c r="T5" s="57"/>
      <c r="U5" s="53">
        <f t="array" ref="U5">_xlfn.XLOOKUP(A5,'Agents Hrs'!A:A,'Agents Hrs'!J:J,0,0)</f>
        <v>0</v>
      </c>
      <c r="V5" s="22"/>
      <c r="W5" s="22"/>
      <c r="X5" s="22"/>
      <c r="Y5" s="56">
        <f t="shared" si="2"/>
        <v>0</v>
      </c>
      <c r="Z5" s="78"/>
      <c r="AA5" s="83">
        <f t="array" ref="AA5">_xlfn.XLOOKUP(A5,'Agents Hrs'!A:A,'Agents Hrs'!L:L,0,0)</f>
        <v>0</v>
      </c>
      <c r="AB5" s="22"/>
      <c r="AC5" s="22"/>
      <c r="AD5" s="22"/>
      <c r="AE5" s="56">
        <f t="shared" si="3"/>
        <v>0</v>
      </c>
      <c r="AF5" s="78"/>
      <c r="AG5" s="87">
        <f t="shared" si="4"/>
        <v>2</v>
      </c>
      <c r="AH5" s="26"/>
      <c r="AI5" s="90">
        <f t="shared" si="5"/>
        <v>0</v>
      </c>
      <c r="AJ5" s="90">
        <f t="shared" si="6"/>
        <v>2</v>
      </c>
      <c r="AK5" s="91">
        <v>1</v>
      </c>
      <c r="AL5" s="92">
        <f t="shared" si="7"/>
        <v>1</v>
      </c>
      <c r="AM5" s="33">
        <f t="shared" si="8"/>
        <v>11</v>
      </c>
      <c r="AN5" s="93">
        <f t="shared" si="9"/>
        <v>0.18181818181818182</v>
      </c>
      <c r="AO5" s="33">
        <f t="shared" si="10"/>
        <v>0</v>
      </c>
      <c r="AP5" s="33" t="s">
        <v>43</v>
      </c>
      <c r="AQ5" s="36" t="s">
        <v>45</v>
      </c>
    </row>
    <row r="6" spans="1:45" ht="15.75" customHeight="1" x14ac:dyDescent="0.25">
      <c r="A6" s="18">
        <v>1280</v>
      </c>
      <c r="B6" s="20" t="s">
        <v>83</v>
      </c>
      <c r="C6" s="53">
        <f t="array" ref="C6">_xlfn.XLOOKUP(A6,'Agents Hrs'!A:A,'Agents Hrs'!D:D,0,0)</f>
        <v>8</v>
      </c>
      <c r="D6" s="18">
        <v>1</v>
      </c>
      <c r="E6" s="18">
        <v>1</v>
      </c>
      <c r="F6" s="18">
        <v>0</v>
      </c>
      <c r="G6" s="56">
        <f t="shared" si="0"/>
        <v>0.125</v>
      </c>
      <c r="H6" s="57"/>
      <c r="I6" s="53">
        <f t="array" ref="I6">_xlfn.XLOOKUP(A6,'Agents Hrs'!A:A,'Agents Hrs'!F:F,0,0)</f>
        <v>4.75</v>
      </c>
      <c r="J6" s="18">
        <v>1</v>
      </c>
      <c r="K6" s="18">
        <v>0</v>
      </c>
      <c r="L6" s="18">
        <v>0</v>
      </c>
      <c r="M6" s="56">
        <f t="shared" si="1"/>
        <v>0</v>
      </c>
      <c r="N6" s="57"/>
      <c r="O6" s="33">
        <f t="array" ref="O6">_xlfn.XLOOKUP(A6,'Agents Hrs'!A:A,'Agents Hrs'!H:H,0,0)</f>
        <v>7.5</v>
      </c>
      <c r="P6" s="18">
        <v>1</v>
      </c>
      <c r="Q6" s="22">
        <v>3</v>
      </c>
      <c r="R6" s="22">
        <v>0</v>
      </c>
      <c r="S6" s="56">
        <f>IFERROR(Q6/O6, 0)</f>
        <v>0.4</v>
      </c>
      <c r="T6" s="57"/>
      <c r="U6" s="53">
        <f t="array" ref="U6">_xlfn.XLOOKUP(A6,'Agents Hrs'!A:A,'Agents Hrs'!J:J,0,0)</f>
        <v>0</v>
      </c>
      <c r="V6" s="22"/>
      <c r="W6" s="22"/>
      <c r="X6" s="22"/>
      <c r="Y6" s="56">
        <f t="shared" si="2"/>
        <v>0</v>
      </c>
      <c r="Z6" s="78"/>
      <c r="AA6" s="83">
        <f t="array" ref="AA6">_xlfn.XLOOKUP(A6,'Agents Hrs'!A:A,'Agents Hrs'!L:L,0,0)</f>
        <v>0</v>
      </c>
      <c r="AB6" s="22"/>
      <c r="AC6" s="22"/>
      <c r="AD6" s="22"/>
      <c r="AE6" s="56">
        <f t="shared" si="3"/>
        <v>0</v>
      </c>
      <c r="AF6" s="78"/>
      <c r="AG6" s="87">
        <f t="shared" si="4"/>
        <v>4</v>
      </c>
      <c r="AH6" s="26"/>
      <c r="AI6" s="90">
        <f t="shared" si="5"/>
        <v>0</v>
      </c>
      <c r="AJ6" s="90">
        <f t="shared" si="6"/>
        <v>4</v>
      </c>
      <c r="AK6" s="91">
        <v>2</v>
      </c>
      <c r="AL6" s="92">
        <f t="shared" si="7"/>
        <v>2</v>
      </c>
      <c r="AM6" s="33">
        <f t="shared" si="8"/>
        <v>20.25</v>
      </c>
      <c r="AN6" s="93">
        <f t="shared" si="9"/>
        <v>0.19753086419753085</v>
      </c>
      <c r="AO6" s="33">
        <f t="shared" si="10"/>
        <v>0</v>
      </c>
      <c r="AP6" s="33" t="s">
        <v>43</v>
      </c>
      <c r="AQ6" s="36" t="s">
        <v>45</v>
      </c>
    </row>
    <row r="7" spans="1:45" ht="15.75" customHeight="1" x14ac:dyDescent="0.25">
      <c r="A7" s="18">
        <v>1301</v>
      </c>
      <c r="B7" s="20" t="s">
        <v>59</v>
      </c>
      <c r="C7" s="53">
        <f t="array" ref="C7">_xlfn.XLOOKUP(A7,'Agents Hrs'!A:A,'Agents Hrs'!D:D,0,0)</f>
        <v>0</v>
      </c>
      <c r="D7" s="18">
        <v>0</v>
      </c>
      <c r="E7" s="18">
        <v>0</v>
      </c>
      <c r="F7" s="18">
        <v>0</v>
      </c>
      <c r="G7" s="56">
        <f t="shared" si="0"/>
        <v>0</v>
      </c>
      <c r="H7" s="57"/>
      <c r="I7" s="53">
        <f t="array" ref="I7">_xlfn.XLOOKUP(A7,'Agents Hrs'!A:A,'Agents Hrs'!F:F,0,0)</f>
        <v>7.75</v>
      </c>
      <c r="J7" s="18">
        <v>0</v>
      </c>
      <c r="K7" s="18">
        <v>0</v>
      </c>
      <c r="L7" s="18">
        <v>0</v>
      </c>
      <c r="M7" s="56">
        <f t="shared" si="1"/>
        <v>0</v>
      </c>
      <c r="N7" s="57"/>
      <c r="O7" s="33">
        <f t="array" ref="O7">_xlfn.XLOOKUP(A7,'Agents Hrs'!A:A,'Agents Hrs'!H:H,0,0)</f>
        <v>0</v>
      </c>
      <c r="P7" s="18">
        <v>0</v>
      </c>
      <c r="Q7" s="22">
        <v>0</v>
      </c>
      <c r="R7" s="22">
        <v>0</v>
      </c>
      <c r="S7" s="56">
        <f>IFERROR(Q7/O7, 0)</f>
        <v>0</v>
      </c>
      <c r="T7" s="57"/>
      <c r="U7" s="53">
        <f t="array" ref="U7">_xlfn.XLOOKUP(A7,'Agents Hrs'!A:A,'Agents Hrs'!J:J,0,0)</f>
        <v>0</v>
      </c>
      <c r="V7" s="22"/>
      <c r="W7" s="22"/>
      <c r="X7" s="22"/>
      <c r="Y7" s="56">
        <f t="shared" si="2"/>
        <v>0</v>
      </c>
      <c r="Z7" s="78"/>
      <c r="AA7" s="83">
        <f t="array" ref="AA7">_xlfn.XLOOKUP(A7,'Agents Hrs'!A:A,'Agents Hrs'!L:L,0,0)</f>
        <v>0</v>
      </c>
      <c r="AB7" s="22"/>
      <c r="AC7" s="22"/>
      <c r="AD7" s="22"/>
      <c r="AE7" s="56">
        <f t="shared" si="3"/>
        <v>0</v>
      </c>
      <c r="AF7" s="78"/>
      <c r="AG7" s="87">
        <f t="shared" si="4"/>
        <v>0</v>
      </c>
      <c r="AH7" s="26"/>
      <c r="AI7" s="90">
        <f t="shared" si="5"/>
        <v>0</v>
      </c>
      <c r="AJ7" s="90">
        <f t="shared" si="6"/>
        <v>0</v>
      </c>
      <c r="AK7" s="91">
        <v>2</v>
      </c>
      <c r="AL7" s="92">
        <f t="shared" si="7"/>
        <v>-2</v>
      </c>
      <c r="AM7" s="33">
        <f t="shared" si="8"/>
        <v>7.75</v>
      </c>
      <c r="AN7" s="93">
        <f t="shared" si="9"/>
        <v>0</v>
      </c>
      <c r="AO7" s="33">
        <f t="shared" si="10"/>
        <v>0</v>
      </c>
      <c r="AP7" s="33" t="s">
        <v>43</v>
      </c>
      <c r="AQ7" s="36" t="s">
        <v>45</v>
      </c>
    </row>
    <row r="8" spans="1:45" ht="15.75" customHeight="1" x14ac:dyDescent="0.25">
      <c r="A8" s="68">
        <v>1151</v>
      </c>
      <c r="B8" s="106" t="s">
        <v>85</v>
      </c>
      <c r="C8" s="53">
        <f t="array" ref="C8">_xlfn.XLOOKUP(A8,'Agents Hrs'!A:A,'Agents Hrs'!D:D,0,0)</f>
        <v>0</v>
      </c>
      <c r="D8" s="19">
        <v>0</v>
      </c>
      <c r="E8" s="19">
        <v>0</v>
      </c>
      <c r="F8" s="19">
        <v>0</v>
      </c>
      <c r="G8" s="56">
        <f t="shared" si="0"/>
        <v>0</v>
      </c>
      <c r="H8" s="107"/>
      <c r="I8" s="53">
        <f t="array" ref="I8">_xlfn.XLOOKUP(A8,'Agents Hrs'!A:A,'Agents Hrs'!F:F,0,0)</f>
        <v>0</v>
      </c>
      <c r="J8" s="19">
        <v>0</v>
      </c>
      <c r="K8" s="19">
        <v>0</v>
      </c>
      <c r="L8" s="19">
        <v>0</v>
      </c>
      <c r="M8" s="56">
        <f t="shared" si="1"/>
        <v>0</v>
      </c>
      <c r="N8" s="107"/>
      <c r="O8" s="33">
        <f t="array" ref="O8">_xlfn.XLOOKUP(A8,'Agents Hrs'!A:A,'Agents Hrs'!H:H,0,0)</f>
        <v>0</v>
      </c>
      <c r="P8" s="19">
        <v>0</v>
      </c>
      <c r="Q8" s="22">
        <v>0</v>
      </c>
      <c r="R8" s="22">
        <v>0</v>
      </c>
      <c r="S8" s="56">
        <f>IFERROR(Q8/O8, 0)</f>
        <v>0</v>
      </c>
      <c r="T8" s="107"/>
      <c r="U8" s="53">
        <f t="array" ref="U8">_xlfn.XLOOKUP(A8,'Agents Hrs'!A:A,'Agents Hrs'!J:J,0,0)</f>
        <v>0</v>
      </c>
      <c r="V8" s="22"/>
      <c r="W8" s="22"/>
      <c r="X8" s="22"/>
      <c r="Y8" s="56">
        <f t="shared" si="2"/>
        <v>0</v>
      </c>
      <c r="Z8" s="78"/>
      <c r="AA8" s="83">
        <f t="array" ref="AA8">_xlfn.XLOOKUP(A8,'Agents Hrs'!A:A,'Agents Hrs'!L:L,0,0)</f>
        <v>0</v>
      </c>
      <c r="AB8" s="22"/>
      <c r="AC8" s="22"/>
      <c r="AD8" s="22"/>
      <c r="AE8" s="56">
        <f t="shared" si="3"/>
        <v>0</v>
      </c>
      <c r="AF8" s="78"/>
      <c r="AG8" s="87">
        <f t="shared" si="4"/>
        <v>0</v>
      </c>
      <c r="AH8" s="26"/>
      <c r="AI8" s="90">
        <f t="shared" si="5"/>
        <v>0</v>
      </c>
      <c r="AJ8" s="90">
        <f t="shared" si="6"/>
        <v>0</v>
      </c>
      <c r="AK8" s="91">
        <v>0</v>
      </c>
      <c r="AL8" s="92">
        <f t="shared" si="7"/>
        <v>0</v>
      </c>
      <c r="AM8" s="33">
        <f t="shared" si="8"/>
        <v>0</v>
      </c>
      <c r="AN8" s="93">
        <f t="shared" si="9"/>
        <v>0</v>
      </c>
      <c r="AO8" s="33">
        <f t="shared" si="10"/>
        <v>0</v>
      </c>
      <c r="AP8" s="33" t="s">
        <v>43</v>
      </c>
      <c r="AQ8" s="36" t="s">
        <v>45</v>
      </c>
    </row>
    <row r="9" spans="1:45" ht="15.75" customHeight="1" x14ac:dyDescent="0.25">
      <c r="A9" s="18">
        <v>1300</v>
      </c>
      <c r="B9" s="20" t="s">
        <v>35</v>
      </c>
      <c r="C9" s="53">
        <f t="array" ref="C9">_xlfn.XLOOKUP(A9,'Agents Hrs'!A:A,'Agents Hrs'!D:D,0,0)</f>
        <v>7.75</v>
      </c>
      <c r="D9" s="18">
        <v>0</v>
      </c>
      <c r="E9" s="18">
        <v>0</v>
      </c>
      <c r="F9" s="18">
        <v>0</v>
      </c>
      <c r="G9" s="56">
        <f t="shared" si="0"/>
        <v>0</v>
      </c>
      <c r="H9" s="57"/>
      <c r="I9" s="53">
        <f t="array" ref="I9">_xlfn.XLOOKUP(A9,'Agents Hrs'!A:A,'Agents Hrs'!F:F,0,0)</f>
        <v>2.75</v>
      </c>
      <c r="J9" s="18">
        <v>0</v>
      </c>
      <c r="K9" s="18">
        <v>1</v>
      </c>
      <c r="L9" s="18">
        <v>0</v>
      </c>
      <c r="M9" s="56">
        <f t="shared" si="1"/>
        <v>0.36363636363636365</v>
      </c>
      <c r="N9" s="57"/>
      <c r="O9" s="33">
        <f t="array" ref="O9">_xlfn.XLOOKUP(A9,'Agents Hrs'!A:A,'Agents Hrs'!H:H,0,0)</f>
        <v>8</v>
      </c>
      <c r="P9" s="18">
        <v>0</v>
      </c>
      <c r="Q9" s="22">
        <v>0</v>
      </c>
      <c r="R9" s="22">
        <v>0</v>
      </c>
      <c r="S9" s="56">
        <f>IFERROR(Q9/O9, 0)</f>
        <v>0</v>
      </c>
      <c r="T9" s="57"/>
      <c r="U9" s="53">
        <f t="array" ref="U9">_xlfn.XLOOKUP(A9,'Agents Hrs'!A:A,'Agents Hrs'!J:J,0,0)</f>
        <v>0</v>
      </c>
      <c r="V9" s="22"/>
      <c r="W9" s="22"/>
      <c r="X9" s="22"/>
      <c r="Y9" s="56">
        <f t="shared" si="2"/>
        <v>0</v>
      </c>
      <c r="Z9" s="78"/>
      <c r="AA9" s="83">
        <f t="array" ref="AA9">_xlfn.XLOOKUP(A9,'Agents Hrs'!A:A,'Agents Hrs'!L:L,0,0)</f>
        <v>0</v>
      </c>
      <c r="AB9" s="22"/>
      <c r="AC9" s="22"/>
      <c r="AD9" s="22"/>
      <c r="AE9" s="56">
        <f t="shared" si="3"/>
        <v>0</v>
      </c>
      <c r="AF9" s="78"/>
      <c r="AG9" s="87">
        <f t="shared" si="4"/>
        <v>1</v>
      </c>
      <c r="AH9" s="26"/>
      <c r="AI9" s="90">
        <f t="shared" si="5"/>
        <v>0</v>
      </c>
      <c r="AJ9" s="90">
        <f t="shared" si="6"/>
        <v>1</v>
      </c>
      <c r="AK9" s="91">
        <v>8</v>
      </c>
      <c r="AL9" s="92">
        <f t="shared" si="7"/>
        <v>-7</v>
      </c>
      <c r="AM9" s="33">
        <f t="shared" si="8"/>
        <v>18.5</v>
      </c>
      <c r="AN9" s="93">
        <f t="shared" si="9"/>
        <v>5.4054054054054057E-2</v>
      </c>
      <c r="AO9" s="33">
        <f t="shared" si="10"/>
        <v>0</v>
      </c>
      <c r="AP9" s="33" t="s">
        <v>43</v>
      </c>
      <c r="AQ9" s="36" t="s">
        <v>45</v>
      </c>
    </row>
    <row r="10" spans="1:45" ht="15.75" customHeight="1" x14ac:dyDescent="0.25">
      <c r="A10" s="14">
        <v>1311</v>
      </c>
      <c r="B10" s="17" t="s">
        <v>65</v>
      </c>
      <c r="C10" s="108">
        <f t="array" ref="C10">_xlfn.XLOOKUP(A10,'Agents Hrs'!A:A,'Agents Hrs'!D:D,0,0)</f>
        <v>5.5</v>
      </c>
      <c r="D10" s="28">
        <v>1</v>
      </c>
      <c r="E10" s="28">
        <v>0</v>
      </c>
      <c r="F10" s="28">
        <v>0</v>
      </c>
      <c r="G10" s="283">
        <f>IFERROR(E10/C10, 0)</f>
        <v>0</v>
      </c>
      <c r="H10" s="109"/>
      <c r="I10" s="110">
        <f t="array" ref="I10">_xlfn.XLOOKUP(A10,'Agents Hrs'!A:A,'Agents Hrs'!F:F,0,0)</f>
        <v>3.5</v>
      </c>
      <c r="J10" s="28">
        <v>0</v>
      </c>
      <c r="K10" s="28">
        <v>0</v>
      </c>
      <c r="L10" s="28">
        <v>0</v>
      </c>
      <c r="M10" s="43">
        <f t="shared" si="1"/>
        <v>0</v>
      </c>
      <c r="N10" s="111"/>
      <c r="O10" s="33">
        <f t="array" ref="O10">_xlfn.XLOOKUP(A10,'Agents Hrs'!A:A,'Agents Hrs'!H:H,0,0)</f>
        <v>7.5</v>
      </c>
      <c r="P10" s="33">
        <v>1</v>
      </c>
      <c r="Q10" s="33">
        <v>0</v>
      </c>
      <c r="R10" s="33">
        <v>1</v>
      </c>
      <c r="S10" s="33">
        <f>IFERROR(Q10/O10, 0)</f>
        <v>0</v>
      </c>
      <c r="T10" s="111"/>
      <c r="U10" s="284">
        <f t="array" ref="U10">_xlfn.XLOOKUP(A10,'Agents Hrs'!A:A,'Agents Hrs'!J:J,0,0)</f>
        <v>0</v>
      </c>
      <c r="V10" s="33">
        <v>0</v>
      </c>
      <c r="W10" s="33">
        <v>0</v>
      </c>
      <c r="X10" s="33">
        <v>0</v>
      </c>
      <c r="Y10" s="33">
        <f>IFERROR(W10/U10, 0)</f>
        <v>0</v>
      </c>
      <c r="Z10" s="111"/>
      <c r="AA10" s="83">
        <f t="array" ref="AA10">_xlfn.XLOOKUP(A10,'Agents Hrs'!A:A,'Agents Hrs'!L:L,0,0)</f>
        <v>0</v>
      </c>
      <c r="AB10" s="22">
        <v>0</v>
      </c>
      <c r="AC10" s="22">
        <v>0</v>
      </c>
      <c r="AD10" s="22">
        <v>0</v>
      </c>
      <c r="AE10" s="56">
        <f>IFERROR(AC10/AA10, 0)</f>
        <v>0</v>
      </c>
      <c r="AF10" s="113"/>
      <c r="AG10" s="114">
        <f>SUM(E10,K10,Q10,W10,AC10)</f>
        <v>0</v>
      </c>
      <c r="AH10" s="26"/>
      <c r="AI10" s="26">
        <f>SUM(F10,L10,R10,X10,AD10)</f>
        <v>1</v>
      </c>
      <c r="AJ10" s="90">
        <f>AG10-AH10</f>
        <v>0</v>
      </c>
      <c r="AK10" s="91"/>
      <c r="AL10" s="92">
        <f>AG10-AK10</f>
        <v>0</v>
      </c>
      <c r="AM10" s="33">
        <f>SUM(C10,I10,O10,U10,AA10)</f>
        <v>16.5</v>
      </c>
      <c r="AN10" s="93">
        <f>IFERROR(AG10/AM10, 0)</f>
        <v>0</v>
      </c>
      <c r="AO10" s="33">
        <f>SUM(H10,N10,T10,Z10,AF10)</f>
        <v>0</v>
      </c>
      <c r="AP10" s="33" t="s">
        <v>43</v>
      </c>
      <c r="AQ10" s="36" t="s">
        <v>45</v>
      </c>
    </row>
    <row r="11" spans="1:45" ht="15.75" customHeight="1" x14ac:dyDescent="0.25">
      <c r="A11" s="14">
        <v>1312</v>
      </c>
      <c r="B11" s="59" t="s">
        <v>68</v>
      </c>
      <c r="C11" s="108">
        <f t="array" ref="C11">_xlfn.XLOOKUP(A11,'Agents Hrs'!A:A,'Agents Hrs'!D:D,0,0)</f>
        <v>7.15</v>
      </c>
      <c r="D11" s="28">
        <v>1</v>
      </c>
      <c r="E11" s="28">
        <v>0</v>
      </c>
      <c r="F11" s="28">
        <v>0</v>
      </c>
      <c r="G11" s="283">
        <f>IFERROR(E11/C11, 0)</f>
        <v>0</v>
      </c>
      <c r="H11" s="109"/>
      <c r="I11" s="110">
        <f t="array" ref="I11">_xlfn.XLOOKUP(A11,'Agents Hrs'!A:A,'Agents Hrs'!F:F,0,0)</f>
        <v>7.75</v>
      </c>
      <c r="J11" s="28">
        <v>0</v>
      </c>
      <c r="K11" s="28">
        <v>0</v>
      </c>
      <c r="L11" s="28">
        <v>0</v>
      </c>
      <c r="M11" s="43">
        <f t="shared" si="1"/>
        <v>0</v>
      </c>
      <c r="N11" s="111"/>
      <c r="O11" s="33">
        <f t="array" ref="O11">_xlfn.XLOOKUP(A11,'Agents Hrs'!A:A,'Agents Hrs'!H:H,0,0)</f>
        <v>7.5</v>
      </c>
      <c r="P11" s="33">
        <v>1</v>
      </c>
      <c r="Q11" s="33">
        <v>0</v>
      </c>
      <c r="R11" s="33">
        <v>0</v>
      </c>
      <c r="S11" s="33">
        <f>IFERROR(Q11/O11, 0)</f>
        <v>0</v>
      </c>
      <c r="T11" s="111"/>
      <c r="U11" s="284">
        <f t="array" ref="U11">_xlfn.XLOOKUP(A11,'Agents Hrs'!A:A,'Agents Hrs'!J:J,0,0)</f>
        <v>0</v>
      </c>
      <c r="V11" s="33">
        <v>0</v>
      </c>
      <c r="W11" s="33">
        <v>0</v>
      </c>
      <c r="X11" s="33">
        <v>0</v>
      </c>
      <c r="Y11" s="33">
        <f>IFERROR(W11/U11, 0)</f>
        <v>0</v>
      </c>
      <c r="Z11" s="111"/>
      <c r="AA11" s="83">
        <f t="array" ref="AA11">_xlfn.XLOOKUP(A11,'Agents Hrs'!A:A,'Agents Hrs'!L:L,0,0)</f>
        <v>0</v>
      </c>
      <c r="AB11" s="22"/>
      <c r="AC11" s="22">
        <v>0</v>
      </c>
      <c r="AD11" s="22">
        <v>0</v>
      </c>
      <c r="AE11" s="56">
        <f>IFERROR(AC11/AA11, 0)</f>
        <v>0</v>
      </c>
      <c r="AF11" s="113"/>
      <c r="AG11" s="114">
        <f>SUM(E11,K11,Q11,W11,AC11)</f>
        <v>0</v>
      </c>
      <c r="AH11" s="26"/>
      <c r="AI11" s="26">
        <f>SUM(F11,L11,R11,X11,AD11)</f>
        <v>0</v>
      </c>
      <c r="AJ11" s="90">
        <f>AG11-AH11</f>
        <v>0</v>
      </c>
      <c r="AK11" s="91"/>
      <c r="AL11" s="92">
        <f>AG11-AK11</f>
        <v>0</v>
      </c>
      <c r="AM11" s="33">
        <f>SUM(C11,I11,O11,U11,AA11)</f>
        <v>22.4</v>
      </c>
      <c r="AN11" s="93">
        <f>IFERROR(AG11/AM11, 0)</f>
        <v>0</v>
      </c>
      <c r="AO11" s="33">
        <f>SUM(H11,N11,T11,Z11,AF11)</f>
        <v>0</v>
      </c>
      <c r="AP11" s="33" t="s">
        <v>43</v>
      </c>
      <c r="AQ11" s="36" t="s">
        <v>45</v>
      </c>
    </row>
    <row r="12" spans="1:45" x14ac:dyDescent="0.25">
      <c r="A12" s="36"/>
      <c r="B12" s="36"/>
      <c r="C12" s="36"/>
      <c r="D12" s="36"/>
      <c r="E12" s="36"/>
      <c r="F12" s="36"/>
      <c r="G12" s="33"/>
      <c r="H12" s="111"/>
      <c r="I12" s="112"/>
      <c r="J12" s="36"/>
      <c r="K12" s="36"/>
      <c r="L12" s="36"/>
      <c r="M12" s="36"/>
      <c r="N12" s="111"/>
      <c r="O12" s="33"/>
      <c r="P12" s="36"/>
      <c r="Q12" s="36"/>
      <c r="R12" s="36"/>
      <c r="S12" s="33"/>
      <c r="T12" s="111"/>
      <c r="U12" s="284"/>
      <c r="V12" s="33"/>
      <c r="W12" s="33"/>
      <c r="X12" s="33"/>
      <c r="Y12" s="33"/>
      <c r="Z12" s="111"/>
      <c r="AA12" s="112"/>
      <c r="AB12" s="36"/>
      <c r="AC12" s="36"/>
      <c r="AD12" s="36"/>
      <c r="AE12" s="36"/>
      <c r="AF12" s="111"/>
      <c r="AG12" s="112"/>
      <c r="AH12" s="36"/>
      <c r="AI12" s="36"/>
      <c r="AJ12" s="111"/>
      <c r="AK12" s="115"/>
      <c r="AL12" s="116"/>
      <c r="AM12" s="36"/>
      <c r="AN12" s="36"/>
      <c r="AO12" s="36"/>
      <c r="AP12" s="33" t="s">
        <v>43</v>
      </c>
      <c r="AQ12" s="36" t="s">
        <v>45</v>
      </c>
    </row>
    <row r="13" spans="1:45" ht="15.75" customHeight="1" x14ac:dyDescent="0.25">
      <c r="A13" s="68"/>
      <c r="B13" s="117" t="s">
        <v>61</v>
      </c>
      <c r="C13" s="118">
        <f>SUM(C3:C11)</f>
        <v>47.4</v>
      </c>
      <c r="D13" s="119">
        <f>SUM(D3:D11)</f>
        <v>3</v>
      </c>
      <c r="E13" s="119">
        <f>SUM(E3:E11)</f>
        <v>2</v>
      </c>
      <c r="F13" s="119">
        <f>SUM(F3:F11)</f>
        <v>0</v>
      </c>
      <c r="G13" s="120">
        <f>IFERROR(E13/C13, 0)</f>
        <v>4.2194092827004218E-2</v>
      </c>
      <c r="H13" s="121">
        <f>SUM(H3:H11)</f>
        <v>0</v>
      </c>
      <c r="I13" s="122">
        <f>SUM(I3:I11)</f>
        <v>40.25</v>
      </c>
      <c r="J13" s="119">
        <f>SUM(J3:J11)</f>
        <v>1</v>
      </c>
      <c r="K13" s="119">
        <f>SUM(K3:K11)</f>
        <v>2</v>
      </c>
      <c r="L13" s="119">
        <f>SUM(L3:L11)</f>
        <v>0</v>
      </c>
      <c r="M13" s="120">
        <f>IFERROR(K13/I13, 0)</f>
        <v>4.9689440993788817E-2</v>
      </c>
      <c r="N13" s="121">
        <f>SUM(N3:N11)</f>
        <v>0</v>
      </c>
      <c r="O13" s="122">
        <f>SUM(O3:O11)</f>
        <v>53.25</v>
      </c>
      <c r="P13" s="119">
        <f>SUM(P3:P11)</f>
        <v>3</v>
      </c>
      <c r="Q13" s="119">
        <f>SUM(Q3:Q11)</f>
        <v>5</v>
      </c>
      <c r="R13" s="119">
        <f>SUM(R3:R11)</f>
        <v>1</v>
      </c>
      <c r="S13" s="120">
        <f>IFERROR(Q13/O13, 0)</f>
        <v>9.3896713615023469E-2</v>
      </c>
      <c r="T13" s="121">
        <f>SUM(T3:T11)</f>
        <v>0</v>
      </c>
      <c r="U13" s="122">
        <f>SUM(U3:U11)</f>
        <v>0</v>
      </c>
      <c r="V13" s="119">
        <f>SUM(V3:V11)</f>
        <v>0</v>
      </c>
      <c r="W13" s="119">
        <f>SUM(W3:W11)</f>
        <v>0</v>
      </c>
      <c r="X13" s="119">
        <f>SUM(X3:X11)</f>
        <v>0</v>
      </c>
      <c r="Y13" s="120">
        <f>IFERROR(W13/U13, 0)</f>
        <v>0</v>
      </c>
      <c r="Z13" s="121">
        <f>SUM(Z3:Z11)</f>
        <v>0</v>
      </c>
      <c r="AA13" s="122">
        <f>SUM(AA3:AA11)</f>
        <v>0</v>
      </c>
      <c r="AB13" s="119">
        <f>SUM(AB3:AB11)</f>
        <v>0</v>
      </c>
      <c r="AC13" s="119">
        <f>SUM(AC3:AC11)</f>
        <v>0</v>
      </c>
      <c r="AD13" s="119">
        <f>SUM(AD3:AD11)</f>
        <v>0</v>
      </c>
      <c r="AE13" s="120">
        <f>IFERROR(AC13/AA13, 0)</f>
        <v>0</v>
      </c>
      <c r="AF13" s="121">
        <f>SUM(AF3:AF11)</f>
        <v>0</v>
      </c>
      <c r="AG13" s="123">
        <f>SUM(AG3:AG11)</f>
        <v>9</v>
      </c>
      <c r="AH13" s="122">
        <f>SUM(AH3:AH11)</f>
        <v>0</v>
      </c>
      <c r="AI13" s="124">
        <f>SUM(AI3:AI11)</f>
        <v>1</v>
      </c>
      <c r="AJ13" s="125">
        <f>AG13-AH13</f>
        <v>9</v>
      </c>
      <c r="AK13" s="126">
        <f>SUM(AK3:AK11)</f>
        <v>26</v>
      </c>
      <c r="AL13" s="127">
        <f>AG13-AK13</f>
        <v>-17</v>
      </c>
      <c r="AM13" s="128">
        <f>SUM(AM3:AM11)</f>
        <v>140.9</v>
      </c>
      <c r="AN13" s="129">
        <f>IFERROR(AG13/AM13, 0)</f>
        <v>6.3875088715400985E-2</v>
      </c>
      <c r="AO13" s="130">
        <f>SUM(AO3:AO11)</f>
        <v>0</v>
      </c>
      <c r="AP13" s="128" t="s">
        <v>43</v>
      </c>
      <c r="AQ13" s="36" t="s">
        <v>45</v>
      </c>
    </row>
    <row r="14" spans="1:45" ht="15.75" customHeight="1" x14ac:dyDescent="0.25">
      <c r="A14" s="15"/>
      <c r="B14" s="131" t="s">
        <v>74</v>
      </c>
      <c r="C14" s="132"/>
      <c r="D14" s="133"/>
      <c r="E14" s="133"/>
      <c r="F14" s="133"/>
      <c r="G14" s="133"/>
      <c r="H14" s="134"/>
      <c r="I14" s="132"/>
      <c r="J14" s="133"/>
      <c r="K14" s="133"/>
      <c r="L14" s="133"/>
      <c r="M14" s="133"/>
      <c r="N14" s="134"/>
      <c r="O14" s="132"/>
      <c r="P14" s="133"/>
      <c r="Q14" s="61"/>
      <c r="R14" s="61"/>
      <c r="S14" s="61"/>
      <c r="T14" s="135"/>
      <c r="U14" s="136"/>
      <c r="V14" s="61"/>
      <c r="W14" s="61"/>
      <c r="X14" s="61"/>
      <c r="Y14" s="61"/>
      <c r="Z14" s="135"/>
      <c r="AA14" s="136"/>
      <c r="AB14" s="61"/>
      <c r="AC14" s="61"/>
      <c r="AD14" s="61"/>
      <c r="AE14" s="61"/>
      <c r="AF14" s="135"/>
      <c r="AG14" s="137"/>
      <c r="AH14" s="65"/>
      <c r="AI14" s="138"/>
      <c r="AJ14" s="138"/>
      <c r="AK14" s="139"/>
      <c r="AL14" s="140"/>
      <c r="AM14" s="61"/>
      <c r="AN14" s="141"/>
      <c r="AO14" s="61"/>
      <c r="AP14" s="61"/>
      <c r="AQ14" s="61"/>
    </row>
    <row r="15" spans="1:45" ht="15.75" customHeight="1" x14ac:dyDescent="0.25">
      <c r="A15" s="4" t="s">
        <v>1</v>
      </c>
      <c r="B15" s="142" t="s">
        <v>3</v>
      </c>
      <c r="C15" s="143"/>
      <c r="D15" s="4"/>
      <c r="E15" s="4"/>
      <c r="F15" s="4"/>
      <c r="G15" s="4"/>
      <c r="H15" s="144"/>
      <c r="I15" s="143"/>
      <c r="J15" s="4"/>
      <c r="K15" s="4"/>
      <c r="L15" s="4"/>
      <c r="M15" s="4"/>
      <c r="N15" s="144"/>
      <c r="O15" s="143"/>
      <c r="P15" s="4"/>
      <c r="Q15" s="4"/>
      <c r="R15" s="4"/>
      <c r="S15" s="4"/>
      <c r="T15" s="144"/>
      <c r="U15" s="143"/>
      <c r="V15" s="4"/>
      <c r="W15" s="4"/>
      <c r="X15" s="4"/>
      <c r="Y15" s="4"/>
      <c r="Z15" s="144"/>
      <c r="AA15" s="143"/>
      <c r="AB15" s="4"/>
      <c r="AC15" s="4"/>
      <c r="AD15" s="4"/>
      <c r="AE15" s="4"/>
      <c r="AF15" s="144"/>
      <c r="AG15" s="145"/>
      <c r="AH15" s="4"/>
      <c r="AI15" s="146"/>
      <c r="AJ15" s="146"/>
      <c r="AK15" s="147"/>
      <c r="AL15" s="145"/>
      <c r="AM15" s="4"/>
      <c r="AN15" s="148"/>
      <c r="AO15" s="4"/>
      <c r="AP15" s="4"/>
      <c r="AQ15" s="4"/>
    </row>
    <row r="16" spans="1:45" ht="15.75" customHeight="1" x14ac:dyDescent="0.25">
      <c r="A16" s="68"/>
      <c r="B16" s="149"/>
      <c r="C16" s="150"/>
      <c r="D16" s="151"/>
      <c r="E16" s="151"/>
      <c r="F16" s="151"/>
      <c r="G16" s="151"/>
      <c r="H16" s="152"/>
      <c r="I16" s="150"/>
      <c r="J16" s="151"/>
      <c r="K16" s="151"/>
      <c r="L16" s="151"/>
      <c r="M16" s="151"/>
      <c r="N16" s="152"/>
      <c r="O16" s="150"/>
      <c r="P16" s="151"/>
      <c r="Q16" s="40"/>
      <c r="R16" s="40"/>
      <c r="S16" s="40"/>
      <c r="T16" s="153"/>
      <c r="U16" s="154"/>
      <c r="V16" s="40"/>
      <c r="W16" s="40"/>
      <c r="X16" s="40"/>
      <c r="Y16" s="40"/>
      <c r="Z16" s="153"/>
      <c r="AA16" s="154"/>
      <c r="AB16" s="40"/>
      <c r="AC16" s="40"/>
      <c r="AD16" s="40"/>
      <c r="AE16" s="40"/>
      <c r="AF16" s="153"/>
      <c r="AG16" s="87">
        <f>SUM(E16,K16,Q16,W16,AC16)</f>
        <v>0</v>
      </c>
      <c r="AH16" s="26"/>
      <c r="AI16" s="90"/>
      <c r="AJ16" s="90">
        <f>AG16-AH16</f>
        <v>0</v>
      </c>
      <c r="AK16" s="91">
        <v>0</v>
      </c>
      <c r="AL16" s="92">
        <f>AG16-AK16</f>
        <v>0</v>
      </c>
      <c r="AM16" s="33"/>
      <c r="AN16" s="155"/>
      <c r="AO16" s="156"/>
      <c r="AP16" s="156" t="s">
        <v>43</v>
      </c>
      <c r="AQ16" s="157" t="s">
        <v>45</v>
      </c>
    </row>
    <row r="17" spans="1:45" ht="15.75" customHeight="1" x14ac:dyDescent="0.25">
      <c r="A17" s="68"/>
      <c r="B17" s="158" t="s">
        <v>61</v>
      </c>
      <c r="C17" s="52">
        <f t="shared" ref="C17:AL17" si="11">SUM(C16)</f>
        <v>0</v>
      </c>
      <c r="D17" s="52">
        <f t="shared" si="11"/>
        <v>0</v>
      </c>
      <c r="E17" s="52">
        <f t="shared" si="11"/>
        <v>0</v>
      </c>
      <c r="F17" s="52">
        <f t="shared" si="11"/>
        <v>0</v>
      </c>
      <c r="G17" s="52">
        <f t="shared" si="11"/>
        <v>0</v>
      </c>
      <c r="H17" s="52">
        <f t="shared" si="11"/>
        <v>0</v>
      </c>
      <c r="I17" s="52">
        <f t="shared" si="11"/>
        <v>0</v>
      </c>
      <c r="J17" s="52">
        <f t="shared" si="11"/>
        <v>0</v>
      </c>
      <c r="K17" s="52">
        <f t="shared" si="11"/>
        <v>0</v>
      </c>
      <c r="L17" s="52">
        <f t="shared" si="11"/>
        <v>0</v>
      </c>
      <c r="M17" s="52">
        <f t="shared" si="11"/>
        <v>0</v>
      </c>
      <c r="N17" s="52">
        <f t="shared" si="11"/>
        <v>0</v>
      </c>
      <c r="O17" s="52">
        <f t="shared" si="11"/>
        <v>0</v>
      </c>
      <c r="P17" s="52">
        <f t="shared" si="11"/>
        <v>0</v>
      </c>
      <c r="Q17" s="52">
        <f t="shared" si="11"/>
        <v>0</v>
      </c>
      <c r="R17" s="52">
        <f t="shared" si="11"/>
        <v>0</v>
      </c>
      <c r="S17" s="52">
        <f t="shared" si="11"/>
        <v>0</v>
      </c>
      <c r="T17" s="52">
        <f t="shared" si="11"/>
        <v>0</v>
      </c>
      <c r="U17" s="52">
        <f t="shared" si="11"/>
        <v>0</v>
      </c>
      <c r="V17" s="52">
        <f t="shared" si="11"/>
        <v>0</v>
      </c>
      <c r="W17" s="52">
        <f t="shared" si="11"/>
        <v>0</v>
      </c>
      <c r="X17" s="52">
        <f t="shared" si="11"/>
        <v>0</v>
      </c>
      <c r="Y17" s="52">
        <f t="shared" si="11"/>
        <v>0</v>
      </c>
      <c r="Z17" s="52">
        <f t="shared" si="11"/>
        <v>0</v>
      </c>
      <c r="AA17" s="52">
        <f t="shared" si="11"/>
        <v>0</v>
      </c>
      <c r="AB17" s="52">
        <f t="shared" si="11"/>
        <v>0</v>
      </c>
      <c r="AC17" s="52">
        <f t="shared" si="11"/>
        <v>0</v>
      </c>
      <c r="AD17" s="52">
        <f t="shared" si="11"/>
        <v>0</v>
      </c>
      <c r="AE17" s="52">
        <f t="shared" si="11"/>
        <v>0</v>
      </c>
      <c r="AF17" s="52">
        <f t="shared" si="11"/>
        <v>0</v>
      </c>
      <c r="AG17" s="52">
        <f t="shared" si="11"/>
        <v>0</v>
      </c>
      <c r="AH17" s="52">
        <f t="shared" si="11"/>
        <v>0</v>
      </c>
      <c r="AI17" s="52">
        <f t="shared" si="11"/>
        <v>0</v>
      </c>
      <c r="AJ17" s="52">
        <f t="shared" si="11"/>
        <v>0</v>
      </c>
      <c r="AK17" s="52">
        <f t="shared" si="11"/>
        <v>0</v>
      </c>
      <c r="AL17" s="52">
        <f t="shared" si="11"/>
        <v>0</v>
      </c>
      <c r="AM17" s="52">
        <f>SUM(C17,I17,O17,U17,AA17)</f>
        <v>0</v>
      </c>
      <c r="AN17" s="159">
        <f>IFERROR(AG17/AM17, 0)</f>
        <v>0</v>
      </c>
      <c r="AO17" s="160">
        <f>SUM(H17,N17,T17,Z17,AF17)</f>
        <v>0</v>
      </c>
      <c r="AP17" s="160" t="s">
        <v>43</v>
      </c>
      <c r="AQ17" s="161" t="s">
        <v>45</v>
      </c>
    </row>
    <row r="18" spans="1:45" ht="15.75" customHeight="1" x14ac:dyDescent="0.25">
      <c r="A18" s="15"/>
      <c r="B18" s="162" t="s">
        <v>75</v>
      </c>
      <c r="C18" s="163"/>
      <c r="D18" s="164"/>
      <c r="E18" s="164"/>
      <c r="F18" s="164"/>
      <c r="G18" s="164"/>
      <c r="H18" s="165"/>
      <c r="I18" s="163"/>
      <c r="J18" s="164"/>
      <c r="K18" s="164"/>
      <c r="L18" s="164"/>
      <c r="M18" s="164"/>
      <c r="N18" s="165"/>
      <c r="O18" s="163"/>
      <c r="P18" s="164"/>
      <c r="Q18" s="61"/>
      <c r="R18" s="61"/>
      <c r="S18" s="61"/>
      <c r="T18" s="135"/>
      <c r="U18" s="136"/>
      <c r="V18" s="61"/>
      <c r="W18" s="61"/>
      <c r="X18" s="61"/>
      <c r="Y18" s="61"/>
      <c r="Z18" s="135"/>
      <c r="AA18" s="136"/>
      <c r="AB18" s="61"/>
      <c r="AC18" s="61"/>
      <c r="AD18" s="61"/>
      <c r="AE18" s="61"/>
      <c r="AF18" s="135"/>
      <c r="AG18" s="145"/>
      <c r="AH18" s="4"/>
      <c r="AI18" s="146"/>
      <c r="AJ18" s="146"/>
      <c r="AK18" s="166"/>
      <c r="AL18" s="167"/>
      <c r="AM18" s="94"/>
      <c r="AN18" s="168"/>
      <c r="AO18" s="169"/>
      <c r="AP18" s="169"/>
      <c r="AQ18" s="169"/>
    </row>
    <row r="19" spans="1:45" ht="15.75" customHeight="1" x14ac:dyDescent="0.25">
      <c r="A19" s="95"/>
      <c r="B19" s="170"/>
      <c r="C19" s="171"/>
      <c r="D19" s="68"/>
      <c r="E19" s="68"/>
      <c r="F19" s="68"/>
      <c r="G19" s="68"/>
      <c r="H19" s="172"/>
      <c r="I19" s="171"/>
      <c r="J19" s="68"/>
      <c r="K19" s="68"/>
      <c r="L19" s="68"/>
      <c r="M19" s="68"/>
      <c r="N19" s="172"/>
      <c r="O19" s="171"/>
      <c r="P19" s="68"/>
      <c r="Q19" s="22"/>
      <c r="R19" s="22"/>
      <c r="S19" s="22"/>
      <c r="T19" s="78"/>
      <c r="U19" s="83"/>
      <c r="V19" s="22"/>
      <c r="W19" s="22"/>
      <c r="X19" s="22"/>
      <c r="Y19" s="22"/>
      <c r="Z19" s="78"/>
      <c r="AA19" s="83"/>
      <c r="AB19" s="22"/>
      <c r="AC19" s="22"/>
      <c r="AD19" s="22"/>
      <c r="AE19" s="22"/>
      <c r="AF19" s="78"/>
      <c r="AG19" s="87">
        <f t="shared" ref="AG19:AG22" si="12">SUM(E19,K19,Q19,W19,AC19)</f>
        <v>0</v>
      </c>
      <c r="AH19" s="26"/>
      <c r="AI19" s="90"/>
      <c r="AJ19" s="90">
        <f t="shared" ref="AJ19:AJ22" si="13">AG19-AH19</f>
        <v>0</v>
      </c>
      <c r="AK19" s="173">
        <v>0</v>
      </c>
      <c r="AL19" s="92">
        <f t="shared" ref="AL19:AL23" si="14">AG19-AK19</f>
        <v>0</v>
      </c>
      <c r="AM19" s="33"/>
      <c r="AN19" s="93"/>
      <c r="AO19" s="33"/>
      <c r="AP19" s="33" t="s">
        <v>43</v>
      </c>
      <c r="AQ19" s="36" t="s">
        <v>45</v>
      </c>
    </row>
    <row r="20" spans="1:45" ht="15.75" customHeight="1" x14ac:dyDescent="0.25">
      <c r="A20" s="95"/>
      <c r="B20" s="170"/>
      <c r="C20" s="171"/>
      <c r="D20" s="68"/>
      <c r="E20" s="68"/>
      <c r="F20" s="68"/>
      <c r="G20" s="68"/>
      <c r="H20" s="172"/>
      <c r="I20" s="171"/>
      <c r="J20" s="68"/>
      <c r="K20" s="68"/>
      <c r="L20" s="68"/>
      <c r="M20" s="68"/>
      <c r="N20" s="172"/>
      <c r="O20" s="171"/>
      <c r="P20" s="68"/>
      <c r="Q20" s="22"/>
      <c r="R20" s="22"/>
      <c r="S20" s="22"/>
      <c r="T20" s="78"/>
      <c r="U20" s="83"/>
      <c r="V20" s="22"/>
      <c r="W20" s="22"/>
      <c r="X20" s="22"/>
      <c r="Y20" s="22"/>
      <c r="Z20" s="78"/>
      <c r="AA20" s="83"/>
      <c r="AB20" s="22"/>
      <c r="AC20" s="22"/>
      <c r="AD20" s="22"/>
      <c r="AE20" s="22"/>
      <c r="AF20" s="78"/>
      <c r="AG20" s="87">
        <f t="shared" si="12"/>
        <v>0</v>
      </c>
      <c r="AH20" s="26"/>
      <c r="AI20" s="90"/>
      <c r="AJ20" s="90">
        <f t="shared" si="13"/>
        <v>0</v>
      </c>
      <c r="AK20" s="173">
        <v>0</v>
      </c>
      <c r="AL20" s="92">
        <f t="shared" si="14"/>
        <v>0</v>
      </c>
      <c r="AM20" s="33"/>
      <c r="AN20" s="93"/>
      <c r="AO20" s="33"/>
      <c r="AP20" s="33" t="s">
        <v>43</v>
      </c>
      <c r="AQ20" s="36" t="s">
        <v>45</v>
      </c>
    </row>
    <row r="21" spans="1:45" ht="15.75" customHeight="1" x14ac:dyDescent="0.25">
      <c r="A21" s="95"/>
      <c r="B21" s="170"/>
      <c r="C21" s="171"/>
      <c r="D21" s="68"/>
      <c r="E21" s="68"/>
      <c r="F21" s="68"/>
      <c r="G21" s="68"/>
      <c r="H21" s="172"/>
      <c r="I21" s="171"/>
      <c r="J21" s="68"/>
      <c r="K21" s="68"/>
      <c r="L21" s="68"/>
      <c r="M21" s="68"/>
      <c r="N21" s="172"/>
      <c r="O21" s="171"/>
      <c r="P21" s="68"/>
      <c r="Q21" s="22"/>
      <c r="R21" s="22"/>
      <c r="S21" s="22"/>
      <c r="T21" s="78"/>
      <c r="U21" s="83"/>
      <c r="V21" s="22"/>
      <c r="W21" s="22"/>
      <c r="X21" s="22"/>
      <c r="Y21" s="22"/>
      <c r="Z21" s="78"/>
      <c r="AA21" s="83"/>
      <c r="AB21" s="22"/>
      <c r="AC21" s="22"/>
      <c r="AD21" s="22"/>
      <c r="AE21" s="22"/>
      <c r="AF21" s="78"/>
      <c r="AG21" s="87">
        <f t="shared" si="12"/>
        <v>0</v>
      </c>
      <c r="AH21" s="26"/>
      <c r="AI21" s="90"/>
      <c r="AJ21" s="90">
        <f t="shared" si="13"/>
        <v>0</v>
      </c>
      <c r="AK21" s="173">
        <v>0</v>
      </c>
      <c r="AL21" s="92">
        <f t="shared" si="14"/>
        <v>0</v>
      </c>
      <c r="AM21" s="33"/>
      <c r="AN21" s="93"/>
      <c r="AO21" s="33"/>
      <c r="AP21" s="33" t="s">
        <v>43</v>
      </c>
      <c r="AQ21" s="36" t="s">
        <v>45</v>
      </c>
    </row>
    <row r="22" spans="1:45" ht="15.75" customHeight="1" x14ac:dyDescent="0.25">
      <c r="A22" s="95"/>
      <c r="B22" s="174"/>
      <c r="C22" s="175"/>
      <c r="D22" s="176"/>
      <c r="E22" s="176"/>
      <c r="F22" s="176"/>
      <c r="G22" s="176"/>
      <c r="H22" s="177"/>
      <c r="I22" s="175"/>
      <c r="J22" s="176"/>
      <c r="K22" s="176"/>
      <c r="L22" s="176"/>
      <c r="M22" s="176"/>
      <c r="N22" s="177"/>
      <c r="O22" s="175"/>
      <c r="P22" s="176"/>
      <c r="Q22" s="40"/>
      <c r="R22" s="40"/>
      <c r="S22" s="40"/>
      <c r="T22" s="153"/>
      <c r="U22" s="154"/>
      <c r="V22" s="40"/>
      <c r="W22" s="40"/>
      <c r="X22" s="40"/>
      <c r="Y22" s="40"/>
      <c r="Z22" s="153"/>
      <c r="AA22" s="154"/>
      <c r="AB22" s="40"/>
      <c r="AC22" s="40"/>
      <c r="AD22" s="40"/>
      <c r="AE22" s="40"/>
      <c r="AF22" s="153"/>
      <c r="AG22" s="178">
        <f t="shared" si="12"/>
        <v>0</v>
      </c>
      <c r="AH22" s="26"/>
      <c r="AI22" s="90"/>
      <c r="AJ22" s="90">
        <f t="shared" si="13"/>
        <v>0</v>
      </c>
      <c r="AK22" s="173">
        <v>0</v>
      </c>
      <c r="AL22" s="92">
        <f t="shared" si="14"/>
        <v>0</v>
      </c>
      <c r="AM22" s="33"/>
      <c r="AN22" s="93"/>
      <c r="AO22" s="33"/>
      <c r="AP22" s="33" t="s">
        <v>43</v>
      </c>
      <c r="AQ22" s="36" t="s">
        <v>45</v>
      </c>
    </row>
    <row r="23" spans="1:45" ht="15.75" customHeight="1" x14ac:dyDescent="0.25">
      <c r="A23" s="179"/>
      <c r="B23" s="180" t="s">
        <v>61</v>
      </c>
      <c r="C23" s="181"/>
      <c r="D23" s="182">
        <f t="shared" ref="D23:E23" si="15">D13</f>
        <v>3</v>
      </c>
      <c r="E23" s="182">
        <f t="shared" si="15"/>
        <v>2</v>
      </c>
      <c r="F23" s="182"/>
      <c r="G23" s="182"/>
      <c r="H23" s="183"/>
      <c r="I23" s="181"/>
      <c r="J23" s="182">
        <f t="shared" ref="J23:K23" si="16">J13</f>
        <v>1</v>
      </c>
      <c r="K23" s="182">
        <f t="shared" si="16"/>
        <v>2</v>
      </c>
      <c r="L23" s="182"/>
      <c r="M23" s="182"/>
      <c r="N23" s="183"/>
      <c r="O23" s="181"/>
      <c r="P23" s="182">
        <f t="shared" ref="P23:Q23" si="17">P13</f>
        <v>3</v>
      </c>
      <c r="Q23" s="182">
        <f t="shared" si="17"/>
        <v>5</v>
      </c>
      <c r="R23" s="182"/>
      <c r="S23" s="182"/>
      <c r="T23" s="183"/>
      <c r="U23" s="181"/>
      <c r="V23" s="182">
        <f t="shared" ref="V23:W23" si="18">V13</f>
        <v>0</v>
      </c>
      <c r="W23" s="182">
        <f t="shared" si="18"/>
        <v>0</v>
      </c>
      <c r="X23" s="182"/>
      <c r="Y23" s="182"/>
      <c r="Z23" s="183"/>
      <c r="AA23" s="181"/>
      <c r="AB23" s="182">
        <f t="shared" ref="AB23:AC23" si="19">AB13</f>
        <v>0</v>
      </c>
      <c r="AC23" s="182">
        <f t="shared" si="19"/>
        <v>0</v>
      </c>
      <c r="AD23" s="182"/>
      <c r="AE23" s="182"/>
      <c r="AF23" s="183"/>
      <c r="AG23" s="184">
        <f t="shared" ref="AG23:AH23" si="20">AG13</f>
        <v>9</v>
      </c>
      <c r="AH23" s="145">
        <f t="shared" si="20"/>
        <v>0</v>
      </c>
      <c r="AI23" s="185"/>
      <c r="AJ23" s="146">
        <f t="shared" ref="AJ23:AK23" si="21">AJ13</f>
        <v>9</v>
      </c>
      <c r="AK23" s="186">
        <f t="shared" si="21"/>
        <v>26</v>
      </c>
      <c r="AL23" s="187">
        <f t="shared" si="14"/>
        <v>-17</v>
      </c>
      <c r="AM23" s="15"/>
      <c r="AN23" s="47"/>
      <c r="AO23" s="15"/>
      <c r="AP23" s="15"/>
      <c r="AQ23" s="188"/>
    </row>
    <row r="24" spans="1:45" ht="15.75" customHeight="1" x14ac:dyDescent="0.25">
      <c r="A24" s="33"/>
      <c r="B24" s="189" t="s">
        <v>15</v>
      </c>
      <c r="C24" s="190"/>
      <c r="D24" s="191"/>
      <c r="E24" s="191">
        <v>1</v>
      </c>
      <c r="F24" s="191"/>
      <c r="G24" s="191"/>
      <c r="H24" s="192"/>
      <c r="I24" s="190"/>
      <c r="J24" s="191">
        <v>1</v>
      </c>
      <c r="K24" s="191">
        <v>2</v>
      </c>
      <c r="L24" s="191">
        <v>4</v>
      </c>
      <c r="M24" s="191"/>
      <c r="N24" s="192"/>
      <c r="O24" s="190"/>
      <c r="P24" s="191">
        <v>1</v>
      </c>
      <c r="Q24" s="191">
        <v>2</v>
      </c>
      <c r="R24" s="191">
        <v>4</v>
      </c>
      <c r="S24" s="191"/>
      <c r="T24" s="193"/>
      <c r="U24" s="194"/>
      <c r="V24" s="191">
        <v>1</v>
      </c>
      <c r="W24" s="195">
        <v>5</v>
      </c>
      <c r="X24" s="195">
        <v>4</v>
      </c>
      <c r="Y24" s="195"/>
      <c r="Z24" s="193"/>
      <c r="AA24" s="194"/>
      <c r="AB24" s="191">
        <v>2</v>
      </c>
      <c r="AC24" s="191">
        <v>2</v>
      </c>
      <c r="AD24" s="191">
        <v>0</v>
      </c>
      <c r="AE24" s="191"/>
      <c r="AF24" s="192"/>
      <c r="AG24" s="196">
        <v>34</v>
      </c>
      <c r="AH24" s="100"/>
      <c r="AI24" s="100"/>
      <c r="AJ24" s="100"/>
      <c r="AK24" s="100"/>
      <c r="AL24" s="101"/>
      <c r="AM24" s="100"/>
      <c r="AN24" s="197"/>
      <c r="AO24" s="100"/>
      <c r="AP24" s="101"/>
      <c r="AQ24" s="6"/>
    </row>
    <row r="25" spans="1:45" ht="15.75" customHeight="1" x14ac:dyDescent="0.25">
      <c r="A25" s="100"/>
      <c r="B25" s="198" t="s">
        <v>16</v>
      </c>
      <c r="C25" s="199"/>
      <c r="D25" s="200">
        <f t="shared" ref="D25:E25" si="22">D23-D24</f>
        <v>3</v>
      </c>
      <c r="E25" s="200">
        <f t="shared" si="22"/>
        <v>1</v>
      </c>
      <c r="F25" s="200"/>
      <c r="G25" s="200"/>
      <c r="H25" s="201"/>
      <c r="I25" s="199"/>
      <c r="J25" s="200">
        <f t="shared" ref="J25:K25" si="23">J23-J24</f>
        <v>0</v>
      </c>
      <c r="K25" s="200">
        <f t="shared" si="23"/>
        <v>0</v>
      </c>
      <c r="L25" s="200"/>
      <c r="M25" s="200"/>
      <c r="N25" s="201"/>
      <c r="O25" s="199"/>
      <c r="P25" s="200">
        <f t="shared" ref="P25:Q25" si="24">P23-P24</f>
        <v>2</v>
      </c>
      <c r="Q25" s="200">
        <f t="shared" si="24"/>
        <v>3</v>
      </c>
      <c r="R25" s="200"/>
      <c r="S25" s="200"/>
      <c r="T25" s="201"/>
      <c r="U25" s="199"/>
      <c r="V25" s="200">
        <f t="shared" ref="V25:W25" si="25">V23-V24</f>
        <v>-1</v>
      </c>
      <c r="W25" s="200">
        <f t="shared" si="25"/>
        <v>-5</v>
      </c>
      <c r="X25" s="200"/>
      <c r="Y25" s="200"/>
      <c r="Z25" s="201"/>
      <c r="AA25" s="199"/>
      <c r="AB25" s="200">
        <f t="shared" ref="AB25:AC25" si="26">AB23-AB24</f>
        <v>-2</v>
      </c>
      <c r="AC25" s="200">
        <f t="shared" si="26"/>
        <v>-2</v>
      </c>
      <c r="AD25" s="200"/>
      <c r="AE25" s="200"/>
      <c r="AF25" s="201"/>
      <c r="AG25" s="204">
        <f>AG23-AG24</f>
        <v>-25</v>
      </c>
      <c r="AH25" s="100"/>
      <c r="AI25" s="100"/>
      <c r="AJ25" s="100"/>
      <c r="AK25" s="6"/>
      <c r="AL25" s="100"/>
      <c r="AM25" s="100"/>
      <c r="AN25" s="197"/>
      <c r="AO25" s="100"/>
      <c r="AP25" s="100"/>
      <c r="AQ25" s="6"/>
      <c r="AS25" s="6"/>
    </row>
    <row r="26" spans="1:45" ht="15.75" customHeight="1" x14ac:dyDescent="0.25"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205"/>
      <c r="P26" s="206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M26" s="100"/>
      <c r="AN26" s="197"/>
      <c r="AO26" s="100"/>
    </row>
    <row r="27" spans="1:45" ht="15.75" customHeight="1" x14ac:dyDescent="0.25"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205"/>
      <c r="P27" s="206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M27" s="100"/>
      <c r="AN27" s="197"/>
      <c r="AO27" s="100"/>
    </row>
    <row r="28" spans="1:45" ht="15.75" customHeight="1" x14ac:dyDescent="0.25"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205"/>
      <c r="P28" s="206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M28" s="100"/>
      <c r="AN28" s="197"/>
      <c r="AO28" s="100"/>
    </row>
    <row r="29" spans="1:45" ht="15.75" customHeight="1" x14ac:dyDescent="0.25"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205"/>
      <c r="P29" s="206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M29" s="100"/>
      <c r="AN29" s="197"/>
      <c r="AO29" s="100"/>
    </row>
    <row r="30" spans="1:45" ht="15.75" customHeight="1" x14ac:dyDescent="0.25"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205"/>
      <c r="P30" s="206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M30" s="100"/>
      <c r="AN30" s="197"/>
      <c r="AO30" s="100"/>
    </row>
    <row r="31" spans="1:45" ht="15.75" customHeight="1" x14ac:dyDescent="0.25"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205"/>
      <c r="P31" s="206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M31" s="100"/>
      <c r="AN31" s="197"/>
      <c r="AO31" s="100"/>
    </row>
    <row r="32" spans="1:45" ht="15.75" customHeight="1" x14ac:dyDescent="0.25"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205"/>
      <c r="P32" s="206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M32" s="100"/>
      <c r="AN32" s="197"/>
      <c r="AO32" s="100"/>
    </row>
    <row r="33" spans="3:41" ht="15.75" customHeight="1" x14ac:dyDescent="0.25"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205"/>
      <c r="P33" s="206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M33" s="100"/>
      <c r="AN33" s="197"/>
      <c r="AO33" s="100"/>
    </row>
    <row r="34" spans="3:41" ht="15.75" customHeight="1" x14ac:dyDescent="0.25"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205"/>
      <c r="P34" s="206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M34" s="100"/>
      <c r="AN34" s="197"/>
      <c r="AO34" s="100"/>
    </row>
    <row r="35" spans="3:41" ht="15.75" customHeight="1" x14ac:dyDescent="0.25"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205"/>
      <c r="P35" s="206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M35" s="100"/>
      <c r="AN35" s="197"/>
      <c r="AO35" s="100"/>
    </row>
    <row r="36" spans="3:41" ht="15.75" customHeight="1" x14ac:dyDescent="0.25"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205"/>
      <c r="P36" s="206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M36" s="100"/>
      <c r="AN36" s="197"/>
      <c r="AO36" s="100"/>
    </row>
    <row r="37" spans="3:41" ht="15.75" customHeight="1" x14ac:dyDescent="0.25"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205"/>
      <c r="P37" s="206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M37" s="100"/>
      <c r="AN37" s="197"/>
      <c r="AO37" s="100"/>
    </row>
    <row r="38" spans="3:41" ht="15.75" customHeight="1" x14ac:dyDescent="0.25"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205"/>
      <c r="P38" s="206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M38" s="100"/>
      <c r="AN38" s="197"/>
      <c r="AO38" s="100"/>
    </row>
    <row r="39" spans="3:41" ht="15.75" customHeight="1" x14ac:dyDescent="0.25"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205"/>
      <c r="P39" s="206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M39" s="100"/>
      <c r="AN39" s="197"/>
      <c r="AO39" s="100"/>
    </row>
    <row r="40" spans="3:41" ht="15.75" customHeight="1" x14ac:dyDescent="0.25"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205"/>
      <c r="P40" s="206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M40" s="100"/>
      <c r="AN40" s="197"/>
      <c r="AO40" s="100"/>
    </row>
    <row r="41" spans="3:41" ht="15.75" customHeight="1" x14ac:dyDescent="0.25"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205"/>
      <c r="P41" s="206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M41" s="100"/>
      <c r="AN41" s="197"/>
      <c r="AO41" s="100"/>
    </row>
    <row r="42" spans="3:41" ht="15.75" customHeight="1" x14ac:dyDescent="0.25"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205"/>
      <c r="P42" s="206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M42" s="100"/>
      <c r="AN42" s="197"/>
      <c r="AO42" s="100"/>
    </row>
    <row r="43" spans="3:41" ht="15.75" customHeight="1" x14ac:dyDescent="0.25"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205"/>
      <c r="P43" s="206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M43" s="100"/>
      <c r="AN43" s="197"/>
      <c r="AO43" s="100"/>
    </row>
    <row r="44" spans="3:41" ht="15.75" customHeight="1" x14ac:dyDescent="0.25"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205"/>
      <c r="P44" s="206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M44" s="100"/>
      <c r="AN44" s="197"/>
      <c r="AO44" s="100"/>
    </row>
    <row r="45" spans="3:41" ht="15.75" customHeight="1" x14ac:dyDescent="0.25"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205"/>
      <c r="P45" s="206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M45" s="100"/>
      <c r="AN45" s="197"/>
      <c r="AO45" s="100"/>
    </row>
    <row r="46" spans="3:41" ht="15.75" customHeight="1" x14ac:dyDescent="0.25"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205"/>
      <c r="P46" s="206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M46" s="100"/>
      <c r="AN46" s="197"/>
      <c r="AO46" s="100"/>
    </row>
    <row r="47" spans="3:41" ht="15.75" customHeight="1" x14ac:dyDescent="0.25"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205"/>
      <c r="P47" s="206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M47" s="100"/>
      <c r="AN47" s="197"/>
      <c r="AO47" s="100"/>
    </row>
    <row r="48" spans="3:41" ht="15.75" customHeight="1" x14ac:dyDescent="0.25"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205"/>
      <c r="P48" s="206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M48" s="100"/>
      <c r="AN48" s="197"/>
      <c r="AO48" s="100"/>
    </row>
    <row r="49" spans="3:41" ht="15.75" customHeight="1" x14ac:dyDescent="0.25"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205"/>
      <c r="P49" s="206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M49" s="100"/>
      <c r="AN49" s="197"/>
      <c r="AO49" s="100"/>
    </row>
    <row r="50" spans="3:41" ht="15.75" customHeight="1" x14ac:dyDescent="0.25"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205"/>
      <c r="P50" s="206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M50" s="100"/>
      <c r="AN50" s="197"/>
      <c r="AO50" s="100"/>
    </row>
    <row r="51" spans="3:41" ht="15.75" customHeight="1" x14ac:dyDescent="0.25"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205"/>
      <c r="P51" s="206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M51" s="100"/>
      <c r="AN51" s="197"/>
      <c r="AO51" s="100"/>
    </row>
    <row r="52" spans="3:41" ht="15.75" customHeight="1" x14ac:dyDescent="0.25"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205"/>
      <c r="P52" s="206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M52" s="100"/>
      <c r="AN52" s="197"/>
      <c r="AO52" s="100"/>
    </row>
    <row r="53" spans="3:41" ht="15.75" customHeight="1" x14ac:dyDescent="0.25"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205"/>
      <c r="P53" s="206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M53" s="100"/>
      <c r="AN53" s="197"/>
      <c r="AO53" s="100"/>
    </row>
    <row r="54" spans="3:41" ht="15.75" customHeight="1" x14ac:dyDescent="0.25"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205"/>
      <c r="P54" s="206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M54" s="100"/>
      <c r="AN54" s="197"/>
      <c r="AO54" s="100"/>
    </row>
    <row r="55" spans="3:41" ht="15.75" customHeight="1" x14ac:dyDescent="0.25"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205"/>
      <c r="P55" s="206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M55" s="100"/>
      <c r="AN55" s="197"/>
      <c r="AO55" s="100"/>
    </row>
    <row r="56" spans="3:41" ht="15.75" customHeight="1" x14ac:dyDescent="0.25"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205"/>
      <c r="P56" s="206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M56" s="100"/>
      <c r="AN56" s="197"/>
      <c r="AO56" s="100"/>
    </row>
    <row r="57" spans="3:41" ht="15.75" customHeight="1" x14ac:dyDescent="0.25"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205"/>
      <c r="P57" s="206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M57" s="100"/>
      <c r="AN57" s="197"/>
      <c r="AO57" s="100"/>
    </row>
    <row r="58" spans="3:41" ht="15.75" customHeight="1" x14ac:dyDescent="0.25"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205"/>
      <c r="P58" s="206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M58" s="100"/>
      <c r="AN58" s="197"/>
      <c r="AO58" s="100"/>
    </row>
    <row r="59" spans="3:41" ht="15.75" customHeight="1" x14ac:dyDescent="0.25"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205"/>
      <c r="P59" s="206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M59" s="100"/>
      <c r="AN59" s="197"/>
      <c r="AO59" s="100"/>
    </row>
    <row r="60" spans="3:41" ht="15.75" customHeight="1" x14ac:dyDescent="0.25"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205"/>
      <c r="P60" s="206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M60" s="100"/>
      <c r="AN60" s="197"/>
      <c r="AO60" s="100"/>
    </row>
    <row r="61" spans="3:41" ht="15.75" customHeight="1" x14ac:dyDescent="0.25"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205"/>
      <c r="P61" s="206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M61" s="100"/>
      <c r="AN61" s="197"/>
      <c r="AO61" s="100"/>
    </row>
    <row r="62" spans="3:41" ht="15.75" customHeight="1" x14ac:dyDescent="0.25"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205"/>
      <c r="P62" s="206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M62" s="100"/>
      <c r="AN62" s="197"/>
      <c r="AO62" s="100"/>
    </row>
    <row r="63" spans="3:41" ht="15.75" customHeight="1" x14ac:dyDescent="0.25"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205"/>
      <c r="P63" s="206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M63" s="100"/>
      <c r="AN63" s="197"/>
      <c r="AO63" s="100"/>
    </row>
    <row r="64" spans="3:41" ht="15.75" customHeight="1" x14ac:dyDescent="0.25"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205"/>
      <c r="P64" s="206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M64" s="100"/>
      <c r="AN64" s="197"/>
      <c r="AO64" s="100"/>
    </row>
    <row r="65" spans="3:41" ht="15.75" customHeight="1" x14ac:dyDescent="0.25"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205"/>
      <c r="P65" s="206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M65" s="100"/>
      <c r="AN65" s="197"/>
      <c r="AO65" s="100"/>
    </row>
    <row r="66" spans="3:41" ht="15.75" customHeight="1" x14ac:dyDescent="0.25"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205"/>
      <c r="P66" s="206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M66" s="100"/>
      <c r="AN66" s="197"/>
      <c r="AO66" s="100"/>
    </row>
    <row r="67" spans="3:41" ht="15.75" customHeight="1" x14ac:dyDescent="0.25"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205"/>
      <c r="P67" s="206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M67" s="100"/>
      <c r="AN67" s="197"/>
      <c r="AO67" s="100"/>
    </row>
    <row r="68" spans="3:41" ht="15.75" customHeight="1" x14ac:dyDescent="0.25"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205"/>
      <c r="P68" s="206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M68" s="100"/>
      <c r="AN68" s="197"/>
      <c r="AO68" s="100"/>
    </row>
    <row r="69" spans="3:41" ht="15.75" customHeight="1" x14ac:dyDescent="0.25"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205"/>
      <c r="P69" s="206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M69" s="100"/>
      <c r="AN69" s="197"/>
      <c r="AO69" s="100"/>
    </row>
    <row r="70" spans="3:41" ht="15.75" customHeight="1" x14ac:dyDescent="0.25"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205"/>
      <c r="P70" s="206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M70" s="100"/>
      <c r="AN70" s="197"/>
      <c r="AO70" s="100"/>
    </row>
    <row r="71" spans="3:41" ht="15.75" customHeight="1" x14ac:dyDescent="0.25"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205"/>
      <c r="P71" s="206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M71" s="100"/>
      <c r="AN71" s="197"/>
      <c r="AO71" s="100"/>
    </row>
    <row r="72" spans="3:41" ht="15.75" customHeight="1" x14ac:dyDescent="0.25"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205"/>
      <c r="P72" s="206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M72" s="100"/>
      <c r="AN72" s="197"/>
      <c r="AO72" s="100"/>
    </row>
    <row r="73" spans="3:41" ht="15.75" customHeight="1" x14ac:dyDescent="0.25"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205"/>
      <c r="P73" s="206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M73" s="100"/>
      <c r="AN73" s="197"/>
      <c r="AO73" s="100"/>
    </row>
    <row r="74" spans="3:41" ht="15.75" customHeight="1" x14ac:dyDescent="0.25"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205"/>
      <c r="P74" s="206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M74" s="100"/>
      <c r="AN74" s="197"/>
      <c r="AO74" s="100"/>
    </row>
    <row r="75" spans="3:41" ht="15.75" customHeight="1" x14ac:dyDescent="0.25"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205"/>
      <c r="P75" s="206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M75" s="100"/>
      <c r="AN75" s="197"/>
      <c r="AO75" s="100"/>
    </row>
    <row r="76" spans="3:41" ht="15.75" customHeight="1" x14ac:dyDescent="0.25"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205"/>
      <c r="P76" s="206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M76" s="100"/>
      <c r="AN76" s="197"/>
      <c r="AO76" s="100"/>
    </row>
    <row r="77" spans="3:41" ht="15.75" customHeight="1" x14ac:dyDescent="0.25"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205"/>
      <c r="P77" s="206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M77" s="100"/>
      <c r="AN77" s="197"/>
      <c r="AO77" s="100"/>
    </row>
    <row r="78" spans="3:41" ht="15.75" customHeight="1" x14ac:dyDescent="0.25"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205"/>
      <c r="P78" s="206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M78" s="100"/>
      <c r="AN78" s="197"/>
      <c r="AO78" s="100"/>
    </row>
    <row r="79" spans="3:41" ht="15.75" customHeight="1" x14ac:dyDescent="0.25"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205"/>
      <c r="P79" s="206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M79" s="100"/>
      <c r="AN79" s="197"/>
      <c r="AO79" s="100"/>
    </row>
    <row r="80" spans="3:41" ht="15.75" customHeight="1" x14ac:dyDescent="0.25"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205"/>
      <c r="P80" s="206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M80" s="100"/>
      <c r="AN80" s="197"/>
      <c r="AO80" s="100"/>
    </row>
    <row r="81" spans="3:41" ht="15.75" customHeight="1" x14ac:dyDescent="0.25"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205"/>
      <c r="P81" s="206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M81" s="100"/>
      <c r="AN81" s="197"/>
      <c r="AO81" s="100"/>
    </row>
    <row r="82" spans="3:41" ht="15.75" customHeight="1" x14ac:dyDescent="0.25"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205"/>
      <c r="P82" s="206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M82" s="100"/>
      <c r="AN82" s="197"/>
      <c r="AO82" s="100"/>
    </row>
    <row r="83" spans="3:41" ht="15.75" customHeight="1" x14ac:dyDescent="0.25"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205"/>
      <c r="P83" s="206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M83" s="100"/>
      <c r="AN83" s="197"/>
      <c r="AO83" s="100"/>
    </row>
    <row r="84" spans="3:41" ht="15.75" customHeight="1" x14ac:dyDescent="0.25"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205"/>
      <c r="P84" s="206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M84" s="100"/>
      <c r="AN84" s="197"/>
      <c r="AO84" s="100"/>
    </row>
    <row r="85" spans="3:41" ht="15.75" customHeight="1" x14ac:dyDescent="0.25"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205"/>
      <c r="P85" s="206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M85" s="100"/>
      <c r="AN85" s="197"/>
      <c r="AO85" s="100"/>
    </row>
    <row r="86" spans="3:41" ht="15.75" customHeight="1" x14ac:dyDescent="0.25"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205"/>
      <c r="P86" s="206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M86" s="100"/>
      <c r="AN86" s="197"/>
      <c r="AO86" s="100"/>
    </row>
    <row r="87" spans="3:41" ht="15.75" customHeight="1" x14ac:dyDescent="0.25"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205"/>
      <c r="P87" s="206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M87" s="100"/>
      <c r="AN87" s="197"/>
      <c r="AO87" s="100"/>
    </row>
    <row r="88" spans="3:41" ht="15.75" customHeight="1" x14ac:dyDescent="0.25"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205"/>
      <c r="P88" s="206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M88" s="100"/>
      <c r="AN88" s="197"/>
      <c r="AO88" s="100"/>
    </row>
    <row r="89" spans="3:41" ht="15.75" customHeight="1" x14ac:dyDescent="0.25"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205"/>
      <c r="P89" s="206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M89" s="100"/>
      <c r="AN89" s="197"/>
      <c r="AO89" s="100"/>
    </row>
    <row r="90" spans="3:41" ht="15.75" customHeight="1" x14ac:dyDescent="0.25"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205"/>
      <c r="P90" s="206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M90" s="100"/>
      <c r="AN90" s="197"/>
      <c r="AO90" s="100"/>
    </row>
    <row r="91" spans="3:41" ht="15.75" customHeight="1" x14ac:dyDescent="0.25"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205"/>
      <c r="P91" s="206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M91" s="100"/>
      <c r="AN91" s="197"/>
      <c r="AO91" s="100"/>
    </row>
    <row r="92" spans="3:41" ht="15.75" customHeight="1" x14ac:dyDescent="0.25"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205"/>
      <c r="P92" s="206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M92" s="100"/>
      <c r="AN92" s="197"/>
      <c r="AO92" s="100"/>
    </row>
    <row r="93" spans="3:41" ht="15.75" customHeight="1" x14ac:dyDescent="0.25"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205"/>
      <c r="P93" s="206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M93" s="100"/>
      <c r="AN93" s="197"/>
      <c r="AO93" s="100"/>
    </row>
    <row r="94" spans="3:41" ht="15.75" customHeight="1" x14ac:dyDescent="0.25"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205"/>
      <c r="P94" s="206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M94" s="100"/>
      <c r="AN94" s="197"/>
      <c r="AO94" s="100"/>
    </row>
    <row r="95" spans="3:41" ht="15.75" customHeight="1" x14ac:dyDescent="0.25"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205"/>
      <c r="P95" s="206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M95" s="100"/>
      <c r="AN95" s="197"/>
      <c r="AO95" s="100"/>
    </row>
    <row r="96" spans="3:41" ht="15.75" customHeight="1" x14ac:dyDescent="0.25"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205"/>
      <c r="P96" s="206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M96" s="100"/>
      <c r="AN96" s="197"/>
      <c r="AO96" s="100"/>
    </row>
    <row r="97" spans="3:41" ht="15.75" customHeight="1" x14ac:dyDescent="0.25"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205"/>
      <c r="P97" s="206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M97" s="100"/>
      <c r="AN97" s="197"/>
      <c r="AO97" s="100"/>
    </row>
    <row r="98" spans="3:41" ht="15.75" customHeight="1" x14ac:dyDescent="0.25"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205"/>
      <c r="P98" s="206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M98" s="100"/>
      <c r="AN98" s="197"/>
      <c r="AO98" s="100"/>
    </row>
    <row r="99" spans="3:41" ht="15.75" customHeight="1" x14ac:dyDescent="0.25"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205"/>
      <c r="P99" s="206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M99" s="100"/>
      <c r="AN99" s="197"/>
      <c r="AO99" s="100"/>
    </row>
    <row r="100" spans="3:41" ht="15.75" customHeight="1" x14ac:dyDescent="0.25"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205"/>
      <c r="P100" s="206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M100" s="100"/>
      <c r="AN100" s="197"/>
      <c r="AO100" s="100"/>
    </row>
    <row r="101" spans="3:41" ht="15.75" customHeight="1" x14ac:dyDescent="0.25"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205"/>
      <c r="P101" s="206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M101" s="100"/>
      <c r="AN101" s="197"/>
      <c r="AO101" s="100"/>
    </row>
    <row r="102" spans="3:41" ht="15.75" customHeight="1" x14ac:dyDescent="0.25"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205"/>
      <c r="P102" s="206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M102" s="100"/>
      <c r="AN102" s="197"/>
      <c r="AO102" s="100"/>
    </row>
    <row r="103" spans="3:41" ht="15.75" customHeight="1" x14ac:dyDescent="0.25"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205"/>
      <c r="P103" s="206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M103" s="100"/>
      <c r="AN103" s="197"/>
      <c r="AO103" s="100"/>
    </row>
    <row r="104" spans="3:41" ht="15.75" customHeight="1" x14ac:dyDescent="0.25"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205"/>
      <c r="P104" s="206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M104" s="100"/>
      <c r="AN104" s="197"/>
      <c r="AO104" s="100"/>
    </row>
    <row r="105" spans="3:41" ht="15.75" customHeight="1" x14ac:dyDescent="0.25"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205"/>
      <c r="P105" s="206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M105" s="100"/>
      <c r="AN105" s="197"/>
      <c r="AO105" s="100"/>
    </row>
    <row r="106" spans="3:41" ht="15.75" customHeight="1" x14ac:dyDescent="0.25"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205"/>
      <c r="P106" s="206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M106" s="100"/>
      <c r="AN106" s="197"/>
      <c r="AO106" s="100"/>
    </row>
    <row r="107" spans="3:41" ht="15.75" customHeight="1" x14ac:dyDescent="0.25"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205"/>
      <c r="P107" s="206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M107" s="100"/>
      <c r="AN107" s="197"/>
      <c r="AO107" s="100"/>
    </row>
    <row r="108" spans="3:41" ht="15.75" customHeight="1" x14ac:dyDescent="0.25"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205"/>
      <c r="P108" s="206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M108" s="100"/>
      <c r="AN108" s="197"/>
      <c r="AO108" s="100"/>
    </row>
    <row r="109" spans="3:41" ht="15.75" customHeight="1" x14ac:dyDescent="0.25"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205"/>
      <c r="P109" s="206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M109" s="100"/>
      <c r="AN109" s="197"/>
      <c r="AO109" s="100"/>
    </row>
    <row r="110" spans="3:41" ht="15.75" customHeight="1" x14ac:dyDescent="0.25"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205"/>
      <c r="P110" s="206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M110" s="100"/>
      <c r="AN110" s="197"/>
      <c r="AO110" s="100"/>
    </row>
    <row r="111" spans="3:41" ht="15.75" customHeight="1" x14ac:dyDescent="0.25"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205"/>
      <c r="P111" s="206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M111" s="100"/>
      <c r="AN111" s="197"/>
      <c r="AO111" s="100"/>
    </row>
    <row r="112" spans="3:41" ht="15.75" customHeight="1" x14ac:dyDescent="0.25"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205"/>
      <c r="P112" s="206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M112" s="100"/>
      <c r="AN112" s="197"/>
      <c r="AO112" s="100"/>
    </row>
    <row r="113" spans="3:41" ht="15.75" customHeight="1" x14ac:dyDescent="0.25"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205"/>
      <c r="P113" s="206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M113" s="100"/>
      <c r="AN113" s="197"/>
      <c r="AO113" s="100"/>
    </row>
    <row r="114" spans="3:41" ht="15.75" customHeight="1" x14ac:dyDescent="0.25"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205"/>
      <c r="P114" s="206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M114" s="100"/>
      <c r="AN114" s="197"/>
      <c r="AO114" s="100"/>
    </row>
    <row r="115" spans="3:41" ht="15.75" customHeight="1" x14ac:dyDescent="0.25"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205"/>
      <c r="P115" s="206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M115" s="100"/>
      <c r="AN115" s="197"/>
      <c r="AO115" s="100"/>
    </row>
    <row r="116" spans="3:41" ht="15.75" customHeight="1" x14ac:dyDescent="0.25"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205"/>
      <c r="P116" s="206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M116" s="100"/>
      <c r="AN116" s="197"/>
      <c r="AO116" s="100"/>
    </row>
    <row r="117" spans="3:41" ht="15.75" customHeight="1" x14ac:dyDescent="0.25"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205"/>
      <c r="P117" s="206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M117" s="100"/>
      <c r="AN117" s="197"/>
      <c r="AO117" s="100"/>
    </row>
    <row r="118" spans="3:41" ht="15.75" customHeight="1" x14ac:dyDescent="0.25"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205"/>
      <c r="P118" s="206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M118" s="100"/>
      <c r="AN118" s="197"/>
      <c r="AO118" s="100"/>
    </row>
    <row r="119" spans="3:41" ht="15.75" customHeight="1" x14ac:dyDescent="0.25"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205"/>
      <c r="P119" s="206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M119" s="100"/>
      <c r="AN119" s="197"/>
      <c r="AO119" s="100"/>
    </row>
    <row r="120" spans="3:41" ht="15.75" customHeight="1" x14ac:dyDescent="0.25"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205"/>
      <c r="P120" s="206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M120" s="100"/>
      <c r="AN120" s="197"/>
      <c r="AO120" s="100"/>
    </row>
    <row r="121" spans="3:41" ht="15.75" customHeight="1" x14ac:dyDescent="0.25"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205"/>
      <c r="P121" s="206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M121" s="100"/>
      <c r="AN121" s="197"/>
      <c r="AO121" s="100"/>
    </row>
    <row r="122" spans="3:41" ht="15.75" customHeight="1" x14ac:dyDescent="0.25"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205"/>
      <c r="P122" s="206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M122" s="100"/>
      <c r="AN122" s="197"/>
      <c r="AO122" s="100"/>
    </row>
    <row r="123" spans="3:41" ht="15.75" customHeight="1" x14ac:dyDescent="0.25"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205"/>
      <c r="P123" s="206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M123" s="100"/>
      <c r="AN123" s="197"/>
      <c r="AO123" s="100"/>
    </row>
    <row r="124" spans="3:41" ht="15.75" customHeight="1" x14ac:dyDescent="0.25"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205"/>
      <c r="P124" s="206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M124" s="100"/>
      <c r="AN124" s="197"/>
      <c r="AO124" s="100"/>
    </row>
    <row r="125" spans="3:41" ht="15.75" customHeight="1" x14ac:dyDescent="0.25"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205"/>
      <c r="P125" s="206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M125" s="100"/>
      <c r="AN125" s="197"/>
      <c r="AO125" s="100"/>
    </row>
    <row r="126" spans="3:41" ht="15.75" customHeight="1" x14ac:dyDescent="0.25"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205"/>
      <c r="P126" s="206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M126" s="100"/>
      <c r="AN126" s="197"/>
      <c r="AO126" s="100"/>
    </row>
    <row r="127" spans="3:41" ht="15.75" customHeight="1" x14ac:dyDescent="0.25"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205"/>
      <c r="P127" s="206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M127" s="100"/>
      <c r="AN127" s="197"/>
      <c r="AO127" s="100"/>
    </row>
    <row r="128" spans="3:41" ht="15.75" customHeight="1" x14ac:dyDescent="0.25"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205"/>
      <c r="P128" s="206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M128" s="100"/>
      <c r="AN128" s="197"/>
      <c r="AO128" s="100"/>
    </row>
    <row r="129" spans="3:41" ht="15.75" customHeight="1" x14ac:dyDescent="0.25"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205"/>
      <c r="P129" s="206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M129" s="100"/>
      <c r="AN129" s="197"/>
      <c r="AO129" s="100"/>
    </row>
    <row r="130" spans="3:41" ht="15.75" customHeight="1" x14ac:dyDescent="0.25"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205"/>
      <c r="P130" s="206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M130" s="100"/>
      <c r="AN130" s="197"/>
      <c r="AO130" s="100"/>
    </row>
    <row r="131" spans="3:41" ht="15.75" customHeight="1" x14ac:dyDescent="0.25"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205"/>
      <c r="P131" s="206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M131" s="100"/>
      <c r="AN131" s="197"/>
      <c r="AO131" s="100"/>
    </row>
    <row r="132" spans="3:41" ht="15.75" customHeight="1" x14ac:dyDescent="0.25"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205"/>
      <c r="P132" s="206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M132" s="100"/>
      <c r="AN132" s="197"/>
      <c r="AO132" s="100"/>
    </row>
    <row r="133" spans="3:41" ht="15.75" customHeight="1" x14ac:dyDescent="0.25"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205"/>
      <c r="P133" s="206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M133" s="100"/>
      <c r="AN133" s="197"/>
      <c r="AO133" s="100"/>
    </row>
    <row r="134" spans="3:41" ht="15.75" customHeight="1" x14ac:dyDescent="0.25"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205"/>
      <c r="P134" s="206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M134" s="100"/>
      <c r="AN134" s="197"/>
      <c r="AO134" s="100"/>
    </row>
    <row r="135" spans="3:41" ht="15.75" customHeight="1" x14ac:dyDescent="0.25"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205"/>
      <c r="P135" s="206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M135" s="100"/>
      <c r="AN135" s="197"/>
      <c r="AO135" s="100"/>
    </row>
    <row r="136" spans="3:41" ht="15.75" customHeight="1" x14ac:dyDescent="0.25"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205"/>
      <c r="P136" s="206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M136" s="100"/>
      <c r="AN136" s="197"/>
      <c r="AO136" s="100"/>
    </row>
    <row r="137" spans="3:41" ht="15.75" customHeight="1" x14ac:dyDescent="0.25"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205"/>
      <c r="P137" s="206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M137" s="100"/>
      <c r="AN137" s="197"/>
      <c r="AO137" s="100"/>
    </row>
    <row r="138" spans="3:41" ht="15.75" customHeight="1" x14ac:dyDescent="0.25"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205"/>
      <c r="P138" s="206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M138" s="100"/>
      <c r="AN138" s="197"/>
      <c r="AO138" s="100"/>
    </row>
    <row r="139" spans="3:41" ht="15.75" customHeight="1" x14ac:dyDescent="0.25"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205"/>
      <c r="P139" s="206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M139" s="100"/>
      <c r="AN139" s="197"/>
      <c r="AO139" s="100"/>
    </row>
    <row r="140" spans="3:41" ht="15.75" customHeight="1" x14ac:dyDescent="0.25"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205"/>
      <c r="P140" s="206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M140" s="100"/>
      <c r="AN140" s="197"/>
      <c r="AO140" s="100"/>
    </row>
    <row r="141" spans="3:41" ht="15.75" customHeight="1" x14ac:dyDescent="0.25"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205"/>
      <c r="P141" s="206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M141" s="100"/>
      <c r="AN141" s="197"/>
      <c r="AO141" s="100"/>
    </row>
    <row r="142" spans="3:41" ht="15.75" customHeight="1" x14ac:dyDescent="0.25"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205"/>
      <c r="P142" s="206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M142" s="100"/>
      <c r="AN142" s="197"/>
      <c r="AO142" s="100"/>
    </row>
    <row r="143" spans="3:41" ht="15.75" customHeight="1" x14ac:dyDescent="0.25"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205"/>
      <c r="P143" s="206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M143" s="100"/>
      <c r="AN143" s="197"/>
      <c r="AO143" s="100"/>
    </row>
    <row r="144" spans="3:41" ht="15.75" customHeight="1" x14ac:dyDescent="0.25"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205"/>
      <c r="P144" s="206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M144" s="100"/>
      <c r="AN144" s="197"/>
      <c r="AO144" s="100"/>
    </row>
    <row r="145" spans="3:41" ht="15.75" customHeight="1" x14ac:dyDescent="0.25"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205"/>
      <c r="P145" s="206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M145" s="100"/>
      <c r="AN145" s="197"/>
      <c r="AO145" s="100"/>
    </row>
    <row r="146" spans="3:41" ht="15.75" customHeight="1" x14ac:dyDescent="0.25"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205"/>
      <c r="P146" s="206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M146" s="100"/>
      <c r="AN146" s="197"/>
      <c r="AO146" s="100"/>
    </row>
    <row r="147" spans="3:41" ht="15.75" customHeight="1" x14ac:dyDescent="0.25"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205"/>
      <c r="P147" s="206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M147" s="100"/>
      <c r="AN147" s="197"/>
      <c r="AO147" s="100"/>
    </row>
    <row r="148" spans="3:41" ht="15.75" customHeight="1" x14ac:dyDescent="0.25"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205"/>
      <c r="P148" s="206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M148" s="100"/>
      <c r="AN148" s="197"/>
      <c r="AO148" s="100"/>
    </row>
    <row r="149" spans="3:41" ht="15.75" customHeight="1" x14ac:dyDescent="0.25"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205"/>
      <c r="P149" s="206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M149" s="100"/>
      <c r="AN149" s="197"/>
      <c r="AO149" s="100"/>
    </row>
    <row r="150" spans="3:41" ht="15.75" customHeight="1" x14ac:dyDescent="0.25"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205"/>
      <c r="P150" s="206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M150" s="100"/>
      <c r="AN150" s="197"/>
      <c r="AO150" s="100"/>
    </row>
    <row r="151" spans="3:41" ht="15.75" customHeight="1" x14ac:dyDescent="0.25"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205"/>
      <c r="P151" s="206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M151" s="100"/>
      <c r="AN151" s="197"/>
      <c r="AO151" s="100"/>
    </row>
    <row r="152" spans="3:41" ht="15.75" customHeight="1" x14ac:dyDescent="0.25"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205"/>
      <c r="P152" s="206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M152" s="100"/>
      <c r="AN152" s="197"/>
      <c r="AO152" s="100"/>
    </row>
    <row r="153" spans="3:41" ht="15.75" customHeight="1" x14ac:dyDescent="0.25"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205"/>
      <c r="P153" s="206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M153" s="100"/>
      <c r="AN153" s="197"/>
      <c r="AO153" s="100"/>
    </row>
    <row r="154" spans="3:41" ht="15.75" customHeight="1" x14ac:dyDescent="0.25"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205"/>
      <c r="P154" s="206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M154" s="100"/>
      <c r="AN154" s="197"/>
      <c r="AO154" s="100"/>
    </row>
    <row r="155" spans="3:41" ht="15.75" customHeight="1" x14ac:dyDescent="0.25"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205"/>
      <c r="P155" s="206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M155" s="100"/>
      <c r="AN155" s="197"/>
      <c r="AO155" s="100"/>
    </row>
    <row r="156" spans="3:41" ht="15.75" customHeight="1" x14ac:dyDescent="0.25"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205"/>
      <c r="P156" s="206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M156" s="100"/>
      <c r="AN156" s="197"/>
      <c r="AO156" s="100"/>
    </row>
    <row r="157" spans="3:41" ht="15.75" customHeight="1" x14ac:dyDescent="0.25"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205"/>
      <c r="P157" s="206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M157" s="100"/>
      <c r="AN157" s="197"/>
      <c r="AO157" s="100"/>
    </row>
    <row r="158" spans="3:41" ht="15.75" customHeight="1" x14ac:dyDescent="0.25"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205"/>
      <c r="P158" s="206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M158" s="100"/>
      <c r="AN158" s="197"/>
      <c r="AO158" s="100"/>
    </row>
    <row r="159" spans="3:41" ht="15.75" customHeight="1" x14ac:dyDescent="0.25"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205"/>
      <c r="P159" s="206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M159" s="100"/>
      <c r="AN159" s="197"/>
      <c r="AO159" s="100"/>
    </row>
    <row r="160" spans="3:41" ht="15.75" customHeight="1" x14ac:dyDescent="0.25"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205"/>
      <c r="P160" s="206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M160" s="100"/>
      <c r="AN160" s="197"/>
      <c r="AO160" s="100"/>
    </row>
    <row r="161" spans="3:41" ht="15.75" customHeight="1" x14ac:dyDescent="0.25"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205"/>
      <c r="P161" s="206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M161" s="100"/>
      <c r="AN161" s="197"/>
      <c r="AO161" s="100"/>
    </row>
    <row r="162" spans="3:41" ht="15.75" customHeight="1" x14ac:dyDescent="0.25"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205"/>
      <c r="P162" s="206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M162" s="100"/>
      <c r="AN162" s="197"/>
      <c r="AO162" s="100"/>
    </row>
    <row r="163" spans="3:41" ht="15.75" customHeight="1" x14ac:dyDescent="0.25"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205"/>
      <c r="P163" s="206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M163" s="100"/>
      <c r="AN163" s="197"/>
      <c r="AO163" s="100"/>
    </row>
    <row r="164" spans="3:41" ht="15.75" customHeight="1" x14ac:dyDescent="0.25"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205"/>
      <c r="P164" s="206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M164" s="100"/>
      <c r="AN164" s="197"/>
      <c r="AO164" s="100"/>
    </row>
    <row r="165" spans="3:41" ht="15.75" customHeight="1" x14ac:dyDescent="0.25"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205"/>
      <c r="P165" s="206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M165" s="100"/>
      <c r="AN165" s="197"/>
      <c r="AO165" s="100"/>
    </row>
    <row r="166" spans="3:41" ht="15.75" customHeight="1" x14ac:dyDescent="0.25"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205"/>
      <c r="P166" s="206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M166" s="100"/>
      <c r="AN166" s="197"/>
      <c r="AO166" s="100"/>
    </row>
    <row r="167" spans="3:41" ht="15.75" customHeight="1" x14ac:dyDescent="0.25"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205"/>
      <c r="P167" s="206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M167" s="100"/>
      <c r="AN167" s="197"/>
      <c r="AO167" s="100"/>
    </row>
    <row r="168" spans="3:41" ht="15.75" customHeight="1" x14ac:dyDescent="0.25"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205"/>
      <c r="P168" s="206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M168" s="100"/>
      <c r="AN168" s="197"/>
      <c r="AO168" s="100"/>
    </row>
    <row r="169" spans="3:41" ht="15.75" customHeight="1" x14ac:dyDescent="0.25"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205"/>
      <c r="P169" s="206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M169" s="100"/>
      <c r="AN169" s="197"/>
      <c r="AO169" s="100"/>
    </row>
    <row r="170" spans="3:41" ht="15.75" customHeight="1" x14ac:dyDescent="0.25"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205"/>
      <c r="P170" s="206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M170" s="100"/>
      <c r="AN170" s="197"/>
      <c r="AO170" s="100"/>
    </row>
    <row r="171" spans="3:41" ht="15.75" customHeight="1" x14ac:dyDescent="0.25"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205"/>
      <c r="P171" s="206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M171" s="100"/>
      <c r="AN171" s="197"/>
      <c r="AO171" s="100"/>
    </row>
    <row r="172" spans="3:41" ht="15.75" customHeight="1" x14ac:dyDescent="0.25"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205"/>
      <c r="P172" s="206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M172" s="100"/>
      <c r="AN172" s="197"/>
      <c r="AO172" s="100"/>
    </row>
    <row r="173" spans="3:41" ht="15.75" customHeight="1" x14ac:dyDescent="0.25"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205"/>
      <c r="P173" s="206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M173" s="100"/>
      <c r="AN173" s="197"/>
      <c r="AO173" s="100"/>
    </row>
    <row r="174" spans="3:41" ht="15.75" customHeight="1" x14ac:dyDescent="0.25"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205"/>
      <c r="P174" s="206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M174" s="100"/>
      <c r="AN174" s="197"/>
      <c r="AO174" s="100"/>
    </row>
    <row r="175" spans="3:41" ht="15.75" customHeight="1" x14ac:dyDescent="0.25"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205"/>
      <c r="P175" s="206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M175" s="100"/>
      <c r="AN175" s="197"/>
      <c r="AO175" s="100"/>
    </row>
    <row r="176" spans="3:41" ht="15.75" customHeight="1" x14ac:dyDescent="0.25"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205"/>
      <c r="P176" s="206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M176" s="100"/>
      <c r="AN176" s="197"/>
      <c r="AO176" s="100"/>
    </row>
    <row r="177" spans="3:41" ht="15.75" customHeight="1" x14ac:dyDescent="0.25"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205"/>
      <c r="P177" s="206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M177" s="100"/>
      <c r="AN177" s="197"/>
      <c r="AO177" s="100"/>
    </row>
    <row r="178" spans="3:41" ht="15.75" customHeight="1" x14ac:dyDescent="0.25"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205"/>
      <c r="P178" s="206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M178" s="100"/>
      <c r="AN178" s="197"/>
      <c r="AO178" s="100"/>
    </row>
    <row r="179" spans="3:41" ht="15.75" customHeight="1" x14ac:dyDescent="0.25"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205"/>
      <c r="P179" s="206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M179" s="100"/>
      <c r="AN179" s="197"/>
      <c r="AO179" s="100"/>
    </row>
    <row r="180" spans="3:41" ht="15.75" customHeight="1" x14ac:dyDescent="0.25"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205"/>
      <c r="P180" s="206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M180" s="100"/>
      <c r="AN180" s="197"/>
      <c r="AO180" s="100"/>
    </row>
    <row r="181" spans="3:41" ht="15.75" customHeight="1" x14ac:dyDescent="0.25"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205"/>
      <c r="P181" s="206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M181" s="100"/>
      <c r="AN181" s="197"/>
      <c r="AO181" s="100"/>
    </row>
    <row r="182" spans="3:41" ht="15.75" customHeight="1" x14ac:dyDescent="0.25"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205"/>
      <c r="P182" s="206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M182" s="100"/>
      <c r="AN182" s="197"/>
      <c r="AO182" s="100"/>
    </row>
    <row r="183" spans="3:41" ht="15.75" customHeight="1" x14ac:dyDescent="0.25"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205"/>
      <c r="P183" s="206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M183" s="100"/>
      <c r="AN183" s="197"/>
      <c r="AO183" s="100"/>
    </row>
    <row r="184" spans="3:41" ht="15.75" customHeight="1" x14ac:dyDescent="0.25"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205"/>
      <c r="P184" s="206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M184" s="100"/>
      <c r="AN184" s="197"/>
      <c r="AO184" s="100"/>
    </row>
    <row r="185" spans="3:41" ht="15.75" customHeight="1" x14ac:dyDescent="0.25"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205"/>
      <c r="P185" s="206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M185" s="100"/>
      <c r="AN185" s="197"/>
      <c r="AO185" s="100"/>
    </row>
    <row r="186" spans="3:41" ht="15.75" customHeight="1" x14ac:dyDescent="0.25"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205"/>
      <c r="P186" s="206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M186" s="100"/>
      <c r="AN186" s="197"/>
      <c r="AO186" s="100"/>
    </row>
    <row r="187" spans="3:41" ht="15.75" customHeight="1" x14ac:dyDescent="0.25"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205"/>
      <c r="P187" s="206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M187" s="100"/>
      <c r="AN187" s="197"/>
      <c r="AO187" s="100"/>
    </row>
    <row r="188" spans="3:41" ht="15.75" customHeight="1" x14ac:dyDescent="0.25"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205"/>
      <c r="P188" s="206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M188" s="100"/>
      <c r="AN188" s="197"/>
      <c r="AO188" s="100"/>
    </row>
    <row r="189" spans="3:41" ht="15.75" customHeight="1" x14ac:dyDescent="0.25"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205"/>
      <c r="P189" s="206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M189" s="100"/>
      <c r="AN189" s="197"/>
      <c r="AO189" s="100"/>
    </row>
    <row r="190" spans="3:41" ht="15.75" customHeight="1" x14ac:dyDescent="0.25"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205"/>
      <c r="P190" s="206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M190" s="100"/>
      <c r="AN190" s="197"/>
      <c r="AO190" s="100"/>
    </row>
    <row r="191" spans="3:41" ht="15.75" customHeight="1" x14ac:dyDescent="0.25"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205"/>
      <c r="P191" s="206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M191" s="100"/>
      <c r="AN191" s="197"/>
      <c r="AO191" s="100"/>
    </row>
    <row r="192" spans="3:41" ht="15.75" customHeight="1" x14ac:dyDescent="0.25"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205"/>
      <c r="P192" s="206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M192" s="100"/>
      <c r="AN192" s="197"/>
      <c r="AO192" s="100"/>
    </row>
    <row r="193" spans="3:41" ht="15.75" customHeight="1" x14ac:dyDescent="0.25"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205"/>
      <c r="P193" s="206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M193" s="100"/>
      <c r="AN193" s="197"/>
      <c r="AO193" s="100"/>
    </row>
    <row r="194" spans="3:41" ht="15.75" customHeight="1" x14ac:dyDescent="0.25"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205"/>
      <c r="P194" s="206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M194" s="100"/>
      <c r="AN194" s="197"/>
      <c r="AO194" s="100"/>
    </row>
    <row r="195" spans="3:41" ht="15.75" customHeight="1" x14ac:dyDescent="0.25"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205"/>
      <c r="P195" s="206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M195" s="100"/>
      <c r="AN195" s="197"/>
      <c r="AO195" s="100"/>
    </row>
    <row r="196" spans="3:41" ht="15.75" customHeight="1" x14ac:dyDescent="0.25"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205"/>
      <c r="P196" s="206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M196" s="100"/>
      <c r="AN196" s="197"/>
      <c r="AO196" s="100"/>
    </row>
    <row r="197" spans="3:41" ht="15.75" customHeight="1" x14ac:dyDescent="0.25"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205"/>
      <c r="P197" s="206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M197" s="100"/>
      <c r="AN197" s="197"/>
      <c r="AO197" s="100"/>
    </row>
    <row r="198" spans="3:41" ht="15.75" customHeight="1" x14ac:dyDescent="0.25"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205"/>
      <c r="P198" s="206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M198" s="100"/>
      <c r="AN198" s="197"/>
      <c r="AO198" s="100"/>
    </row>
    <row r="199" spans="3:41" ht="15.75" customHeight="1" x14ac:dyDescent="0.25"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205"/>
      <c r="P199" s="206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M199" s="100"/>
      <c r="AN199" s="197"/>
      <c r="AO199" s="100"/>
    </row>
    <row r="200" spans="3:41" ht="15.75" customHeight="1" x14ac:dyDescent="0.25"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205"/>
      <c r="P200" s="206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M200" s="100"/>
      <c r="AN200" s="197"/>
      <c r="AO200" s="100"/>
    </row>
    <row r="201" spans="3:41" ht="15.75" customHeight="1" x14ac:dyDescent="0.25"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205"/>
      <c r="P201" s="206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M201" s="100"/>
      <c r="AN201" s="197"/>
      <c r="AO201" s="100"/>
    </row>
    <row r="202" spans="3:41" ht="15.75" customHeight="1" x14ac:dyDescent="0.25"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205"/>
      <c r="P202" s="206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M202" s="100"/>
      <c r="AN202" s="197"/>
      <c r="AO202" s="100"/>
    </row>
    <row r="203" spans="3:41" ht="15.75" customHeight="1" x14ac:dyDescent="0.25"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205"/>
      <c r="P203" s="206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M203" s="100"/>
      <c r="AN203" s="197"/>
      <c r="AO203" s="100"/>
    </row>
    <row r="204" spans="3:41" ht="15.75" customHeight="1" x14ac:dyDescent="0.25"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205"/>
      <c r="P204" s="206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M204" s="100"/>
      <c r="AN204" s="197"/>
      <c r="AO204" s="100"/>
    </row>
    <row r="205" spans="3:41" ht="15.75" customHeight="1" x14ac:dyDescent="0.25"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205"/>
      <c r="P205" s="206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M205" s="100"/>
      <c r="AN205" s="197"/>
      <c r="AO205" s="100"/>
    </row>
    <row r="206" spans="3:41" ht="15.75" customHeight="1" x14ac:dyDescent="0.25"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205"/>
      <c r="P206" s="206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M206" s="100"/>
      <c r="AN206" s="197"/>
      <c r="AO206" s="100"/>
    </row>
    <row r="207" spans="3:41" ht="15.75" customHeight="1" x14ac:dyDescent="0.25"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205"/>
      <c r="P207" s="206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M207" s="100"/>
      <c r="AN207" s="197"/>
      <c r="AO207" s="100"/>
    </row>
    <row r="208" spans="3:41" ht="15.75" customHeight="1" x14ac:dyDescent="0.25"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205"/>
      <c r="P208" s="206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M208" s="100"/>
      <c r="AN208" s="197"/>
      <c r="AO208" s="100"/>
    </row>
    <row r="209" spans="3:41" ht="15.75" customHeight="1" x14ac:dyDescent="0.25"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205"/>
      <c r="P209" s="206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M209" s="100"/>
      <c r="AN209" s="197"/>
      <c r="AO209" s="100"/>
    </row>
    <row r="210" spans="3:41" ht="15.75" customHeight="1" x14ac:dyDescent="0.25"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205"/>
      <c r="P210" s="206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M210" s="100"/>
      <c r="AN210" s="197"/>
      <c r="AO210" s="100"/>
    </row>
    <row r="211" spans="3:41" ht="15.75" customHeight="1" x14ac:dyDescent="0.25"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205"/>
      <c r="P211" s="206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M211" s="100"/>
      <c r="AN211" s="197"/>
      <c r="AO211" s="100"/>
    </row>
    <row r="212" spans="3:41" ht="15.75" customHeight="1" x14ac:dyDescent="0.25"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205"/>
      <c r="P212" s="206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M212" s="100"/>
      <c r="AN212" s="197"/>
      <c r="AO212" s="100"/>
    </row>
    <row r="213" spans="3:41" ht="15.75" customHeight="1" x14ac:dyDescent="0.25"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205"/>
      <c r="P213" s="206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M213" s="100"/>
      <c r="AN213" s="197"/>
      <c r="AO213" s="100"/>
    </row>
    <row r="214" spans="3:41" ht="15.75" customHeight="1" x14ac:dyDescent="0.25"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205"/>
      <c r="P214" s="206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M214" s="100"/>
      <c r="AN214" s="197"/>
      <c r="AO214" s="100"/>
    </row>
    <row r="215" spans="3:41" ht="15.75" customHeight="1" x14ac:dyDescent="0.25"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205"/>
      <c r="P215" s="206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M215" s="100"/>
      <c r="AN215" s="197"/>
      <c r="AO215" s="100"/>
    </row>
    <row r="216" spans="3:41" ht="15.75" customHeight="1" x14ac:dyDescent="0.25"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205"/>
      <c r="P216" s="206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M216" s="100"/>
      <c r="AN216" s="197"/>
      <c r="AO216" s="100"/>
    </row>
    <row r="217" spans="3:41" ht="15.75" customHeight="1" x14ac:dyDescent="0.25"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205"/>
      <c r="P217" s="206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M217" s="100"/>
      <c r="AN217" s="197"/>
      <c r="AO217" s="100"/>
    </row>
    <row r="218" spans="3:41" ht="15.75" customHeight="1" x14ac:dyDescent="0.25"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205"/>
      <c r="P218" s="206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M218" s="100"/>
      <c r="AN218" s="197"/>
      <c r="AO218" s="100"/>
    </row>
    <row r="219" spans="3:41" ht="15.75" customHeight="1" x14ac:dyDescent="0.25"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205"/>
      <c r="P219" s="206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M219" s="100"/>
      <c r="AN219" s="197"/>
      <c r="AO219" s="100"/>
    </row>
    <row r="220" spans="3:41" ht="15.75" customHeight="1" x14ac:dyDescent="0.25"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205"/>
      <c r="P220" s="206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M220" s="100"/>
      <c r="AN220" s="197"/>
      <c r="AO220" s="100"/>
    </row>
    <row r="221" spans="3:41" ht="15.75" customHeight="1" x14ac:dyDescent="0.25"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205"/>
      <c r="P221" s="206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M221" s="100"/>
      <c r="AN221" s="197"/>
      <c r="AO221" s="100"/>
    </row>
    <row r="222" spans="3:41" ht="15.75" customHeight="1" x14ac:dyDescent="0.25"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205"/>
      <c r="P222" s="206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M222" s="100"/>
      <c r="AN222" s="197"/>
      <c r="AO222" s="100"/>
    </row>
    <row r="223" spans="3:41" ht="15.75" customHeight="1" x14ac:dyDescent="0.25"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205"/>
      <c r="P223" s="206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M223" s="100"/>
      <c r="AN223" s="197"/>
      <c r="AO223" s="100"/>
    </row>
    <row r="224" spans="3:41" ht="15.75" customHeight="1" x14ac:dyDescent="0.25"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205"/>
      <c r="P224" s="206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M224" s="100"/>
      <c r="AN224" s="197"/>
      <c r="AO224" s="100"/>
    </row>
    <row r="225" spans="3:41" ht="15.75" customHeight="1" x14ac:dyDescent="0.25"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205"/>
      <c r="P225" s="206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M225" s="100"/>
      <c r="AN225" s="197"/>
      <c r="AO225" s="100"/>
    </row>
    <row r="226" spans="3:41" ht="15.75" customHeight="1" x14ac:dyDescent="0.25"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205"/>
      <c r="P226" s="206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M226" s="100"/>
      <c r="AN226" s="197"/>
      <c r="AO226" s="100"/>
    </row>
    <row r="227" spans="3:41" ht="15.75" customHeight="1" x14ac:dyDescent="0.25"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205"/>
      <c r="P227" s="206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M227" s="100"/>
      <c r="AN227" s="197"/>
      <c r="AO227" s="100"/>
    </row>
    <row r="228" spans="3:41" ht="15.75" customHeight="1" x14ac:dyDescent="0.25"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205"/>
      <c r="P228" s="206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M228" s="100"/>
      <c r="AN228" s="197"/>
      <c r="AO228" s="100"/>
    </row>
    <row r="229" spans="3:41" ht="15.75" customHeight="1" x14ac:dyDescent="0.25"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205"/>
      <c r="P229" s="206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M229" s="100"/>
      <c r="AN229" s="197"/>
      <c r="AO229" s="100"/>
    </row>
    <row r="230" spans="3:41" ht="15.75" customHeight="1" x14ac:dyDescent="0.25"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205"/>
      <c r="P230" s="206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M230" s="100"/>
      <c r="AN230" s="197"/>
      <c r="AO230" s="100"/>
    </row>
    <row r="231" spans="3:41" ht="15.75" customHeight="1" x14ac:dyDescent="0.25"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205"/>
      <c r="P231" s="206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M231" s="100"/>
      <c r="AN231" s="197"/>
      <c r="AO231" s="100"/>
    </row>
    <row r="232" spans="3:41" ht="15.75" customHeight="1" x14ac:dyDescent="0.25"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205"/>
      <c r="P232" s="206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M232" s="100"/>
      <c r="AN232" s="197"/>
      <c r="AO232" s="100"/>
    </row>
    <row r="233" spans="3:41" ht="15.75" customHeight="1" x14ac:dyDescent="0.25"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205"/>
      <c r="P233" s="206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M233" s="100"/>
      <c r="AN233" s="197"/>
      <c r="AO233" s="100"/>
    </row>
    <row r="234" spans="3:41" ht="15.75" customHeight="1" x14ac:dyDescent="0.25"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205"/>
      <c r="P234" s="206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M234" s="100"/>
      <c r="AN234" s="197"/>
      <c r="AO234" s="100"/>
    </row>
    <row r="235" spans="3:41" ht="15.75" customHeight="1" x14ac:dyDescent="0.25"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205"/>
      <c r="P235" s="206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M235" s="100"/>
      <c r="AN235" s="197"/>
      <c r="AO235" s="100"/>
    </row>
    <row r="236" spans="3:41" ht="15.75" customHeight="1" x14ac:dyDescent="0.25"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205"/>
      <c r="P236" s="206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M236" s="100"/>
      <c r="AN236" s="197"/>
      <c r="AO236" s="100"/>
    </row>
    <row r="237" spans="3:41" ht="15.75" customHeight="1" x14ac:dyDescent="0.25"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205"/>
      <c r="P237" s="206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M237" s="100"/>
      <c r="AN237" s="197"/>
      <c r="AO237" s="100"/>
    </row>
    <row r="238" spans="3:41" ht="15.75" customHeight="1" x14ac:dyDescent="0.25"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205"/>
      <c r="P238" s="206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M238" s="100"/>
      <c r="AN238" s="197"/>
      <c r="AO238" s="100"/>
    </row>
    <row r="239" spans="3:41" ht="15.75" customHeight="1" x14ac:dyDescent="0.25"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205"/>
      <c r="P239" s="206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M239" s="100"/>
      <c r="AN239" s="197"/>
      <c r="AO239" s="100"/>
    </row>
    <row r="240" spans="3:41" ht="15.75" customHeight="1" x14ac:dyDescent="0.25"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205"/>
      <c r="P240" s="206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M240" s="100"/>
      <c r="AN240" s="197"/>
      <c r="AO240" s="100"/>
    </row>
    <row r="241" spans="3:41" ht="15.75" customHeight="1" x14ac:dyDescent="0.25"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205"/>
      <c r="P241" s="206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M241" s="100"/>
      <c r="AN241" s="197"/>
      <c r="AO241" s="100"/>
    </row>
    <row r="242" spans="3:41" ht="15.75" customHeight="1" x14ac:dyDescent="0.25"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205"/>
      <c r="P242" s="206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M242" s="100"/>
      <c r="AN242" s="197"/>
      <c r="AO242" s="100"/>
    </row>
    <row r="243" spans="3:41" ht="15.75" customHeight="1" x14ac:dyDescent="0.25"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205"/>
      <c r="P243" s="206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M243" s="100"/>
      <c r="AN243" s="197"/>
      <c r="AO243" s="100"/>
    </row>
    <row r="244" spans="3:41" ht="15.75" customHeight="1" x14ac:dyDescent="0.25"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205"/>
      <c r="P244" s="206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M244" s="100"/>
      <c r="AN244" s="197"/>
      <c r="AO244" s="100"/>
    </row>
    <row r="245" spans="3:41" ht="15.75" customHeight="1" x14ac:dyDescent="0.25"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205"/>
      <c r="P245" s="206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M245" s="100"/>
      <c r="AN245" s="197"/>
      <c r="AO245" s="100"/>
    </row>
    <row r="246" spans="3:41" ht="15.75" customHeight="1" x14ac:dyDescent="0.25"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205"/>
      <c r="P246" s="206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M246" s="100"/>
      <c r="AN246" s="197"/>
      <c r="AO246" s="100"/>
    </row>
    <row r="247" spans="3:41" ht="15.75" customHeight="1" x14ac:dyDescent="0.25"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205"/>
      <c r="P247" s="206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M247" s="100"/>
      <c r="AN247" s="197"/>
      <c r="AO247" s="100"/>
    </row>
    <row r="248" spans="3:41" ht="15.75" customHeight="1" x14ac:dyDescent="0.25"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205"/>
      <c r="P248" s="206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M248" s="100"/>
      <c r="AN248" s="197"/>
      <c r="AO248" s="100"/>
    </row>
    <row r="249" spans="3:41" ht="15.75" customHeight="1" x14ac:dyDescent="0.25"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205"/>
      <c r="P249" s="206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M249" s="100"/>
      <c r="AN249" s="197"/>
      <c r="AO249" s="100"/>
    </row>
    <row r="250" spans="3:41" ht="15.75" customHeight="1" x14ac:dyDescent="0.25"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205"/>
      <c r="P250" s="206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M250" s="100"/>
      <c r="AN250" s="197"/>
      <c r="AO250" s="100"/>
    </row>
    <row r="251" spans="3:41" ht="15.75" customHeight="1" x14ac:dyDescent="0.25"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205"/>
      <c r="P251" s="206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M251" s="100"/>
      <c r="AN251" s="197"/>
      <c r="AO251" s="100"/>
    </row>
    <row r="252" spans="3:41" ht="15.75" customHeight="1" x14ac:dyDescent="0.25"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205"/>
      <c r="P252" s="206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M252" s="100"/>
      <c r="AN252" s="197"/>
      <c r="AO252" s="100"/>
    </row>
    <row r="253" spans="3:41" ht="15.75" customHeight="1" x14ac:dyDescent="0.25"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205"/>
      <c r="P253" s="206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M253" s="100"/>
      <c r="AN253" s="197"/>
      <c r="AO253" s="100"/>
    </row>
    <row r="254" spans="3:41" ht="15.75" customHeight="1" x14ac:dyDescent="0.25"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205"/>
      <c r="P254" s="206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M254" s="100"/>
      <c r="AN254" s="197"/>
      <c r="AO254" s="100"/>
    </row>
    <row r="255" spans="3:41" ht="15.75" customHeight="1" x14ac:dyDescent="0.25"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205"/>
      <c r="P255" s="206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M255" s="100"/>
      <c r="AN255" s="197"/>
      <c r="AO255" s="100"/>
    </row>
    <row r="256" spans="3:41" ht="15.75" customHeight="1" x14ac:dyDescent="0.25"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205"/>
      <c r="P256" s="206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M256" s="100"/>
      <c r="AN256" s="197"/>
      <c r="AO256" s="100"/>
    </row>
    <row r="257" spans="3:41" ht="15.75" customHeight="1" x14ac:dyDescent="0.25"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205"/>
      <c r="P257" s="206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M257" s="100"/>
      <c r="AN257" s="197"/>
      <c r="AO257" s="100"/>
    </row>
    <row r="258" spans="3:41" ht="15.75" customHeight="1" x14ac:dyDescent="0.25"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205"/>
      <c r="P258" s="206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M258" s="100"/>
      <c r="AN258" s="197"/>
      <c r="AO258" s="100"/>
    </row>
    <row r="259" spans="3:41" ht="15.75" customHeight="1" x14ac:dyDescent="0.25"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205"/>
      <c r="P259" s="206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M259" s="100"/>
      <c r="AN259" s="197"/>
      <c r="AO259" s="100"/>
    </row>
    <row r="260" spans="3:41" ht="15.75" customHeight="1" x14ac:dyDescent="0.25"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205"/>
      <c r="P260" s="206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M260" s="100"/>
      <c r="AN260" s="197"/>
      <c r="AO260" s="100"/>
    </row>
    <row r="261" spans="3:41" ht="15.75" customHeight="1" x14ac:dyDescent="0.25"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205"/>
      <c r="P261" s="206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M261" s="100"/>
      <c r="AN261" s="197"/>
      <c r="AO261" s="100"/>
    </row>
    <row r="262" spans="3:41" ht="15.75" customHeight="1" x14ac:dyDescent="0.25"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205"/>
      <c r="P262" s="206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M262" s="100"/>
      <c r="AN262" s="197"/>
      <c r="AO262" s="100"/>
    </row>
    <row r="263" spans="3:41" ht="15.75" customHeight="1" x14ac:dyDescent="0.25"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205"/>
      <c r="P263" s="206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M263" s="100"/>
      <c r="AN263" s="197"/>
      <c r="AO263" s="100"/>
    </row>
    <row r="264" spans="3:41" ht="15.75" customHeight="1" x14ac:dyDescent="0.25"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205"/>
      <c r="P264" s="206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M264" s="100"/>
      <c r="AN264" s="197"/>
      <c r="AO264" s="100"/>
    </row>
    <row r="265" spans="3:41" ht="15.75" customHeight="1" x14ac:dyDescent="0.25"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205"/>
      <c r="P265" s="206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M265" s="100"/>
      <c r="AN265" s="197"/>
      <c r="AO265" s="100"/>
    </row>
    <row r="266" spans="3:41" ht="15.75" customHeight="1" x14ac:dyDescent="0.25"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205"/>
      <c r="P266" s="206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M266" s="100"/>
      <c r="AN266" s="197"/>
      <c r="AO266" s="100"/>
    </row>
    <row r="267" spans="3:41" ht="15.75" customHeight="1" x14ac:dyDescent="0.25"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205"/>
      <c r="P267" s="206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M267" s="100"/>
      <c r="AN267" s="197"/>
      <c r="AO267" s="100"/>
    </row>
    <row r="268" spans="3:41" ht="15.75" customHeight="1" x14ac:dyDescent="0.25"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205"/>
      <c r="P268" s="206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M268" s="100"/>
      <c r="AN268" s="197"/>
      <c r="AO268" s="100"/>
    </row>
    <row r="269" spans="3:41" ht="15.75" customHeight="1" x14ac:dyDescent="0.25"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205"/>
      <c r="P269" s="206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M269" s="100"/>
      <c r="AN269" s="197"/>
      <c r="AO269" s="100"/>
    </row>
    <row r="270" spans="3:41" ht="15.75" customHeight="1" x14ac:dyDescent="0.25"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205"/>
      <c r="P270" s="206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M270" s="100"/>
      <c r="AN270" s="197"/>
      <c r="AO270" s="100"/>
    </row>
    <row r="271" spans="3:41" ht="15.75" customHeight="1" x14ac:dyDescent="0.25"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205"/>
      <c r="P271" s="206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M271" s="100"/>
      <c r="AN271" s="197"/>
      <c r="AO271" s="100"/>
    </row>
    <row r="272" spans="3:41" ht="15.75" customHeight="1" x14ac:dyDescent="0.25"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205"/>
      <c r="P272" s="206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M272" s="100"/>
      <c r="AN272" s="197"/>
      <c r="AO272" s="100"/>
    </row>
    <row r="273" spans="3:41" ht="15.75" customHeight="1" x14ac:dyDescent="0.25"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205"/>
      <c r="P273" s="206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M273" s="100"/>
      <c r="AN273" s="197"/>
      <c r="AO273" s="100"/>
    </row>
    <row r="274" spans="3:41" ht="15.75" customHeight="1" x14ac:dyDescent="0.25"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205"/>
      <c r="P274" s="206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M274" s="100"/>
      <c r="AN274" s="197"/>
      <c r="AO274" s="100"/>
    </row>
    <row r="275" spans="3:41" ht="15.75" customHeight="1" x14ac:dyDescent="0.25"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205"/>
      <c r="P275" s="206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M275" s="100"/>
      <c r="AN275" s="197"/>
      <c r="AO275" s="100"/>
    </row>
    <row r="276" spans="3:41" ht="15.75" customHeight="1" x14ac:dyDescent="0.25"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205"/>
      <c r="P276" s="206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M276" s="100"/>
      <c r="AN276" s="197"/>
      <c r="AO276" s="100"/>
    </row>
    <row r="277" spans="3:41" ht="15.75" customHeight="1" x14ac:dyDescent="0.25"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205"/>
      <c r="P277" s="206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M277" s="100"/>
      <c r="AN277" s="197"/>
      <c r="AO277" s="100"/>
    </row>
    <row r="278" spans="3:41" ht="15.75" customHeight="1" x14ac:dyDescent="0.25"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205"/>
      <c r="P278" s="206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M278" s="100"/>
      <c r="AN278" s="197"/>
      <c r="AO278" s="100"/>
    </row>
    <row r="279" spans="3:41" ht="15.75" customHeight="1" x14ac:dyDescent="0.25"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205"/>
      <c r="P279" s="206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M279" s="100"/>
      <c r="AN279" s="197"/>
      <c r="AO279" s="100"/>
    </row>
    <row r="280" spans="3:41" ht="15.75" customHeight="1" x14ac:dyDescent="0.25"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205"/>
      <c r="P280" s="206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M280" s="100"/>
      <c r="AN280" s="197"/>
      <c r="AO280" s="100"/>
    </row>
    <row r="281" spans="3:41" ht="15.75" customHeight="1" x14ac:dyDescent="0.25"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205"/>
      <c r="P281" s="206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M281" s="100"/>
      <c r="AN281" s="197"/>
      <c r="AO281" s="100"/>
    </row>
    <row r="282" spans="3:41" ht="15.75" customHeight="1" x14ac:dyDescent="0.25"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205"/>
      <c r="P282" s="206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M282" s="100"/>
      <c r="AN282" s="197"/>
      <c r="AO282" s="100"/>
    </row>
    <row r="283" spans="3:41" ht="15.75" customHeight="1" x14ac:dyDescent="0.25"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205"/>
      <c r="P283" s="206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M283" s="100"/>
      <c r="AN283" s="197"/>
      <c r="AO283" s="100"/>
    </row>
    <row r="284" spans="3:41" ht="15.75" customHeight="1" x14ac:dyDescent="0.25"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205"/>
      <c r="P284" s="206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M284" s="100"/>
      <c r="AN284" s="197"/>
      <c r="AO284" s="100"/>
    </row>
    <row r="285" spans="3:41" ht="15.75" customHeight="1" x14ac:dyDescent="0.25"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205"/>
      <c r="P285" s="206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M285" s="100"/>
      <c r="AN285" s="197"/>
      <c r="AO285" s="100"/>
    </row>
    <row r="286" spans="3:41" ht="15.75" customHeight="1" x14ac:dyDescent="0.25"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205"/>
      <c r="P286" s="206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M286" s="100"/>
      <c r="AN286" s="197"/>
      <c r="AO286" s="100"/>
    </row>
    <row r="287" spans="3:41" ht="15.75" customHeight="1" x14ac:dyDescent="0.25"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205"/>
      <c r="P287" s="206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M287" s="100"/>
      <c r="AN287" s="197"/>
      <c r="AO287" s="100"/>
    </row>
    <row r="288" spans="3:41" ht="15.75" customHeight="1" x14ac:dyDescent="0.25"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205"/>
      <c r="P288" s="206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M288" s="100"/>
      <c r="AN288" s="197"/>
      <c r="AO288" s="100"/>
    </row>
    <row r="289" spans="3:41" ht="15.75" customHeight="1" x14ac:dyDescent="0.25"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205"/>
      <c r="P289" s="206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M289" s="100"/>
      <c r="AN289" s="197"/>
      <c r="AO289" s="100"/>
    </row>
    <row r="290" spans="3:41" ht="15.75" customHeight="1" x14ac:dyDescent="0.25"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205"/>
      <c r="P290" s="206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M290" s="100"/>
      <c r="AN290" s="197"/>
      <c r="AO290" s="100"/>
    </row>
    <row r="291" spans="3:41" ht="15.75" customHeight="1" x14ac:dyDescent="0.25"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205"/>
      <c r="P291" s="206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M291" s="100"/>
      <c r="AN291" s="197"/>
      <c r="AO291" s="100"/>
    </row>
    <row r="292" spans="3:41" ht="15.75" customHeight="1" x14ac:dyDescent="0.25"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205"/>
      <c r="P292" s="206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M292" s="100"/>
      <c r="AN292" s="197"/>
      <c r="AO292" s="100"/>
    </row>
    <row r="293" spans="3:41" ht="15.75" customHeight="1" x14ac:dyDescent="0.25"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205"/>
      <c r="P293" s="206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M293" s="100"/>
      <c r="AN293" s="197"/>
      <c r="AO293" s="100"/>
    </row>
    <row r="294" spans="3:41" ht="15.75" customHeight="1" x14ac:dyDescent="0.25"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205"/>
      <c r="P294" s="206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M294" s="100"/>
      <c r="AN294" s="197"/>
      <c r="AO294" s="100"/>
    </row>
    <row r="295" spans="3:41" ht="15.75" customHeight="1" x14ac:dyDescent="0.25"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205"/>
      <c r="P295" s="206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M295" s="100"/>
      <c r="AN295" s="197"/>
      <c r="AO295" s="100"/>
    </row>
    <row r="296" spans="3:41" ht="15.75" customHeight="1" x14ac:dyDescent="0.25"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205"/>
      <c r="P296" s="206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M296" s="100"/>
      <c r="AN296" s="197"/>
      <c r="AO296" s="100"/>
    </row>
    <row r="297" spans="3:41" ht="15.75" customHeight="1" x14ac:dyDescent="0.25"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205"/>
      <c r="P297" s="206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M297" s="100"/>
      <c r="AN297" s="197"/>
      <c r="AO297" s="100"/>
    </row>
    <row r="298" spans="3:41" ht="15.75" customHeight="1" x14ac:dyDescent="0.25"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205"/>
      <c r="P298" s="206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M298" s="100"/>
      <c r="AN298" s="197"/>
      <c r="AO298" s="100"/>
    </row>
    <row r="299" spans="3:41" ht="15.75" customHeight="1" x14ac:dyDescent="0.25"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205"/>
      <c r="P299" s="206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M299" s="100"/>
      <c r="AN299" s="197"/>
      <c r="AO299" s="100"/>
    </row>
    <row r="300" spans="3:41" ht="15.75" customHeight="1" x14ac:dyDescent="0.25"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205"/>
      <c r="P300" s="206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M300" s="100"/>
      <c r="AN300" s="197"/>
      <c r="AO300" s="100"/>
    </row>
    <row r="301" spans="3:41" ht="15.75" customHeight="1" x14ac:dyDescent="0.25"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205"/>
      <c r="P301" s="206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M301" s="100"/>
      <c r="AN301" s="197"/>
      <c r="AO301" s="100"/>
    </row>
    <row r="302" spans="3:41" ht="15.75" customHeight="1" x14ac:dyDescent="0.25"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205"/>
      <c r="P302" s="206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M302" s="100"/>
      <c r="AN302" s="197"/>
      <c r="AO302" s="100"/>
    </row>
    <row r="303" spans="3:41" ht="15.75" customHeight="1" x14ac:dyDescent="0.25"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205"/>
      <c r="P303" s="206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M303" s="100"/>
      <c r="AN303" s="197"/>
      <c r="AO303" s="100"/>
    </row>
    <row r="304" spans="3:41" ht="15.75" customHeight="1" x14ac:dyDescent="0.25"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205"/>
      <c r="P304" s="206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M304" s="100"/>
      <c r="AN304" s="197"/>
      <c r="AO304" s="100"/>
    </row>
    <row r="305" spans="3:41" ht="15.75" customHeight="1" x14ac:dyDescent="0.25"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205"/>
      <c r="P305" s="206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M305" s="100"/>
      <c r="AN305" s="197"/>
      <c r="AO305" s="100"/>
    </row>
    <row r="306" spans="3:41" ht="15.75" customHeight="1" x14ac:dyDescent="0.25"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205"/>
      <c r="P306" s="206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M306" s="100"/>
      <c r="AN306" s="197"/>
      <c r="AO306" s="100"/>
    </row>
    <row r="307" spans="3:41" ht="15.75" customHeight="1" x14ac:dyDescent="0.25"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205"/>
      <c r="P307" s="206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M307" s="100"/>
      <c r="AN307" s="197"/>
      <c r="AO307" s="100"/>
    </row>
    <row r="308" spans="3:41" ht="15.75" customHeight="1" x14ac:dyDescent="0.25"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205"/>
      <c r="P308" s="206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M308" s="100"/>
      <c r="AN308" s="197"/>
      <c r="AO308" s="100"/>
    </row>
    <row r="309" spans="3:41" ht="15.75" customHeight="1" x14ac:dyDescent="0.25"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205"/>
      <c r="P309" s="206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M309" s="100"/>
      <c r="AN309" s="197"/>
      <c r="AO309" s="100"/>
    </row>
    <row r="310" spans="3:41" ht="15.75" customHeight="1" x14ac:dyDescent="0.25"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205"/>
      <c r="P310" s="206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M310" s="100"/>
      <c r="AN310" s="197"/>
      <c r="AO310" s="100"/>
    </row>
    <row r="311" spans="3:41" ht="15.75" customHeight="1" x14ac:dyDescent="0.25"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205"/>
      <c r="P311" s="206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M311" s="100"/>
      <c r="AN311" s="197"/>
      <c r="AO311" s="100"/>
    </row>
    <row r="312" spans="3:41" ht="15.75" customHeight="1" x14ac:dyDescent="0.25"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205"/>
      <c r="P312" s="206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M312" s="100"/>
      <c r="AN312" s="197"/>
      <c r="AO312" s="100"/>
    </row>
    <row r="313" spans="3:41" ht="15.75" customHeight="1" x14ac:dyDescent="0.25"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205"/>
      <c r="P313" s="206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M313" s="100"/>
      <c r="AN313" s="197"/>
      <c r="AO313" s="100"/>
    </row>
    <row r="314" spans="3:41" ht="15.75" customHeight="1" x14ac:dyDescent="0.25"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205"/>
      <c r="P314" s="206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M314" s="100"/>
      <c r="AN314" s="197"/>
      <c r="AO314" s="100"/>
    </row>
    <row r="315" spans="3:41" ht="15.75" customHeight="1" x14ac:dyDescent="0.25"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205"/>
      <c r="P315" s="206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M315" s="100"/>
      <c r="AN315" s="197"/>
      <c r="AO315" s="100"/>
    </row>
    <row r="316" spans="3:41" ht="15.75" customHeight="1" x14ac:dyDescent="0.25"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205"/>
      <c r="P316" s="206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M316" s="100"/>
      <c r="AN316" s="197"/>
      <c r="AO316" s="100"/>
    </row>
    <row r="317" spans="3:41" ht="15.75" customHeight="1" x14ac:dyDescent="0.25"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205"/>
      <c r="P317" s="206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M317" s="100"/>
      <c r="AN317" s="197"/>
      <c r="AO317" s="100"/>
    </row>
    <row r="318" spans="3:41" ht="15.75" customHeight="1" x14ac:dyDescent="0.25"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205"/>
      <c r="P318" s="206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M318" s="100"/>
      <c r="AN318" s="197"/>
      <c r="AO318" s="100"/>
    </row>
    <row r="319" spans="3:41" ht="15.75" customHeight="1" x14ac:dyDescent="0.25"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205"/>
      <c r="P319" s="206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M319" s="100"/>
      <c r="AN319" s="197"/>
      <c r="AO319" s="100"/>
    </row>
    <row r="320" spans="3:41" ht="15.75" customHeight="1" x14ac:dyDescent="0.25"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205"/>
      <c r="P320" s="206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M320" s="100"/>
      <c r="AN320" s="197"/>
      <c r="AO320" s="100"/>
    </row>
    <row r="321" spans="3:41" ht="15.75" customHeight="1" x14ac:dyDescent="0.25"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205"/>
      <c r="P321" s="206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M321" s="100"/>
      <c r="AN321" s="197"/>
      <c r="AO321" s="100"/>
    </row>
    <row r="322" spans="3:41" ht="15.75" customHeight="1" x14ac:dyDescent="0.25"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205"/>
      <c r="P322" s="206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M322" s="100"/>
      <c r="AN322" s="197"/>
      <c r="AO322" s="100"/>
    </row>
    <row r="323" spans="3:41" ht="15.75" customHeight="1" x14ac:dyDescent="0.25"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205"/>
      <c r="P323" s="206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M323" s="100"/>
      <c r="AN323" s="197"/>
      <c r="AO323" s="100"/>
    </row>
    <row r="324" spans="3:41" ht="15.75" customHeight="1" x14ac:dyDescent="0.25"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205"/>
      <c r="P324" s="206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M324" s="100"/>
      <c r="AN324" s="197"/>
      <c r="AO324" s="100"/>
    </row>
    <row r="325" spans="3:41" ht="15.75" customHeight="1" x14ac:dyDescent="0.25"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205"/>
      <c r="P325" s="206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M325" s="100"/>
      <c r="AN325" s="197"/>
      <c r="AO325" s="100"/>
    </row>
    <row r="326" spans="3:41" ht="15.75" customHeight="1" x14ac:dyDescent="0.25"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205"/>
      <c r="P326" s="206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M326" s="100"/>
      <c r="AN326" s="197"/>
      <c r="AO326" s="100"/>
    </row>
    <row r="327" spans="3:41" ht="15.75" customHeight="1" x14ac:dyDescent="0.25"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205"/>
      <c r="P327" s="206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M327" s="100"/>
      <c r="AN327" s="197"/>
      <c r="AO327" s="100"/>
    </row>
    <row r="328" spans="3:41" ht="15.75" customHeight="1" x14ac:dyDescent="0.25"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205"/>
      <c r="P328" s="206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M328" s="100"/>
      <c r="AN328" s="197"/>
      <c r="AO328" s="100"/>
    </row>
    <row r="329" spans="3:41" ht="15.75" customHeight="1" x14ac:dyDescent="0.25"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205"/>
      <c r="P329" s="206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M329" s="100"/>
      <c r="AN329" s="197"/>
      <c r="AO329" s="100"/>
    </row>
    <row r="330" spans="3:41" ht="15.75" customHeight="1" x14ac:dyDescent="0.25"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205"/>
      <c r="P330" s="206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M330" s="100"/>
      <c r="AN330" s="197"/>
      <c r="AO330" s="100"/>
    </row>
    <row r="331" spans="3:41" ht="15.75" customHeight="1" x14ac:dyDescent="0.25"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205"/>
      <c r="P331" s="206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M331" s="100"/>
      <c r="AN331" s="197"/>
      <c r="AO331" s="100"/>
    </row>
    <row r="332" spans="3:41" ht="15.75" customHeight="1" x14ac:dyDescent="0.25"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205"/>
      <c r="P332" s="206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M332" s="100"/>
      <c r="AN332" s="197"/>
      <c r="AO332" s="100"/>
    </row>
    <row r="333" spans="3:41" ht="15.75" customHeight="1" x14ac:dyDescent="0.25"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205"/>
      <c r="P333" s="206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M333" s="100"/>
      <c r="AN333" s="197"/>
      <c r="AO333" s="100"/>
    </row>
    <row r="334" spans="3:41" ht="15.75" customHeight="1" x14ac:dyDescent="0.25"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205"/>
      <c r="P334" s="206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M334" s="100"/>
      <c r="AN334" s="197"/>
      <c r="AO334" s="100"/>
    </row>
    <row r="335" spans="3:41" ht="15.75" customHeight="1" x14ac:dyDescent="0.25"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205"/>
      <c r="P335" s="206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M335" s="100"/>
      <c r="AN335" s="197"/>
      <c r="AO335" s="100"/>
    </row>
    <row r="336" spans="3:41" ht="15.75" customHeight="1" x14ac:dyDescent="0.25"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205"/>
      <c r="P336" s="206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M336" s="100"/>
      <c r="AN336" s="197"/>
      <c r="AO336" s="100"/>
    </row>
    <row r="337" spans="3:41" ht="15.75" customHeight="1" x14ac:dyDescent="0.25"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205"/>
      <c r="P337" s="206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M337" s="100"/>
      <c r="AN337" s="197"/>
      <c r="AO337" s="100"/>
    </row>
    <row r="338" spans="3:41" ht="15.75" customHeight="1" x14ac:dyDescent="0.25"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205"/>
      <c r="P338" s="206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M338" s="100"/>
      <c r="AN338" s="197"/>
      <c r="AO338" s="100"/>
    </row>
    <row r="339" spans="3:41" ht="15.75" customHeight="1" x14ac:dyDescent="0.25"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205"/>
      <c r="P339" s="206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M339" s="100"/>
      <c r="AN339" s="197"/>
      <c r="AO339" s="100"/>
    </row>
    <row r="340" spans="3:41" ht="15.75" customHeight="1" x14ac:dyDescent="0.25"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205"/>
      <c r="P340" s="206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M340" s="100"/>
      <c r="AN340" s="197"/>
      <c r="AO340" s="100"/>
    </row>
    <row r="341" spans="3:41" ht="15.75" customHeight="1" x14ac:dyDescent="0.25"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205"/>
      <c r="P341" s="206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M341" s="100"/>
      <c r="AN341" s="197"/>
      <c r="AO341" s="100"/>
    </row>
    <row r="342" spans="3:41" ht="15.75" customHeight="1" x14ac:dyDescent="0.25"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205"/>
      <c r="P342" s="206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M342" s="100"/>
      <c r="AN342" s="197"/>
      <c r="AO342" s="100"/>
    </row>
    <row r="343" spans="3:41" ht="15.75" customHeight="1" x14ac:dyDescent="0.25"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205"/>
      <c r="P343" s="206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M343" s="100"/>
      <c r="AN343" s="197"/>
      <c r="AO343" s="100"/>
    </row>
    <row r="344" spans="3:41" ht="15.75" customHeight="1" x14ac:dyDescent="0.25"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205"/>
      <c r="P344" s="206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M344" s="100"/>
      <c r="AN344" s="197"/>
      <c r="AO344" s="100"/>
    </row>
    <row r="345" spans="3:41" ht="15.75" customHeight="1" x14ac:dyDescent="0.25"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205"/>
      <c r="P345" s="206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M345" s="100"/>
      <c r="AN345" s="197"/>
      <c r="AO345" s="100"/>
    </row>
    <row r="346" spans="3:41" ht="15.75" customHeight="1" x14ac:dyDescent="0.25"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205"/>
      <c r="P346" s="206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M346" s="100"/>
      <c r="AN346" s="197"/>
      <c r="AO346" s="100"/>
    </row>
    <row r="347" spans="3:41" ht="15.75" customHeight="1" x14ac:dyDescent="0.25"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205"/>
      <c r="P347" s="206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M347" s="100"/>
      <c r="AN347" s="197"/>
      <c r="AO347" s="100"/>
    </row>
    <row r="348" spans="3:41" ht="15.75" customHeight="1" x14ac:dyDescent="0.25"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205"/>
      <c r="P348" s="206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M348" s="100"/>
      <c r="AN348" s="197"/>
      <c r="AO348" s="100"/>
    </row>
    <row r="349" spans="3:41" ht="15.75" customHeight="1" x14ac:dyDescent="0.25"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205"/>
      <c r="P349" s="206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M349" s="100"/>
      <c r="AN349" s="197"/>
      <c r="AO349" s="100"/>
    </row>
    <row r="350" spans="3:41" ht="15.75" customHeight="1" x14ac:dyDescent="0.25"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205"/>
      <c r="P350" s="206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M350" s="100"/>
      <c r="AN350" s="197"/>
      <c r="AO350" s="100"/>
    </row>
    <row r="351" spans="3:41" ht="15.75" customHeight="1" x14ac:dyDescent="0.25"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205"/>
      <c r="P351" s="206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M351" s="100"/>
      <c r="AN351" s="197"/>
      <c r="AO351" s="100"/>
    </row>
    <row r="352" spans="3:41" ht="15.75" customHeight="1" x14ac:dyDescent="0.25"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205"/>
      <c r="P352" s="206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M352" s="100"/>
      <c r="AN352" s="197"/>
      <c r="AO352" s="100"/>
    </row>
    <row r="353" spans="3:41" ht="15.75" customHeight="1" x14ac:dyDescent="0.25"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205"/>
      <c r="P353" s="206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M353" s="100"/>
      <c r="AN353" s="197"/>
      <c r="AO353" s="100"/>
    </row>
    <row r="354" spans="3:41" ht="15.75" customHeight="1" x14ac:dyDescent="0.25"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205"/>
      <c r="P354" s="206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M354" s="100"/>
      <c r="AN354" s="197"/>
      <c r="AO354" s="100"/>
    </row>
    <row r="355" spans="3:41" ht="15.75" customHeight="1" x14ac:dyDescent="0.25"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205"/>
      <c r="P355" s="206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M355" s="100"/>
      <c r="AN355" s="197"/>
      <c r="AO355" s="100"/>
    </row>
    <row r="356" spans="3:41" ht="15.75" customHeight="1" x14ac:dyDescent="0.25"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205"/>
      <c r="P356" s="206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M356" s="100"/>
      <c r="AN356" s="197"/>
      <c r="AO356" s="100"/>
    </row>
    <row r="357" spans="3:41" ht="15.75" customHeight="1" x14ac:dyDescent="0.25"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205"/>
      <c r="P357" s="206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M357" s="100"/>
      <c r="AN357" s="197"/>
      <c r="AO357" s="100"/>
    </row>
    <row r="358" spans="3:41" ht="15.75" customHeight="1" x14ac:dyDescent="0.25"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205"/>
      <c r="P358" s="206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M358" s="100"/>
      <c r="AN358" s="197"/>
      <c r="AO358" s="100"/>
    </row>
    <row r="359" spans="3:41" ht="15.75" customHeight="1" x14ac:dyDescent="0.25"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205"/>
      <c r="P359" s="206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M359" s="100"/>
      <c r="AN359" s="197"/>
      <c r="AO359" s="100"/>
    </row>
    <row r="360" spans="3:41" ht="15.75" customHeight="1" x14ac:dyDescent="0.25"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205"/>
      <c r="P360" s="206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M360" s="100"/>
      <c r="AN360" s="197"/>
      <c r="AO360" s="100"/>
    </row>
    <row r="361" spans="3:41" ht="15.75" customHeight="1" x14ac:dyDescent="0.25"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205"/>
      <c r="P361" s="206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M361" s="100"/>
      <c r="AN361" s="197"/>
      <c r="AO361" s="100"/>
    </row>
    <row r="362" spans="3:41" ht="15.75" customHeight="1" x14ac:dyDescent="0.25"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205"/>
      <c r="P362" s="206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M362" s="100"/>
      <c r="AN362" s="197"/>
      <c r="AO362" s="100"/>
    </row>
    <row r="363" spans="3:41" ht="15.75" customHeight="1" x14ac:dyDescent="0.25"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205"/>
      <c r="P363" s="206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M363" s="100"/>
      <c r="AN363" s="197"/>
      <c r="AO363" s="100"/>
    </row>
    <row r="364" spans="3:41" ht="15.75" customHeight="1" x14ac:dyDescent="0.25"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205"/>
      <c r="P364" s="206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M364" s="100"/>
      <c r="AN364" s="197"/>
      <c r="AO364" s="100"/>
    </row>
    <row r="365" spans="3:41" ht="15.75" customHeight="1" x14ac:dyDescent="0.25"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205"/>
      <c r="P365" s="206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M365" s="100"/>
      <c r="AN365" s="197"/>
      <c r="AO365" s="100"/>
    </row>
    <row r="366" spans="3:41" ht="15.75" customHeight="1" x14ac:dyDescent="0.25"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205"/>
      <c r="P366" s="206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M366" s="100"/>
      <c r="AN366" s="197"/>
      <c r="AO366" s="100"/>
    </row>
    <row r="367" spans="3:41" ht="15.75" customHeight="1" x14ac:dyDescent="0.25"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205"/>
      <c r="P367" s="206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M367" s="100"/>
      <c r="AN367" s="197"/>
      <c r="AO367" s="100"/>
    </row>
    <row r="368" spans="3:41" ht="15.75" customHeight="1" x14ac:dyDescent="0.25"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205"/>
      <c r="P368" s="206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M368" s="100"/>
      <c r="AN368" s="197"/>
      <c r="AO368" s="100"/>
    </row>
    <row r="369" spans="3:41" ht="15.75" customHeight="1" x14ac:dyDescent="0.25"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205"/>
      <c r="P369" s="206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M369" s="100"/>
      <c r="AN369" s="197"/>
      <c r="AO369" s="100"/>
    </row>
    <row r="370" spans="3:41" ht="15.75" customHeight="1" x14ac:dyDescent="0.25"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205"/>
      <c r="P370" s="206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M370" s="100"/>
      <c r="AN370" s="197"/>
      <c r="AO370" s="100"/>
    </row>
    <row r="371" spans="3:41" ht="15.75" customHeight="1" x14ac:dyDescent="0.25"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205"/>
      <c r="P371" s="206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M371" s="100"/>
      <c r="AN371" s="197"/>
      <c r="AO371" s="100"/>
    </row>
    <row r="372" spans="3:41" ht="15.75" customHeight="1" x14ac:dyDescent="0.25"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205"/>
      <c r="P372" s="206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M372" s="100"/>
      <c r="AN372" s="197"/>
      <c r="AO372" s="100"/>
    </row>
    <row r="373" spans="3:41" ht="15.75" customHeight="1" x14ac:dyDescent="0.25"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205"/>
      <c r="P373" s="206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M373" s="100"/>
      <c r="AN373" s="197"/>
      <c r="AO373" s="100"/>
    </row>
    <row r="374" spans="3:41" ht="15.75" customHeight="1" x14ac:dyDescent="0.25"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205"/>
      <c r="P374" s="206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M374" s="100"/>
      <c r="AN374" s="197"/>
      <c r="AO374" s="100"/>
    </row>
    <row r="375" spans="3:41" ht="15.75" customHeight="1" x14ac:dyDescent="0.25"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205"/>
      <c r="P375" s="206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M375" s="100"/>
      <c r="AN375" s="197"/>
      <c r="AO375" s="100"/>
    </row>
    <row r="376" spans="3:41" ht="15.75" customHeight="1" x14ac:dyDescent="0.25"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205"/>
      <c r="P376" s="206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M376" s="100"/>
      <c r="AN376" s="197"/>
      <c r="AO376" s="100"/>
    </row>
    <row r="377" spans="3:41" ht="15.75" customHeight="1" x14ac:dyDescent="0.25"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205"/>
      <c r="P377" s="206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M377" s="100"/>
      <c r="AN377" s="197"/>
      <c r="AO377" s="100"/>
    </row>
    <row r="378" spans="3:41" ht="15.75" customHeight="1" x14ac:dyDescent="0.25"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205"/>
      <c r="P378" s="206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M378" s="100"/>
      <c r="AN378" s="197"/>
      <c r="AO378" s="100"/>
    </row>
    <row r="379" spans="3:41" ht="15.75" customHeight="1" x14ac:dyDescent="0.25"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205"/>
      <c r="P379" s="206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M379" s="100"/>
      <c r="AN379" s="197"/>
      <c r="AO379" s="100"/>
    </row>
    <row r="380" spans="3:41" ht="15.75" customHeight="1" x14ac:dyDescent="0.25"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205"/>
      <c r="P380" s="206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M380" s="100"/>
      <c r="AN380" s="197"/>
      <c r="AO380" s="100"/>
    </row>
    <row r="381" spans="3:41" ht="15.75" customHeight="1" x14ac:dyDescent="0.25"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205"/>
      <c r="P381" s="206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M381" s="100"/>
      <c r="AN381" s="197"/>
      <c r="AO381" s="100"/>
    </row>
    <row r="382" spans="3:41" ht="15.75" customHeight="1" x14ac:dyDescent="0.25"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205"/>
      <c r="P382" s="206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M382" s="100"/>
      <c r="AN382" s="197"/>
      <c r="AO382" s="100"/>
    </row>
    <row r="383" spans="3:41" ht="15.75" customHeight="1" x14ac:dyDescent="0.25"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205"/>
      <c r="P383" s="206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M383" s="100"/>
      <c r="AN383" s="197"/>
      <c r="AO383" s="100"/>
    </row>
    <row r="384" spans="3:41" ht="15.75" customHeight="1" x14ac:dyDescent="0.25"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205"/>
      <c r="P384" s="206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M384" s="100"/>
      <c r="AN384" s="197"/>
      <c r="AO384" s="100"/>
    </row>
    <row r="385" spans="3:41" ht="15.75" customHeight="1" x14ac:dyDescent="0.25"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205"/>
      <c r="P385" s="206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M385" s="100"/>
      <c r="AN385" s="197"/>
      <c r="AO385" s="100"/>
    </row>
    <row r="386" spans="3:41" ht="15.75" customHeight="1" x14ac:dyDescent="0.25"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205"/>
      <c r="P386" s="206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M386" s="100"/>
      <c r="AN386" s="197"/>
      <c r="AO386" s="100"/>
    </row>
    <row r="387" spans="3:41" ht="15.75" customHeight="1" x14ac:dyDescent="0.25"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205"/>
      <c r="P387" s="206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M387" s="100"/>
      <c r="AN387" s="197"/>
      <c r="AO387" s="100"/>
    </row>
    <row r="388" spans="3:41" ht="15.75" customHeight="1" x14ac:dyDescent="0.25"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205"/>
      <c r="P388" s="206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M388" s="100"/>
      <c r="AN388" s="197"/>
      <c r="AO388" s="100"/>
    </row>
    <row r="389" spans="3:41" ht="15.75" customHeight="1" x14ac:dyDescent="0.25"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205"/>
      <c r="P389" s="206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M389" s="100"/>
      <c r="AN389" s="197"/>
      <c r="AO389" s="100"/>
    </row>
    <row r="390" spans="3:41" ht="15.75" customHeight="1" x14ac:dyDescent="0.25"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205"/>
      <c r="P390" s="206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M390" s="100"/>
      <c r="AN390" s="197"/>
      <c r="AO390" s="100"/>
    </row>
    <row r="391" spans="3:41" ht="15.75" customHeight="1" x14ac:dyDescent="0.25"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205"/>
      <c r="P391" s="206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M391" s="100"/>
      <c r="AN391" s="197"/>
      <c r="AO391" s="100"/>
    </row>
    <row r="392" spans="3:41" ht="15.75" customHeight="1" x14ac:dyDescent="0.25"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205"/>
      <c r="P392" s="206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M392" s="100"/>
      <c r="AN392" s="197"/>
      <c r="AO392" s="100"/>
    </row>
    <row r="393" spans="3:41" ht="15.75" customHeight="1" x14ac:dyDescent="0.25"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205"/>
      <c r="P393" s="206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M393" s="100"/>
      <c r="AN393" s="197"/>
      <c r="AO393" s="100"/>
    </row>
    <row r="394" spans="3:41" ht="15.75" customHeight="1" x14ac:dyDescent="0.25"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205"/>
      <c r="P394" s="206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M394" s="100"/>
      <c r="AN394" s="197"/>
      <c r="AO394" s="100"/>
    </row>
    <row r="395" spans="3:41" ht="15.75" customHeight="1" x14ac:dyDescent="0.25"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205"/>
      <c r="P395" s="206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M395" s="100"/>
      <c r="AN395" s="197"/>
      <c r="AO395" s="100"/>
    </row>
    <row r="396" spans="3:41" ht="15.75" customHeight="1" x14ac:dyDescent="0.25"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205"/>
      <c r="P396" s="206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M396" s="100"/>
      <c r="AN396" s="197"/>
      <c r="AO396" s="100"/>
    </row>
    <row r="397" spans="3:41" ht="15.75" customHeight="1" x14ac:dyDescent="0.25"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205"/>
      <c r="P397" s="206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M397" s="100"/>
      <c r="AN397" s="197"/>
      <c r="AO397" s="100"/>
    </row>
    <row r="398" spans="3:41" ht="15.75" customHeight="1" x14ac:dyDescent="0.25"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205"/>
      <c r="P398" s="206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M398" s="100"/>
      <c r="AN398" s="197"/>
      <c r="AO398" s="100"/>
    </row>
    <row r="399" spans="3:41" ht="15.75" customHeight="1" x14ac:dyDescent="0.25"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205"/>
      <c r="P399" s="206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M399" s="100"/>
      <c r="AN399" s="197"/>
      <c r="AO399" s="100"/>
    </row>
    <row r="400" spans="3:41" ht="15.75" customHeight="1" x14ac:dyDescent="0.25"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205"/>
      <c r="P400" s="206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M400" s="100"/>
      <c r="AN400" s="197"/>
      <c r="AO400" s="100"/>
    </row>
    <row r="401" spans="3:41" ht="15.75" customHeight="1" x14ac:dyDescent="0.25"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205"/>
      <c r="P401" s="206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M401" s="100"/>
      <c r="AN401" s="197"/>
      <c r="AO401" s="100"/>
    </row>
    <row r="402" spans="3:41" ht="15.75" customHeight="1" x14ac:dyDescent="0.25"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205"/>
      <c r="P402" s="206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M402" s="100"/>
      <c r="AN402" s="197"/>
      <c r="AO402" s="100"/>
    </row>
    <row r="403" spans="3:41" ht="15.75" customHeight="1" x14ac:dyDescent="0.25"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205"/>
      <c r="P403" s="206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M403" s="100"/>
      <c r="AN403" s="197"/>
      <c r="AO403" s="100"/>
    </row>
    <row r="404" spans="3:41" ht="15.75" customHeight="1" x14ac:dyDescent="0.25"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205"/>
      <c r="P404" s="206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M404" s="100"/>
      <c r="AN404" s="197"/>
      <c r="AO404" s="100"/>
    </row>
    <row r="405" spans="3:41" ht="15.75" customHeight="1" x14ac:dyDescent="0.25"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205"/>
      <c r="P405" s="206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M405" s="100"/>
      <c r="AN405" s="197"/>
      <c r="AO405" s="100"/>
    </row>
    <row r="406" spans="3:41" ht="15.75" customHeight="1" x14ac:dyDescent="0.25"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205"/>
      <c r="P406" s="206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M406" s="100"/>
      <c r="AN406" s="197"/>
      <c r="AO406" s="100"/>
    </row>
    <row r="407" spans="3:41" ht="15.75" customHeight="1" x14ac:dyDescent="0.25"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205"/>
      <c r="P407" s="206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M407" s="100"/>
      <c r="AN407" s="197"/>
      <c r="AO407" s="100"/>
    </row>
    <row r="408" spans="3:41" ht="15.75" customHeight="1" x14ac:dyDescent="0.25"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205"/>
      <c r="P408" s="206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M408" s="100"/>
      <c r="AN408" s="197"/>
      <c r="AO408" s="100"/>
    </row>
    <row r="409" spans="3:41" ht="15.75" customHeight="1" x14ac:dyDescent="0.25"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205"/>
      <c r="P409" s="206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M409" s="100"/>
      <c r="AN409" s="197"/>
      <c r="AO409" s="100"/>
    </row>
    <row r="410" spans="3:41" ht="15.75" customHeight="1" x14ac:dyDescent="0.25"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205"/>
      <c r="P410" s="206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M410" s="100"/>
      <c r="AN410" s="197"/>
      <c r="AO410" s="100"/>
    </row>
    <row r="411" spans="3:41" ht="15.75" customHeight="1" x14ac:dyDescent="0.25"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205"/>
      <c r="P411" s="206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M411" s="100"/>
      <c r="AN411" s="197"/>
      <c r="AO411" s="100"/>
    </row>
    <row r="412" spans="3:41" ht="15.75" customHeight="1" x14ac:dyDescent="0.25"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205"/>
      <c r="P412" s="206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M412" s="100"/>
      <c r="AN412" s="197"/>
      <c r="AO412" s="100"/>
    </row>
    <row r="413" spans="3:41" ht="15.75" customHeight="1" x14ac:dyDescent="0.25"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205"/>
      <c r="P413" s="206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M413" s="100"/>
      <c r="AN413" s="197"/>
      <c r="AO413" s="100"/>
    </row>
    <row r="414" spans="3:41" ht="15.75" customHeight="1" x14ac:dyDescent="0.25"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205"/>
      <c r="P414" s="206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M414" s="100"/>
      <c r="AN414" s="197"/>
      <c r="AO414" s="100"/>
    </row>
    <row r="415" spans="3:41" ht="15.75" customHeight="1" x14ac:dyDescent="0.25"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205"/>
      <c r="P415" s="206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M415" s="100"/>
      <c r="AN415" s="197"/>
      <c r="AO415" s="100"/>
    </row>
    <row r="416" spans="3:41" ht="15.75" customHeight="1" x14ac:dyDescent="0.25"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205"/>
      <c r="P416" s="206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M416" s="100"/>
      <c r="AN416" s="197"/>
      <c r="AO416" s="100"/>
    </row>
    <row r="417" spans="3:41" ht="15.75" customHeight="1" x14ac:dyDescent="0.25"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205"/>
      <c r="P417" s="206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M417" s="100"/>
      <c r="AN417" s="197"/>
      <c r="AO417" s="100"/>
    </row>
    <row r="418" spans="3:41" ht="15.75" customHeight="1" x14ac:dyDescent="0.25"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205"/>
      <c r="P418" s="206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M418" s="100"/>
      <c r="AN418" s="197"/>
      <c r="AO418" s="100"/>
    </row>
    <row r="419" spans="3:41" ht="15.75" customHeight="1" x14ac:dyDescent="0.25"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205"/>
      <c r="P419" s="206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M419" s="100"/>
      <c r="AN419" s="197"/>
      <c r="AO419" s="100"/>
    </row>
    <row r="420" spans="3:41" ht="15.75" customHeight="1" x14ac:dyDescent="0.25"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205"/>
      <c r="P420" s="206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M420" s="100"/>
      <c r="AN420" s="197"/>
      <c r="AO420" s="100"/>
    </row>
    <row r="421" spans="3:41" ht="15.75" customHeight="1" x14ac:dyDescent="0.25"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205"/>
      <c r="P421" s="206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M421" s="100"/>
      <c r="AN421" s="197"/>
      <c r="AO421" s="100"/>
    </row>
    <row r="422" spans="3:41" ht="15.75" customHeight="1" x14ac:dyDescent="0.25"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205"/>
      <c r="P422" s="206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M422" s="100"/>
      <c r="AN422" s="197"/>
      <c r="AO422" s="100"/>
    </row>
    <row r="423" spans="3:41" ht="15.75" customHeight="1" x14ac:dyDescent="0.25"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205"/>
      <c r="P423" s="206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M423" s="100"/>
      <c r="AN423" s="197"/>
      <c r="AO423" s="100"/>
    </row>
    <row r="424" spans="3:41" ht="15.75" customHeight="1" x14ac:dyDescent="0.25"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205"/>
      <c r="P424" s="206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M424" s="100"/>
      <c r="AN424" s="197"/>
      <c r="AO424" s="100"/>
    </row>
    <row r="425" spans="3:41" ht="15.75" customHeight="1" x14ac:dyDescent="0.25"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205"/>
      <c r="P425" s="206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M425" s="100"/>
      <c r="AN425" s="197"/>
      <c r="AO425" s="100"/>
    </row>
    <row r="426" spans="3:41" ht="15.75" customHeight="1" x14ac:dyDescent="0.25"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205"/>
      <c r="P426" s="206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M426" s="100"/>
      <c r="AN426" s="197"/>
      <c r="AO426" s="100"/>
    </row>
    <row r="427" spans="3:41" ht="15.75" customHeight="1" x14ac:dyDescent="0.25"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205"/>
      <c r="P427" s="206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M427" s="100"/>
      <c r="AN427" s="197"/>
      <c r="AO427" s="100"/>
    </row>
    <row r="428" spans="3:41" ht="15.75" customHeight="1" x14ac:dyDescent="0.25"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205"/>
      <c r="P428" s="206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M428" s="100"/>
      <c r="AN428" s="197"/>
      <c r="AO428" s="100"/>
    </row>
    <row r="429" spans="3:41" ht="15.75" customHeight="1" x14ac:dyDescent="0.25"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205"/>
      <c r="P429" s="206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M429" s="100"/>
      <c r="AN429" s="197"/>
      <c r="AO429" s="100"/>
    </row>
    <row r="430" spans="3:41" ht="15.75" customHeight="1" x14ac:dyDescent="0.25"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205"/>
      <c r="P430" s="206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M430" s="100"/>
      <c r="AN430" s="197"/>
      <c r="AO430" s="100"/>
    </row>
    <row r="431" spans="3:41" ht="15.75" customHeight="1" x14ac:dyDescent="0.25"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205"/>
      <c r="P431" s="206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M431" s="100"/>
      <c r="AN431" s="197"/>
      <c r="AO431" s="100"/>
    </row>
    <row r="432" spans="3:41" ht="15.75" customHeight="1" x14ac:dyDescent="0.25"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205"/>
      <c r="P432" s="206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M432" s="100"/>
      <c r="AN432" s="197"/>
      <c r="AO432" s="100"/>
    </row>
    <row r="433" spans="3:41" ht="15.75" customHeight="1" x14ac:dyDescent="0.25"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205"/>
      <c r="P433" s="206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M433" s="100"/>
      <c r="AN433" s="197"/>
      <c r="AO433" s="100"/>
    </row>
    <row r="434" spans="3:41" ht="15.75" customHeight="1" x14ac:dyDescent="0.25"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205"/>
      <c r="P434" s="206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M434" s="100"/>
      <c r="AN434" s="197"/>
      <c r="AO434" s="100"/>
    </row>
    <row r="435" spans="3:41" ht="15.75" customHeight="1" x14ac:dyDescent="0.25"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205"/>
      <c r="P435" s="206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M435" s="100"/>
      <c r="AN435" s="197"/>
      <c r="AO435" s="100"/>
    </row>
    <row r="436" spans="3:41" ht="15.75" customHeight="1" x14ac:dyDescent="0.25"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205"/>
      <c r="P436" s="206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M436" s="100"/>
      <c r="AN436" s="197"/>
      <c r="AO436" s="100"/>
    </row>
    <row r="437" spans="3:41" ht="15.75" customHeight="1" x14ac:dyDescent="0.25"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205"/>
      <c r="P437" s="206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M437" s="100"/>
      <c r="AN437" s="197"/>
      <c r="AO437" s="100"/>
    </row>
    <row r="438" spans="3:41" ht="15.75" customHeight="1" x14ac:dyDescent="0.25"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205"/>
      <c r="P438" s="206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M438" s="100"/>
      <c r="AN438" s="197"/>
      <c r="AO438" s="100"/>
    </row>
    <row r="439" spans="3:41" ht="15.75" customHeight="1" x14ac:dyDescent="0.25"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205"/>
      <c r="P439" s="206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M439" s="100"/>
      <c r="AN439" s="197"/>
      <c r="AO439" s="100"/>
    </row>
    <row r="440" spans="3:41" ht="15.75" customHeight="1" x14ac:dyDescent="0.25"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205"/>
      <c r="P440" s="206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M440" s="100"/>
      <c r="AN440" s="197"/>
      <c r="AO440" s="100"/>
    </row>
    <row r="441" spans="3:41" ht="15.75" customHeight="1" x14ac:dyDescent="0.25"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205"/>
      <c r="P441" s="206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M441" s="100"/>
      <c r="AN441" s="197"/>
      <c r="AO441" s="100"/>
    </row>
    <row r="442" spans="3:41" ht="15.75" customHeight="1" x14ac:dyDescent="0.25"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205"/>
      <c r="P442" s="206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M442" s="100"/>
      <c r="AN442" s="197"/>
      <c r="AO442" s="100"/>
    </row>
    <row r="443" spans="3:41" ht="15.75" customHeight="1" x14ac:dyDescent="0.25"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205"/>
      <c r="P443" s="206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M443" s="100"/>
      <c r="AN443" s="197"/>
      <c r="AO443" s="100"/>
    </row>
    <row r="444" spans="3:41" ht="15.75" customHeight="1" x14ac:dyDescent="0.25"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205"/>
      <c r="P444" s="206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M444" s="100"/>
      <c r="AN444" s="197"/>
      <c r="AO444" s="100"/>
    </row>
    <row r="445" spans="3:41" ht="15.75" customHeight="1" x14ac:dyDescent="0.25"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205"/>
      <c r="P445" s="206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M445" s="100"/>
      <c r="AN445" s="197"/>
      <c r="AO445" s="100"/>
    </row>
    <row r="446" spans="3:41" ht="15.75" customHeight="1" x14ac:dyDescent="0.25"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205"/>
      <c r="P446" s="206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M446" s="100"/>
      <c r="AN446" s="197"/>
      <c r="AO446" s="100"/>
    </row>
    <row r="447" spans="3:41" ht="15.75" customHeight="1" x14ac:dyDescent="0.25"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205"/>
      <c r="P447" s="206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M447" s="100"/>
      <c r="AN447" s="197"/>
      <c r="AO447" s="100"/>
    </row>
    <row r="448" spans="3:41" ht="15.75" customHeight="1" x14ac:dyDescent="0.25"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205"/>
      <c r="P448" s="206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M448" s="100"/>
      <c r="AN448" s="197"/>
      <c r="AO448" s="100"/>
    </row>
    <row r="449" spans="3:41" ht="15.75" customHeight="1" x14ac:dyDescent="0.25"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205"/>
      <c r="P449" s="206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M449" s="100"/>
      <c r="AN449" s="197"/>
      <c r="AO449" s="100"/>
    </row>
    <row r="450" spans="3:41" ht="15.75" customHeight="1" x14ac:dyDescent="0.25"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205"/>
      <c r="P450" s="206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M450" s="100"/>
      <c r="AN450" s="197"/>
      <c r="AO450" s="100"/>
    </row>
    <row r="451" spans="3:41" ht="15.75" customHeight="1" x14ac:dyDescent="0.25"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205"/>
      <c r="P451" s="206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M451" s="100"/>
      <c r="AN451" s="197"/>
      <c r="AO451" s="100"/>
    </row>
    <row r="452" spans="3:41" ht="15.75" customHeight="1" x14ac:dyDescent="0.25"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205"/>
      <c r="P452" s="206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M452" s="100"/>
      <c r="AN452" s="197"/>
      <c r="AO452" s="100"/>
    </row>
    <row r="453" spans="3:41" ht="15.75" customHeight="1" x14ac:dyDescent="0.25"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205"/>
      <c r="P453" s="206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M453" s="100"/>
      <c r="AN453" s="197"/>
      <c r="AO453" s="100"/>
    </row>
    <row r="454" spans="3:41" ht="15.75" customHeight="1" x14ac:dyDescent="0.25"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205"/>
      <c r="P454" s="206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M454" s="100"/>
      <c r="AN454" s="197"/>
      <c r="AO454" s="100"/>
    </row>
    <row r="455" spans="3:41" ht="15.75" customHeight="1" x14ac:dyDescent="0.25"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205"/>
      <c r="P455" s="206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M455" s="100"/>
      <c r="AN455" s="197"/>
      <c r="AO455" s="100"/>
    </row>
    <row r="456" spans="3:41" ht="15.75" customHeight="1" x14ac:dyDescent="0.25"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205"/>
      <c r="P456" s="206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M456" s="100"/>
      <c r="AN456" s="197"/>
      <c r="AO456" s="100"/>
    </row>
    <row r="457" spans="3:41" ht="15.75" customHeight="1" x14ac:dyDescent="0.25"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205"/>
      <c r="P457" s="206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M457" s="100"/>
      <c r="AN457" s="197"/>
      <c r="AO457" s="100"/>
    </row>
    <row r="458" spans="3:41" ht="15.75" customHeight="1" x14ac:dyDescent="0.25"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205"/>
      <c r="P458" s="206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M458" s="100"/>
      <c r="AN458" s="197"/>
      <c r="AO458" s="100"/>
    </row>
    <row r="459" spans="3:41" ht="15.75" customHeight="1" x14ac:dyDescent="0.25"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205"/>
      <c r="P459" s="206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M459" s="100"/>
      <c r="AN459" s="197"/>
      <c r="AO459" s="100"/>
    </row>
    <row r="460" spans="3:41" ht="15.75" customHeight="1" x14ac:dyDescent="0.25"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205"/>
      <c r="P460" s="206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M460" s="100"/>
      <c r="AN460" s="197"/>
      <c r="AO460" s="100"/>
    </row>
    <row r="461" spans="3:41" ht="15.75" customHeight="1" x14ac:dyDescent="0.25"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205"/>
      <c r="P461" s="206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M461" s="100"/>
      <c r="AN461" s="197"/>
      <c r="AO461" s="100"/>
    </row>
    <row r="462" spans="3:41" ht="15.75" customHeight="1" x14ac:dyDescent="0.25"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205"/>
      <c r="P462" s="206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M462" s="100"/>
      <c r="AN462" s="197"/>
      <c r="AO462" s="100"/>
    </row>
    <row r="463" spans="3:41" ht="15.75" customHeight="1" x14ac:dyDescent="0.25"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205"/>
      <c r="P463" s="206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M463" s="100"/>
      <c r="AN463" s="197"/>
      <c r="AO463" s="100"/>
    </row>
    <row r="464" spans="3:41" ht="15.75" customHeight="1" x14ac:dyDescent="0.25"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205"/>
      <c r="P464" s="206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M464" s="100"/>
      <c r="AN464" s="197"/>
      <c r="AO464" s="100"/>
    </row>
    <row r="465" spans="3:41" ht="15.75" customHeight="1" x14ac:dyDescent="0.25"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205"/>
      <c r="P465" s="206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M465" s="100"/>
      <c r="AN465" s="197"/>
      <c r="AO465" s="100"/>
    </row>
    <row r="466" spans="3:41" ht="15.75" customHeight="1" x14ac:dyDescent="0.25"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205"/>
      <c r="P466" s="206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M466" s="100"/>
      <c r="AN466" s="197"/>
      <c r="AO466" s="100"/>
    </row>
    <row r="467" spans="3:41" ht="15.75" customHeight="1" x14ac:dyDescent="0.25"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205"/>
      <c r="P467" s="206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M467" s="100"/>
      <c r="AN467" s="197"/>
      <c r="AO467" s="100"/>
    </row>
    <row r="468" spans="3:41" ht="15.75" customHeight="1" x14ac:dyDescent="0.25"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205"/>
      <c r="P468" s="206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M468" s="100"/>
      <c r="AN468" s="197"/>
      <c r="AO468" s="100"/>
    </row>
    <row r="469" spans="3:41" ht="15.75" customHeight="1" x14ac:dyDescent="0.25"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205"/>
      <c r="P469" s="206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M469" s="100"/>
      <c r="AN469" s="197"/>
      <c r="AO469" s="100"/>
    </row>
    <row r="470" spans="3:41" ht="15.75" customHeight="1" x14ac:dyDescent="0.25"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205"/>
      <c r="P470" s="206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M470" s="100"/>
      <c r="AN470" s="197"/>
      <c r="AO470" s="100"/>
    </row>
    <row r="471" spans="3:41" ht="15.75" customHeight="1" x14ac:dyDescent="0.25"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205"/>
      <c r="P471" s="206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M471" s="100"/>
      <c r="AN471" s="197"/>
      <c r="AO471" s="100"/>
    </row>
    <row r="472" spans="3:41" ht="15.75" customHeight="1" x14ac:dyDescent="0.25"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205"/>
      <c r="P472" s="206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M472" s="100"/>
      <c r="AN472" s="197"/>
      <c r="AO472" s="100"/>
    </row>
    <row r="473" spans="3:41" ht="15.75" customHeight="1" x14ac:dyDescent="0.25"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205"/>
      <c r="P473" s="206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M473" s="100"/>
      <c r="AN473" s="197"/>
      <c r="AO473" s="100"/>
    </row>
    <row r="474" spans="3:41" ht="15.75" customHeight="1" x14ac:dyDescent="0.25"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205"/>
      <c r="P474" s="206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M474" s="100"/>
      <c r="AN474" s="197"/>
      <c r="AO474" s="100"/>
    </row>
    <row r="475" spans="3:41" ht="15.75" customHeight="1" x14ac:dyDescent="0.25"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205"/>
      <c r="P475" s="206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M475" s="100"/>
      <c r="AN475" s="197"/>
      <c r="AO475" s="100"/>
    </row>
    <row r="476" spans="3:41" ht="15.75" customHeight="1" x14ac:dyDescent="0.25"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205"/>
      <c r="P476" s="206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M476" s="100"/>
      <c r="AN476" s="197"/>
      <c r="AO476" s="100"/>
    </row>
    <row r="477" spans="3:41" ht="15.75" customHeight="1" x14ac:dyDescent="0.25"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205"/>
      <c r="P477" s="206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M477" s="100"/>
      <c r="AN477" s="197"/>
      <c r="AO477" s="100"/>
    </row>
    <row r="478" spans="3:41" ht="15.75" customHeight="1" x14ac:dyDescent="0.25"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205"/>
      <c r="P478" s="206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M478" s="100"/>
      <c r="AN478" s="197"/>
      <c r="AO478" s="100"/>
    </row>
    <row r="479" spans="3:41" ht="15.75" customHeight="1" x14ac:dyDescent="0.25"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205"/>
      <c r="P479" s="206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M479" s="100"/>
      <c r="AN479" s="197"/>
      <c r="AO479" s="100"/>
    </row>
    <row r="480" spans="3:41" ht="15.75" customHeight="1" x14ac:dyDescent="0.25"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205"/>
      <c r="P480" s="206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M480" s="100"/>
      <c r="AN480" s="197"/>
      <c r="AO480" s="100"/>
    </row>
    <row r="481" spans="3:41" ht="15.75" customHeight="1" x14ac:dyDescent="0.25"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205"/>
      <c r="P481" s="206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M481" s="100"/>
      <c r="AN481" s="197"/>
      <c r="AO481" s="100"/>
    </row>
    <row r="482" spans="3:41" ht="15.75" customHeight="1" x14ac:dyDescent="0.25"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205"/>
      <c r="P482" s="206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M482" s="100"/>
      <c r="AN482" s="197"/>
      <c r="AO482" s="100"/>
    </row>
    <row r="483" spans="3:41" ht="15.75" customHeight="1" x14ac:dyDescent="0.25"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205"/>
      <c r="P483" s="206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M483" s="100"/>
      <c r="AN483" s="197"/>
      <c r="AO483" s="100"/>
    </row>
    <row r="484" spans="3:41" ht="15.75" customHeight="1" x14ac:dyDescent="0.25"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205"/>
      <c r="P484" s="206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M484" s="100"/>
      <c r="AN484" s="197"/>
      <c r="AO484" s="100"/>
    </row>
    <row r="485" spans="3:41" ht="15.75" customHeight="1" x14ac:dyDescent="0.25"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205"/>
      <c r="P485" s="206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M485" s="100"/>
      <c r="AN485" s="197"/>
      <c r="AO485" s="100"/>
    </row>
    <row r="486" spans="3:41" ht="15.75" customHeight="1" x14ac:dyDescent="0.25"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205"/>
      <c r="P486" s="206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M486" s="100"/>
      <c r="AN486" s="197"/>
      <c r="AO486" s="100"/>
    </row>
    <row r="487" spans="3:41" ht="15.75" customHeight="1" x14ac:dyDescent="0.25"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205"/>
      <c r="P487" s="206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M487" s="100"/>
      <c r="AN487" s="197"/>
      <c r="AO487" s="100"/>
    </row>
    <row r="488" spans="3:41" ht="15.75" customHeight="1" x14ac:dyDescent="0.25"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205"/>
      <c r="P488" s="206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M488" s="100"/>
      <c r="AN488" s="197"/>
      <c r="AO488" s="100"/>
    </row>
    <row r="489" spans="3:41" ht="15.75" customHeight="1" x14ac:dyDescent="0.25"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205"/>
      <c r="P489" s="206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M489" s="100"/>
      <c r="AN489" s="197"/>
      <c r="AO489" s="100"/>
    </row>
    <row r="490" spans="3:41" ht="15.75" customHeight="1" x14ac:dyDescent="0.25"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205"/>
      <c r="P490" s="206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M490" s="100"/>
      <c r="AN490" s="197"/>
      <c r="AO490" s="100"/>
    </row>
    <row r="491" spans="3:41" ht="15.75" customHeight="1" x14ac:dyDescent="0.25"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205"/>
      <c r="P491" s="206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M491" s="100"/>
      <c r="AN491" s="197"/>
      <c r="AO491" s="100"/>
    </row>
    <row r="492" spans="3:41" ht="15.75" customHeight="1" x14ac:dyDescent="0.25"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205"/>
      <c r="P492" s="206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M492" s="100"/>
      <c r="AN492" s="197"/>
      <c r="AO492" s="100"/>
    </row>
    <row r="493" spans="3:41" ht="15.75" customHeight="1" x14ac:dyDescent="0.25"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205"/>
      <c r="P493" s="206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M493" s="100"/>
      <c r="AN493" s="197"/>
      <c r="AO493" s="100"/>
    </row>
    <row r="494" spans="3:41" ht="15.75" customHeight="1" x14ac:dyDescent="0.25"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205"/>
      <c r="P494" s="206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M494" s="100"/>
      <c r="AN494" s="197"/>
      <c r="AO494" s="100"/>
    </row>
    <row r="495" spans="3:41" ht="15.75" customHeight="1" x14ac:dyDescent="0.25"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205"/>
      <c r="P495" s="206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M495" s="100"/>
      <c r="AN495" s="197"/>
      <c r="AO495" s="100"/>
    </row>
    <row r="496" spans="3:41" ht="15.75" customHeight="1" x14ac:dyDescent="0.25"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205"/>
      <c r="P496" s="206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M496" s="100"/>
      <c r="AN496" s="197"/>
      <c r="AO496" s="100"/>
    </row>
    <row r="497" spans="3:41" ht="15.75" customHeight="1" x14ac:dyDescent="0.25"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205"/>
      <c r="P497" s="206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M497" s="100"/>
      <c r="AN497" s="197"/>
      <c r="AO497" s="100"/>
    </row>
    <row r="498" spans="3:41" ht="15.75" customHeight="1" x14ac:dyDescent="0.25"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205"/>
      <c r="P498" s="206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M498" s="100"/>
      <c r="AN498" s="197"/>
      <c r="AO498" s="100"/>
    </row>
    <row r="499" spans="3:41" ht="15.75" customHeight="1" x14ac:dyDescent="0.25"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205"/>
      <c r="P499" s="206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M499" s="100"/>
      <c r="AN499" s="197"/>
      <c r="AO499" s="100"/>
    </row>
    <row r="500" spans="3:41" ht="15.75" customHeight="1" x14ac:dyDescent="0.25"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205"/>
      <c r="P500" s="206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M500" s="100"/>
      <c r="AN500" s="197"/>
      <c r="AO500" s="100"/>
    </row>
    <row r="501" spans="3:41" ht="15.75" customHeight="1" x14ac:dyDescent="0.25"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205"/>
      <c r="P501" s="206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M501" s="100"/>
      <c r="AN501" s="197"/>
      <c r="AO501" s="100"/>
    </row>
    <row r="502" spans="3:41" ht="15.75" customHeight="1" x14ac:dyDescent="0.25"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205"/>
      <c r="P502" s="206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M502" s="100"/>
      <c r="AN502" s="197"/>
      <c r="AO502" s="100"/>
    </row>
    <row r="503" spans="3:41" ht="15.75" customHeight="1" x14ac:dyDescent="0.25"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205"/>
      <c r="P503" s="206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M503" s="100"/>
      <c r="AN503" s="197"/>
      <c r="AO503" s="100"/>
    </row>
    <row r="504" spans="3:41" ht="15.75" customHeight="1" x14ac:dyDescent="0.25"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205"/>
      <c r="P504" s="206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M504" s="100"/>
      <c r="AN504" s="197"/>
      <c r="AO504" s="100"/>
    </row>
    <row r="505" spans="3:41" ht="15.75" customHeight="1" x14ac:dyDescent="0.25"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205"/>
      <c r="P505" s="206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M505" s="100"/>
      <c r="AN505" s="197"/>
      <c r="AO505" s="100"/>
    </row>
    <row r="506" spans="3:41" ht="15.75" customHeight="1" x14ac:dyDescent="0.25"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205"/>
      <c r="P506" s="206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M506" s="100"/>
      <c r="AN506" s="197"/>
      <c r="AO506" s="100"/>
    </row>
    <row r="507" spans="3:41" ht="15.75" customHeight="1" x14ac:dyDescent="0.25"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205"/>
      <c r="P507" s="206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M507" s="100"/>
      <c r="AN507" s="197"/>
      <c r="AO507" s="100"/>
    </row>
    <row r="508" spans="3:41" ht="15.75" customHeight="1" x14ac:dyDescent="0.25"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205"/>
      <c r="P508" s="206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M508" s="100"/>
      <c r="AN508" s="197"/>
      <c r="AO508" s="100"/>
    </row>
    <row r="509" spans="3:41" ht="15.75" customHeight="1" x14ac:dyDescent="0.25"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205"/>
      <c r="P509" s="206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M509" s="100"/>
      <c r="AN509" s="197"/>
      <c r="AO509" s="100"/>
    </row>
    <row r="510" spans="3:41" ht="15.75" customHeight="1" x14ac:dyDescent="0.25"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205"/>
      <c r="P510" s="206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M510" s="100"/>
      <c r="AN510" s="197"/>
      <c r="AO510" s="100"/>
    </row>
    <row r="511" spans="3:41" ht="15.75" customHeight="1" x14ac:dyDescent="0.25"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205"/>
      <c r="P511" s="206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M511" s="100"/>
      <c r="AN511" s="197"/>
      <c r="AO511" s="100"/>
    </row>
    <row r="512" spans="3:41" ht="15.75" customHeight="1" x14ac:dyDescent="0.25"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205"/>
      <c r="P512" s="206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M512" s="100"/>
      <c r="AN512" s="197"/>
      <c r="AO512" s="100"/>
    </row>
    <row r="513" spans="3:41" ht="15.75" customHeight="1" x14ac:dyDescent="0.25"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205"/>
      <c r="P513" s="206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M513" s="100"/>
      <c r="AN513" s="197"/>
      <c r="AO513" s="100"/>
    </row>
    <row r="514" spans="3:41" ht="15.75" customHeight="1" x14ac:dyDescent="0.25"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205"/>
      <c r="P514" s="206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M514" s="100"/>
      <c r="AN514" s="197"/>
      <c r="AO514" s="100"/>
    </row>
    <row r="515" spans="3:41" ht="15.75" customHeight="1" x14ac:dyDescent="0.25"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205"/>
      <c r="P515" s="206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M515" s="100"/>
      <c r="AN515" s="197"/>
      <c r="AO515" s="100"/>
    </row>
    <row r="516" spans="3:41" ht="15.75" customHeight="1" x14ac:dyDescent="0.25"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205"/>
      <c r="P516" s="206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M516" s="100"/>
      <c r="AN516" s="197"/>
      <c r="AO516" s="100"/>
    </row>
    <row r="517" spans="3:41" ht="15.75" customHeight="1" x14ac:dyDescent="0.25"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205"/>
      <c r="P517" s="206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M517" s="100"/>
      <c r="AN517" s="197"/>
      <c r="AO517" s="100"/>
    </row>
    <row r="518" spans="3:41" ht="15.75" customHeight="1" x14ac:dyDescent="0.25"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205"/>
      <c r="P518" s="206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M518" s="100"/>
      <c r="AN518" s="197"/>
      <c r="AO518" s="100"/>
    </row>
    <row r="519" spans="3:41" ht="15.75" customHeight="1" x14ac:dyDescent="0.25"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205"/>
      <c r="P519" s="206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M519" s="100"/>
      <c r="AN519" s="197"/>
      <c r="AO519" s="100"/>
    </row>
    <row r="520" spans="3:41" ht="15.75" customHeight="1" x14ac:dyDescent="0.25"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205"/>
      <c r="P520" s="206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M520" s="100"/>
      <c r="AN520" s="197"/>
      <c r="AO520" s="100"/>
    </row>
    <row r="521" spans="3:41" ht="15.75" customHeight="1" x14ac:dyDescent="0.25"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205"/>
      <c r="P521" s="206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M521" s="100"/>
      <c r="AN521" s="197"/>
      <c r="AO521" s="100"/>
    </row>
    <row r="522" spans="3:41" ht="15.75" customHeight="1" x14ac:dyDescent="0.25"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205"/>
      <c r="P522" s="206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M522" s="100"/>
      <c r="AN522" s="197"/>
      <c r="AO522" s="100"/>
    </row>
    <row r="523" spans="3:41" ht="15.75" customHeight="1" x14ac:dyDescent="0.25"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205"/>
      <c r="P523" s="206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M523" s="100"/>
      <c r="AN523" s="197"/>
      <c r="AO523" s="100"/>
    </row>
    <row r="524" spans="3:41" ht="15.75" customHeight="1" x14ac:dyDescent="0.25"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205"/>
      <c r="P524" s="206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M524" s="100"/>
      <c r="AN524" s="197"/>
      <c r="AO524" s="100"/>
    </row>
    <row r="525" spans="3:41" ht="15.75" customHeight="1" x14ac:dyDescent="0.25"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205"/>
      <c r="P525" s="206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M525" s="100"/>
      <c r="AN525" s="197"/>
      <c r="AO525" s="100"/>
    </row>
    <row r="526" spans="3:41" ht="15.75" customHeight="1" x14ac:dyDescent="0.25"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205"/>
      <c r="P526" s="206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M526" s="100"/>
      <c r="AN526" s="197"/>
      <c r="AO526" s="100"/>
    </row>
    <row r="527" spans="3:41" ht="15.75" customHeight="1" x14ac:dyDescent="0.25"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205"/>
      <c r="P527" s="206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M527" s="100"/>
      <c r="AN527" s="197"/>
      <c r="AO527" s="100"/>
    </row>
    <row r="528" spans="3:41" ht="15.75" customHeight="1" x14ac:dyDescent="0.25"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205"/>
      <c r="P528" s="206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M528" s="100"/>
      <c r="AN528" s="197"/>
      <c r="AO528" s="100"/>
    </row>
    <row r="529" spans="3:41" ht="15.75" customHeight="1" x14ac:dyDescent="0.25"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205"/>
      <c r="P529" s="206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M529" s="100"/>
      <c r="AN529" s="197"/>
      <c r="AO529" s="100"/>
    </row>
    <row r="530" spans="3:41" ht="15.75" customHeight="1" x14ac:dyDescent="0.25"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205"/>
      <c r="P530" s="206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M530" s="100"/>
      <c r="AN530" s="197"/>
      <c r="AO530" s="100"/>
    </row>
    <row r="531" spans="3:41" ht="15.75" customHeight="1" x14ac:dyDescent="0.25"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205"/>
      <c r="P531" s="206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M531" s="100"/>
      <c r="AN531" s="197"/>
      <c r="AO531" s="100"/>
    </row>
    <row r="532" spans="3:41" ht="15.75" customHeight="1" x14ac:dyDescent="0.25"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205"/>
      <c r="P532" s="206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M532" s="100"/>
      <c r="AN532" s="197"/>
      <c r="AO532" s="100"/>
    </row>
    <row r="533" spans="3:41" ht="15.75" customHeight="1" x14ac:dyDescent="0.25"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205"/>
      <c r="P533" s="206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M533" s="100"/>
      <c r="AN533" s="197"/>
      <c r="AO533" s="100"/>
    </row>
    <row r="534" spans="3:41" ht="15.75" customHeight="1" x14ac:dyDescent="0.25"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205"/>
      <c r="P534" s="206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M534" s="100"/>
      <c r="AN534" s="197"/>
      <c r="AO534" s="100"/>
    </row>
    <row r="535" spans="3:41" ht="15.75" customHeight="1" x14ac:dyDescent="0.25"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205"/>
      <c r="P535" s="206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M535" s="100"/>
      <c r="AN535" s="197"/>
      <c r="AO535" s="100"/>
    </row>
    <row r="536" spans="3:41" ht="15.75" customHeight="1" x14ac:dyDescent="0.25"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205"/>
      <c r="P536" s="206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M536" s="100"/>
      <c r="AN536" s="197"/>
      <c r="AO536" s="100"/>
    </row>
    <row r="537" spans="3:41" ht="15.75" customHeight="1" x14ac:dyDescent="0.25"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205"/>
      <c r="P537" s="206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M537" s="100"/>
      <c r="AN537" s="197"/>
      <c r="AO537" s="100"/>
    </row>
    <row r="538" spans="3:41" ht="15.75" customHeight="1" x14ac:dyDescent="0.25"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205"/>
      <c r="P538" s="206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M538" s="100"/>
      <c r="AN538" s="197"/>
      <c r="AO538" s="100"/>
    </row>
    <row r="539" spans="3:41" ht="15.75" customHeight="1" x14ac:dyDescent="0.25"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205"/>
      <c r="P539" s="206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M539" s="100"/>
      <c r="AN539" s="197"/>
      <c r="AO539" s="100"/>
    </row>
    <row r="540" spans="3:41" ht="15.75" customHeight="1" x14ac:dyDescent="0.25"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205"/>
      <c r="P540" s="206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M540" s="100"/>
      <c r="AN540" s="197"/>
      <c r="AO540" s="100"/>
    </row>
    <row r="541" spans="3:41" ht="15.75" customHeight="1" x14ac:dyDescent="0.25"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205"/>
      <c r="P541" s="206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M541" s="100"/>
      <c r="AN541" s="197"/>
      <c r="AO541" s="100"/>
    </row>
    <row r="542" spans="3:41" ht="15.75" customHeight="1" x14ac:dyDescent="0.25"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205"/>
      <c r="P542" s="206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M542" s="100"/>
      <c r="AN542" s="197"/>
      <c r="AO542" s="100"/>
    </row>
    <row r="543" spans="3:41" ht="15.75" customHeight="1" x14ac:dyDescent="0.25"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205"/>
      <c r="P543" s="206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M543" s="100"/>
      <c r="AN543" s="197"/>
      <c r="AO543" s="100"/>
    </row>
    <row r="544" spans="3:41" ht="15.75" customHeight="1" x14ac:dyDescent="0.25"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205"/>
      <c r="P544" s="206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M544" s="100"/>
      <c r="AN544" s="197"/>
      <c r="AO544" s="100"/>
    </row>
    <row r="545" spans="3:41" ht="15.75" customHeight="1" x14ac:dyDescent="0.25"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205"/>
      <c r="P545" s="206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M545" s="100"/>
      <c r="AN545" s="197"/>
      <c r="AO545" s="100"/>
    </row>
    <row r="546" spans="3:41" ht="15.75" customHeight="1" x14ac:dyDescent="0.25"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205"/>
      <c r="P546" s="206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M546" s="100"/>
      <c r="AN546" s="197"/>
      <c r="AO546" s="100"/>
    </row>
    <row r="547" spans="3:41" ht="15.75" customHeight="1" x14ac:dyDescent="0.25"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205"/>
      <c r="P547" s="206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M547" s="100"/>
      <c r="AN547" s="197"/>
      <c r="AO547" s="100"/>
    </row>
    <row r="548" spans="3:41" ht="15.75" customHeight="1" x14ac:dyDescent="0.25"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205"/>
      <c r="P548" s="206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M548" s="100"/>
      <c r="AN548" s="197"/>
      <c r="AO548" s="100"/>
    </row>
    <row r="549" spans="3:41" ht="15.75" customHeight="1" x14ac:dyDescent="0.25"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205"/>
      <c r="P549" s="206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M549" s="100"/>
      <c r="AN549" s="197"/>
      <c r="AO549" s="100"/>
    </row>
    <row r="550" spans="3:41" ht="15.75" customHeight="1" x14ac:dyDescent="0.25"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205"/>
      <c r="P550" s="206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M550" s="100"/>
      <c r="AN550" s="197"/>
      <c r="AO550" s="100"/>
    </row>
    <row r="551" spans="3:41" ht="15.75" customHeight="1" x14ac:dyDescent="0.25"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205"/>
      <c r="P551" s="206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M551" s="100"/>
      <c r="AN551" s="197"/>
      <c r="AO551" s="100"/>
    </row>
    <row r="552" spans="3:41" ht="15.75" customHeight="1" x14ac:dyDescent="0.25"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205"/>
      <c r="P552" s="206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M552" s="100"/>
      <c r="AN552" s="197"/>
      <c r="AO552" s="100"/>
    </row>
    <row r="553" spans="3:41" ht="15.75" customHeight="1" x14ac:dyDescent="0.25"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205"/>
      <c r="P553" s="206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M553" s="100"/>
      <c r="AN553" s="197"/>
      <c r="AO553" s="100"/>
    </row>
    <row r="554" spans="3:41" ht="15.75" customHeight="1" x14ac:dyDescent="0.25"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205"/>
      <c r="P554" s="206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M554" s="100"/>
      <c r="AN554" s="197"/>
      <c r="AO554" s="100"/>
    </row>
    <row r="555" spans="3:41" ht="15.75" customHeight="1" x14ac:dyDescent="0.25"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205"/>
      <c r="P555" s="206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M555" s="100"/>
      <c r="AN555" s="197"/>
      <c r="AO555" s="100"/>
    </row>
    <row r="556" spans="3:41" ht="15.75" customHeight="1" x14ac:dyDescent="0.25"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205"/>
      <c r="P556" s="206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M556" s="100"/>
      <c r="AN556" s="197"/>
      <c r="AO556" s="100"/>
    </row>
    <row r="557" spans="3:41" ht="15.75" customHeight="1" x14ac:dyDescent="0.25"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205"/>
      <c r="P557" s="206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M557" s="100"/>
      <c r="AN557" s="197"/>
      <c r="AO557" s="100"/>
    </row>
    <row r="558" spans="3:41" ht="15.75" customHeight="1" x14ac:dyDescent="0.25"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205"/>
      <c r="P558" s="206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M558" s="100"/>
      <c r="AN558" s="197"/>
      <c r="AO558" s="100"/>
    </row>
    <row r="559" spans="3:41" ht="15.75" customHeight="1" x14ac:dyDescent="0.25"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205"/>
      <c r="P559" s="206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M559" s="100"/>
      <c r="AN559" s="197"/>
      <c r="AO559" s="100"/>
    </row>
    <row r="560" spans="3:41" ht="15.75" customHeight="1" x14ac:dyDescent="0.25"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205"/>
      <c r="P560" s="206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M560" s="100"/>
      <c r="AN560" s="197"/>
      <c r="AO560" s="100"/>
    </row>
    <row r="561" spans="3:41" ht="15.75" customHeight="1" x14ac:dyDescent="0.25"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205"/>
      <c r="P561" s="206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M561" s="100"/>
      <c r="AN561" s="197"/>
      <c r="AO561" s="100"/>
    </row>
    <row r="562" spans="3:41" ht="15.75" customHeight="1" x14ac:dyDescent="0.25"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205"/>
      <c r="P562" s="206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M562" s="100"/>
      <c r="AN562" s="197"/>
      <c r="AO562" s="100"/>
    </row>
    <row r="563" spans="3:41" ht="15.75" customHeight="1" x14ac:dyDescent="0.25"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205"/>
      <c r="P563" s="206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M563" s="100"/>
      <c r="AN563" s="197"/>
      <c r="AO563" s="100"/>
    </row>
    <row r="564" spans="3:41" ht="15.75" customHeight="1" x14ac:dyDescent="0.25"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205"/>
      <c r="P564" s="206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M564" s="100"/>
      <c r="AN564" s="197"/>
      <c r="AO564" s="100"/>
    </row>
    <row r="565" spans="3:41" ht="15.75" customHeight="1" x14ac:dyDescent="0.25"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205"/>
      <c r="P565" s="206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M565" s="100"/>
      <c r="AN565" s="197"/>
      <c r="AO565" s="100"/>
    </row>
    <row r="566" spans="3:41" ht="15.75" customHeight="1" x14ac:dyDescent="0.25"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205"/>
      <c r="P566" s="206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M566" s="100"/>
      <c r="AN566" s="197"/>
      <c r="AO566" s="100"/>
    </row>
    <row r="567" spans="3:41" ht="15.75" customHeight="1" x14ac:dyDescent="0.25"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205"/>
      <c r="P567" s="206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M567" s="100"/>
      <c r="AN567" s="197"/>
      <c r="AO567" s="100"/>
    </row>
    <row r="568" spans="3:41" ht="15.75" customHeight="1" x14ac:dyDescent="0.25"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205"/>
      <c r="P568" s="206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M568" s="100"/>
      <c r="AN568" s="197"/>
      <c r="AO568" s="100"/>
    </row>
    <row r="569" spans="3:41" ht="15.75" customHeight="1" x14ac:dyDescent="0.25"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205"/>
      <c r="P569" s="206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M569" s="100"/>
      <c r="AN569" s="197"/>
      <c r="AO569" s="100"/>
    </row>
    <row r="570" spans="3:41" ht="15.75" customHeight="1" x14ac:dyDescent="0.25"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205"/>
      <c r="P570" s="206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M570" s="100"/>
      <c r="AN570" s="197"/>
      <c r="AO570" s="100"/>
    </row>
    <row r="571" spans="3:41" ht="15.75" customHeight="1" x14ac:dyDescent="0.25"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205"/>
      <c r="P571" s="206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M571" s="100"/>
      <c r="AN571" s="197"/>
      <c r="AO571" s="100"/>
    </row>
    <row r="572" spans="3:41" ht="15.75" customHeight="1" x14ac:dyDescent="0.25"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205"/>
      <c r="P572" s="206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M572" s="100"/>
      <c r="AN572" s="197"/>
      <c r="AO572" s="100"/>
    </row>
    <row r="573" spans="3:41" ht="15.75" customHeight="1" x14ac:dyDescent="0.25"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205"/>
      <c r="P573" s="206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M573" s="100"/>
      <c r="AN573" s="197"/>
      <c r="AO573" s="100"/>
    </row>
    <row r="574" spans="3:41" ht="15.75" customHeight="1" x14ac:dyDescent="0.25"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205"/>
      <c r="P574" s="206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M574" s="100"/>
      <c r="AN574" s="197"/>
      <c r="AO574" s="100"/>
    </row>
    <row r="575" spans="3:41" ht="15.75" customHeight="1" x14ac:dyDescent="0.25"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205"/>
      <c r="P575" s="206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M575" s="100"/>
      <c r="AN575" s="197"/>
      <c r="AO575" s="100"/>
    </row>
    <row r="576" spans="3:41" ht="15.75" customHeight="1" x14ac:dyDescent="0.25"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205"/>
      <c r="P576" s="206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M576" s="100"/>
      <c r="AN576" s="197"/>
      <c r="AO576" s="100"/>
    </row>
    <row r="577" spans="3:41" ht="15.75" customHeight="1" x14ac:dyDescent="0.25"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205"/>
      <c r="P577" s="206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M577" s="100"/>
      <c r="AN577" s="197"/>
      <c r="AO577" s="100"/>
    </row>
    <row r="578" spans="3:41" ht="15.75" customHeight="1" x14ac:dyDescent="0.25"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205"/>
      <c r="P578" s="206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M578" s="100"/>
      <c r="AN578" s="197"/>
      <c r="AO578" s="100"/>
    </row>
    <row r="579" spans="3:41" ht="15.75" customHeight="1" x14ac:dyDescent="0.25"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205"/>
      <c r="P579" s="206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M579" s="100"/>
      <c r="AN579" s="197"/>
      <c r="AO579" s="100"/>
    </row>
    <row r="580" spans="3:41" ht="15.75" customHeight="1" x14ac:dyDescent="0.25"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205"/>
      <c r="P580" s="206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M580" s="100"/>
      <c r="AN580" s="197"/>
      <c r="AO580" s="100"/>
    </row>
    <row r="581" spans="3:41" ht="15.75" customHeight="1" x14ac:dyDescent="0.25"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205"/>
      <c r="P581" s="206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M581" s="100"/>
      <c r="AN581" s="197"/>
      <c r="AO581" s="100"/>
    </row>
    <row r="582" spans="3:41" ht="15.75" customHeight="1" x14ac:dyDescent="0.25"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205"/>
      <c r="P582" s="206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M582" s="100"/>
      <c r="AN582" s="197"/>
      <c r="AO582" s="100"/>
    </row>
    <row r="583" spans="3:41" ht="15.75" customHeight="1" x14ac:dyDescent="0.25"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205"/>
      <c r="P583" s="206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M583" s="100"/>
      <c r="AN583" s="197"/>
      <c r="AO583" s="100"/>
    </row>
    <row r="584" spans="3:41" ht="15.75" customHeight="1" x14ac:dyDescent="0.25"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205"/>
      <c r="P584" s="206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M584" s="100"/>
      <c r="AN584" s="197"/>
      <c r="AO584" s="100"/>
    </row>
    <row r="585" spans="3:41" ht="15.75" customHeight="1" x14ac:dyDescent="0.25"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205"/>
      <c r="P585" s="206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M585" s="100"/>
      <c r="AN585" s="197"/>
      <c r="AO585" s="100"/>
    </row>
    <row r="586" spans="3:41" ht="15.75" customHeight="1" x14ac:dyDescent="0.25"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205"/>
      <c r="P586" s="206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M586" s="100"/>
      <c r="AN586" s="197"/>
      <c r="AO586" s="100"/>
    </row>
    <row r="587" spans="3:41" ht="15.75" customHeight="1" x14ac:dyDescent="0.25"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205"/>
      <c r="P587" s="206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M587" s="100"/>
      <c r="AN587" s="197"/>
      <c r="AO587" s="100"/>
    </row>
    <row r="588" spans="3:41" ht="15.75" customHeight="1" x14ac:dyDescent="0.25"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205"/>
      <c r="P588" s="206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M588" s="100"/>
      <c r="AN588" s="197"/>
      <c r="AO588" s="100"/>
    </row>
    <row r="589" spans="3:41" ht="15.75" customHeight="1" x14ac:dyDescent="0.25"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205"/>
      <c r="P589" s="206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M589" s="100"/>
      <c r="AN589" s="197"/>
      <c r="AO589" s="100"/>
    </row>
    <row r="590" spans="3:41" ht="15.75" customHeight="1" x14ac:dyDescent="0.25"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205"/>
      <c r="P590" s="206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M590" s="100"/>
      <c r="AN590" s="197"/>
      <c r="AO590" s="100"/>
    </row>
    <row r="591" spans="3:41" ht="15.75" customHeight="1" x14ac:dyDescent="0.25"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205"/>
      <c r="P591" s="206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M591" s="100"/>
      <c r="AN591" s="197"/>
      <c r="AO591" s="100"/>
    </row>
    <row r="592" spans="3:41" ht="15.75" customHeight="1" x14ac:dyDescent="0.25"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205"/>
      <c r="P592" s="206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M592" s="100"/>
      <c r="AN592" s="197"/>
      <c r="AO592" s="100"/>
    </row>
    <row r="593" spans="3:41" ht="15.75" customHeight="1" x14ac:dyDescent="0.25"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205"/>
      <c r="P593" s="206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M593" s="100"/>
      <c r="AN593" s="197"/>
      <c r="AO593" s="100"/>
    </row>
    <row r="594" spans="3:41" ht="15.75" customHeight="1" x14ac:dyDescent="0.25"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205"/>
      <c r="P594" s="206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M594" s="100"/>
      <c r="AN594" s="197"/>
      <c r="AO594" s="100"/>
    </row>
    <row r="595" spans="3:41" ht="15.75" customHeight="1" x14ac:dyDescent="0.25"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205"/>
      <c r="P595" s="206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M595" s="100"/>
      <c r="AN595" s="197"/>
      <c r="AO595" s="100"/>
    </row>
    <row r="596" spans="3:41" ht="15.75" customHeight="1" x14ac:dyDescent="0.25"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205"/>
      <c r="P596" s="206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M596" s="100"/>
      <c r="AN596" s="197"/>
      <c r="AO596" s="100"/>
    </row>
    <row r="597" spans="3:41" ht="15.75" customHeight="1" x14ac:dyDescent="0.25"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205"/>
      <c r="P597" s="206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M597" s="100"/>
      <c r="AN597" s="197"/>
      <c r="AO597" s="100"/>
    </row>
    <row r="598" spans="3:41" ht="15.75" customHeight="1" x14ac:dyDescent="0.25"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205"/>
      <c r="P598" s="206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M598" s="100"/>
      <c r="AN598" s="197"/>
      <c r="AO598" s="100"/>
    </row>
    <row r="599" spans="3:41" ht="15.75" customHeight="1" x14ac:dyDescent="0.25"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205"/>
      <c r="P599" s="206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M599" s="100"/>
      <c r="AN599" s="197"/>
      <c r="AO599" s="100"/>
    </row>
    <row r="600" spans="3:41" ht="15.75" customHeight="1" x14ac:dyDescent="0.25"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205"/>
      <c r="P600" s="206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M600" s="100"/>
      <c r="AN600" s="197"/>
      <c r="AO600" s="100"/>
    </row>
    <row r="601" spans="3:41" ht="15.75" customHeight="1" x14ac:dyDescent="0.25"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205"/>
      <c r="P601" s="206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M601" s="100"/>
      <c r="AN601" s="197"/>
      <c r="AO601" s="100"/>
    </row>
    <row r="602" spans="3:41" ht="15.75" customHeight="1" x14ac:dyDescent="0.25"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205"/>
      <c r="P602" s="206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M602" s="100"/>
      <c r="AN602" s="197"/>
      <c r="AO602" s="100"/>
    </row>
    <row r="603" spans="3:41" ht="15.75" customHeight="1" x14ac:dyDescent="0.25"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205"/>
      <c r="P603" s="206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M603" s="100"/>
      <c r="AN603" s="197"/>
      <c r="AO603" s="100"/>
    </row>
    <row r="604" spans="3:41" ht="15.75" customHeight="1" x14ac:dyDescent="0.25"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205"/>
      <c r="P604" s="206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M604" s="100"/>
      <c r="AN604" s="197"/>
      <c r="AO604" s="100"/>
    </row>
    <row r="605" spans="3:41" ht="15.75" customHeight="1" x14ac:dyDescent="0.25"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205"/>
      <c r="P605" s="206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M605" s="100"/>
      <c r="AN605" s="197"/>
      <c r="AO605" s="100"/>
    </row>
    <row r="606" spans="3:41" ht="15.75" customHeight="1" x14ac:dyDescent="0.25"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205"/>
      <c r="P606" s="206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M606" s="100"/>
      <c r="AN606" s="197"/>
      <c r="AO606" s="100"/>
    </row>
    <row r="607" spans="3:41" ht="15.75" customHeight="1" x14ac:dyDescent="0.25"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205"/>
      <c r="P607" s="206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M607" s="100"/>
      <c r="AN607" s="197"/>
      <c r="AO607" s="100"/>
    </row>
    <row r="608" spans="3:41" ht="15.75" customHeight="1" x14ac:dyDescent="0.25"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205"/>
      <c r="P608" s="206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M608" s="100"/>
      <c r="AN608" s="197"/>
      <c r="AO608" s="100"/>
    </row>
    <row r="609" spans="3:41" ht="15.75" customHeight="1" x14ac:dyDescent="0.25"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205"/>
      <c r="P609" s="206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M609" s="100"/>
      <c r="AN609" s="197"/>
      <c r="AO609" s="100"/>
    </row>
    <row r="610" spans="3:41" ht="15.75" customHeight="1" x14ac:dyDescent="0.25"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205"/>
      <c r="P610" s="206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M610" s="100"/>
      <c r="AN610" s="197"/>
      <c r="AO610" s="100"/>
    </row>
    <row r="611" spans="3:41" ht="15.75" customHeight="1" x14ac:dyDescent="0.25"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205"/>
      <c r="P611" s="206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M611" s="100"/>
      <c r="AN611" s="197"/>
      <c r="AO611" s="100"/>
    </row>
    <row r="612" spans="3:41" ht="15.75" customHeight="1" x14ac:dyDescent="0.25"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205"/>
      <c r="P612" s="206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M612" s="100"/>
      <c r="AN612" s="197"/>
      <c r="AO612" s="100"/>
    </row>
    <row r="613" spans="3:41" ht="15.75" customHeight="1" x14ac:dyDescent="0.25"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205"/>
      <c r="P613" s="206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M613" s="100"/>
      <c r="AN613" s="197"/>
      <c r="AO613" s="100"/>
    </row>
    <row r="614" spans="3:41" ht="15.75" customHeight="1" x14ac:dyDescent="0.25"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205"/>
      <c r="P614" s="206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M614" s="100"/>
      <c r="AN614" s="197"/>
      <c r="AO614" s="100"/>
    </row>
    <row r="615" spans="3:41" ht="15.75" customHeight="1" x14ac:dyDescent="0.25"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205"/>
      <c r="P615" s="206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M615" s="100"/>
      <c r="AN615" s="197"/>
      <c r="AO615" s="100"/>
    </row>
    <row r="616" spans="3:41" ht="15.75" customHeight="1" x14ac:dyDescent="0.25"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205"/>
      <c r="P616" s="206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M616" s="100"/>
      <c r="AN616" s="197"/>
      <c r="AO616" s="100"/>
    </row>
    <row r="617" spans="3:41" ht="15.75" customHeight="1" x14ac:dyDescent="0.25"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205"/>
      <c r="P617" s="206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M617" s="100"/>
      <c r="AN617" s="197"/>
      <c r="AO617" s="100"/>
    </row>
    <row r="618" spans="3:41" ht="15.75" customHeight="1" x14ac:dyDescent="0.25"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205"/>
      <c r="P618" s="206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M618" s="100"/>
      <c r="AN618" s="197"/>
      <c r="AO618" s="100"/>
    </row>
    <row r="619" spans="3:41" ht="15.75" customHeight="1" x14ac:dyDescent="0.25"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205"/>
      <c r="P619" s="206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M619" s="100"/>
      <c r="AN619" s="197"/>
      <c r="AO619" s="100"/>
    </row>
    <row r="620" spans="3:41" ht="15.75" customHeight="1" x14ac:dyDescent="0.25"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205"/>
      <c r="P620" s="206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M620" s="100"/>
      <c r="AN620" s="197"/>
      <c r="AO620" s="100"/>
    </row>
    <row r="621" spans="3:41" ht="15.75" customHeight="1" x14ac:dyDescent="0.25"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205"/>
      <c r="P621" s="206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M621" s="100"/>
      <c r="AN621" s="197"/>
      <c r="AO621" s="100"/>
    </row>
    <row r="622" spans="3:41" ht="15.75" customHeight="1" x14ac:dyDescent="0.25"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205"/>
      <c r="P622" s="206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M622" s="100"/>
      <c r="AN622" s="197"/>
      <c r="AO622" s="100"/>
    </row>
    <row r="623" spans="3:41" ht="15.75" customHeight="1" x14ac:dyDescent="0.25"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205"/>
      <c r="P623" s="206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M623" s="100"/>
      <c r="AN623" s="197"/>
      <c r="AO623" s="100"/>
    </row>
    <row r="624" spans="3:41" ht="15.75" customHeight="1" x14ac:dyDescent="0.25"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205"/>
      <c r="P624" s="206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M624" s="100"/>
      <c r="AN624" s="197"/>
      <c r="AO624" s="100"/>
    </row>
    <row r="625" spans="3:41" ht="15.75" customHeight="1" x14ac:dyDescent="0.25"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205"/>
      <c r="P625" s="206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M625" s="100"/>
      <c r="AN625" s="197"/>
      <c r="AO625" s="100"/>
    </row>
    <row r="626" spans="3:41" ht="15.75" customHeight="1" x14ac:dyDescent="0.25"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205"/>
      <c r="P626" s="206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M626" s="100"/>
      <c r="AN626" s="197"/>
      <c r="AO626" s="100"/>
    </row>
    <row r="627" spans="3:41" ht="15.75" customHeight="1" x14ac:dyDescent="0.25"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205"/>
      <c r="P627" s="206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M627" s="100"/>
      <c r="AN627" s="197"/>
      <c r="AO627" s="100"/>
    </row>
    <row r="628" spans="3:41" ht="15.75" customHeight="1" x14ac:dyDescent="0.25"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205"/>
      <c r="P628" s="206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M628" s="100"/>
      <c r="AN628" s="197"/>
      <c r="AO628" s="100"/>
    </row>
    <row r="629" spans="3:41" ht="15.75" customHeight="1" x14ac:dyDescent="0.25"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205"/>
      <c r="P629" s="206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M629" s="100"/>
      <c r="AN629" s="197"/>
      <c r="AO629" s="100"/>
    </row>
    <row r="630" spans="3:41" ht="15.75" customHeight="1" x14ac:dyDescent="0.25"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205"/>
      <c r="P630" s="206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M630" s="100"/>
      <c r="AN630" s="197"/>
      <c r="AO630" s="100"/>
    </row>
    <row r="631" spans="3:41" ht="15.75" customHeight="1" x14ac:dyDescent="0.25"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205"/>
      <c r="P631" s="206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M631" s="100"/>
      <c r="AN631" s="197"/>
      <c r="AO631" s="100"/>
    </row>
    <row r="632" spans="3:41" ht="15.75" customHeight="1" x14ac:dyDescent="0.25"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205"/>
      <c r="P632" s="206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M632" s="100"/>
      <c r="AN632" s="197"/>
      <c r="AO632" s="100"/>
    </row>
    <row r="633" spans="3:41" ht="15.75" customHeight="1" x14ac:dyDescent="0.25"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205"/>
      <c r="P633" s="206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M633" s="100"/>
      <c r="AN633" s="197"/>
      <c r="AO633" s="100"/>
    </row>
    <row r="634" spans="3:41" ht="15.75" customHeight="1" x14ac:dyDescent="0.25"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205"/>
      <c r="P634" s="206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M634" s="100"/>
      <c r="AN634" s="197"/>
      <c r="AO634" s="100"/>
    </row>
    <row r="635" spans="3:41" ht="15.75" customHeight="1" x14ac:dyDescent="0.25"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205"/>
      <c r="P635" s="206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M635" s="100"/>
      <c r="AN635" s="197"/>
      <c r="AO635" s="100"/>
    </row>
    <row r="636" spans="3:41" ht="15.75" customHeight="1" x14ac:dyDescent="0.25"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205"/>
      <c r="P636" s="206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M636" s="100"/>
      <c r="AN636" s="197"/>
      <c r="AO636" s="100"/>
    </row>
    <row r="637" spans="3:41" ht="15.75" customHeight="1" x14ac:dyDescent="0.25"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205"/>
      <c r="P637" s="206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M637" s="100"/>
      <c r="AN637" s="197"/>
      <c r="AO637" s="100"/>
    </row>
    <row r="638" spans="3:41" ht="15.75" customHeight="1" x14ac:dyDescent="0.25"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205"/>
      <c r="P638" s="206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M638" s="100"/>
      <c r="AN638" s="197"/>
      <c r="AO638" s="100"/>
    </row>
    <row r="639" spans="3:41" ht="15.75" customHeight="1" x14ac:dyDescent="0.25"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205"/>
      <c r="P639" s="206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M639" s="100"/>
      <c r="AN639" s="197"/>
      <c r="AO639" s="100"/>
    </row>
    <row r="640" spans="3:41" ht="15.75" customHeight="1" x14ac:dyDescent="0.25"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205"/>
      <c r="P640" s="206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M640" s="100"/>
      <c r="AN640" s="197"/>
      <c r="AO640" s="100"/>
    </row>
    <row r="641" spans="3:41" ht="15.75" customHeight="1" x14ac:dyDescent="0.25"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205"/>
      <c r="P641" s="206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M641" s="100"/>
      <c r="AN641" s="197"/>
      <c r="AO641" s="100"/>
    </row>
    <row r="642" spans="3:41" ht="15.75" customHeight="1" x14ac:dyDescent="0.25"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205"/>
      <c r="P642" s="206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M642" s="100"/>
      <c r="AN642" s="197"/>
      <c r="AO642" s="100"/>
    </row>
    <row r="643" spans="3:41" ht="15.75" customHeight="1" x14ac:dyDescent="0.25"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205"/>
      <c r="P643" s="206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M643" s="100"/>
      <c r="AN643" s="197"/>
      <c r="AO643" s="100"/>
    </row>
    <row r="644" spans="3:41" ht="15.75" customHeight="1" x14ac:dyDescent="0.25"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205"/>
      <c r="P644" s="206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M644" s="100"/>
      <c r="AN644" s="197"/>
      <c r="AO644" s="100"/>
    </row>
    <row r="645" spans="3:41" ht="15.75" customHeight="1" x14ac:dyDescent="0.25"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205"/>
      <c r="P645" s="206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M645" s="100"/>
      <c r="AN645" s="197"/>
      <c r="AO645" s="100"/>
    </row>
    <row r="646" spans="3:41" ht="15.75" customHeight="1" x14ac:dyDescent="0.25"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205"/>
      <c r="P646" s="206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M646" s="100"/>
      <c r="AN646" s="197"/>
      <c r="AO646" s="100"/>
    </row>
    <row r="647" spans="3:41" ht="15.75" customHeight="1" x14ac:dyDescent="0.25"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205"/>
      <c r="P647" s="206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M647" s="100"/>
      <c r="AN647" s="197"/>
      <c r="AO647" s="100"/>
    </row>
    <row r="648" spans="3:41" ht="15.75" customHeight="1" x14ac:dyDescent="0.25"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205"/>
      <c r="P648" s="206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M648" s="100"/>
      <c r="AN648" s="197"/>
      <c r="AO648" s="100"/>
    </row>
    <row r="649" spans="3:41" ht="15.75" customHeight="1" x14ac:dyDescent="0.25"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205"/>
      <c r="P649" s="206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M649" s="100"/>
      <c r="AN649" s="197"/>
      <c r="AO649" s="100"/>
    </row>
    <row r="650" spans="3:41" ht="15.75" customHeight="1" x14ac:dyDescent="0.25"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205"/>
      <c r="P650" s="206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M650" s="100"/>
      <c r="AN650" s="197"/>
      <c r="AO650" s="100"/>
    </row>
    <row r="651" spans="3:41" ht="15.75" customHeight="1" x14ac:dyDescent="0.25"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205"/>
      <c r="P651" s="206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M651" s="100"/>
      <c r="AN651" s="197"/>
      <c r="AO651" s="100"/>
    </row>
    <row r="652" spans="3:41" ht="15.75" customHeight="1" x14ac:dyDescent="0.25"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205"/>
      <c r="P652" s="206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M652" s="100"/>
      <c r="AN652" s="197"/>
      <c r="AO652" s="100"/>
    </row>
    <row r="653" spans="3:41" ht="15.75" customHeight="1" x14ac:dyDescent="0.25"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205"/>
      <c r="P653" s="206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M653" s="100"/>
      <c r="AN653" s="197"/>
      <c r="AO653" s="100"/>
    </row>
    <row r="654" spans="3:41" ht="15.75" customHeight="1" x14ac:dyDescent="0.25"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205"/>
      <c r="P654" s="206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M654" s="100"/>
      <c r="AN654" s="197"/>
      <c r="AO654" s="100"/>
    </row>
    <row r="655" spans="3:41" ht="15.75" customHeight="1" x14ac:dyDescent="0.25"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205"/>
      <c r="P655" s="206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M655" s="100"/>
      <c r="AN655" s="197"/>
      <c r="AO655" s="100"/>
    </row>
    <row r="656" spans="3:41" ht="15.75" customHeight="1" x14ac:dyDescent="0.25"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205"/>
      <c r="P656" s="206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M656" s="100"/>
      <c r="AN656" s="197"/>
      <c r="AO656" s="100"/>
    </row>
    <row r="657" spans="3:41" ht="15.75" customHeight="1" x14ac:dyDescent="0.25"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205"/>
      <c r="P657" s="206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M657" s="100"/>
      <c r="AN657" s="197"/>
      <c r="AO657" s="100"/>
    </row>
    <row r="658" spans="3:41" ht="15.75" customHeight="1" x14ac:dyDescent="0.25"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205"/>
      <c r="P658" s="206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M658" s="100"/>
      <c r="AN658" s="197"/>
      <c r="AO658" s="100"/>
    </row>
    <row r="659" spans="3:41" ht="15.75" customHeight="1" x14ac:dyDescent="0.25"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205"/>
      <c r="P659" s="206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M659" s="100"/>
      <c r="AN659" s="197"/>
      <c r="AO659" s="100"/>
    </row>
    <row r="660" spans="3:41" ht="15.75" customHeight="1" x14ac:dyDescent="0.25"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205"/>
      <c r="P660" s="206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M660" s="100"/>
      <c r="AN660" s="197"/>
      <c r="AO660" s="100"/>
    </row>
    <row r="661" spans="3:41" ht="15.75" customHeight="1" x14ac:dyDescent="0.25"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205"/>
      <c r="P661" s="206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M661" s="100"/>
      <c r="AN661" s="197"/>
      <c r="AO661" s="100"/>
    </row>
    <row r="662" spans="3:41" ht="15.75" customHeight="1" x14ac:dyDescent="0.25"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205"/>
      <c r="P662" s="206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M662" s="100"/>
      <c r="AN662" s="197"/>
      <c r="AO662" s="100"/>
    </row>
    <row r="663" spans="3:41" ht="15.75" customHeight="1" x14ac:dyDescent="0.25"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205"/>
      <c r="P663" s="206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M663" s="100"/>
      <c r="AN663" s="197"/>
      <c r="AO663" s="100"/>
    </row>
    <row r="664" spans="3:41" ht="15.75" customHeight="1" x14ac:dyDescent="0.25"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205"/>
      <c r="P664" s="206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M664" s="100"/>
      <c r="AN664" s="197"/>
      <c r="AO664" s="100"/>
    </row>
    <row r="665" spans="3:41" ht="15.75" customHeight="1" x14ac:dyDescent="0.25"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205"/>
      <c r="P665" s="206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M665" s="100"/>
      <c r="AN665" s="197"/>
      <c r="AO665" s="100"/>
    </row>
    <row r="666" spans="3:41" ht="15.75" customHeight="1" x14ac:dyDescent="0.25"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205"/>
      <c r="P666" s="206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M666" s="100"/>
      <c r="AN666" s="197"/>
      <c r="AO666" s="100"/>
    </row>
    <row r="667" spans="3:41" ht="15.75" customHeight="1" x14ac:dyDescent="0.25"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205"/>
      <c r="P667" s="206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M667" s="100"/>
      <c r="AN667" s="197"/>
      <c r="AO667" s="100"/>
    </row>
    <row r="668" spans="3:41" ht="15.75" customHeight="1" x14ac:dyDescent="0.25"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205"/>
      <c r="P668" s="206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M668" s="100"/>
      <c r="AN668" s="197"/>
      <c r="AO668" s="100"/>
    </row>
    <row r="669" spans="3:41" ht="15.75" customHeight="1" x14ac:dyDescent="0.25"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205"/>
      <c r="P669" s="206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M669" s="100"/>
      <c r="AN669" s="197"/>
      <c r="AO669" s="100"/>
    </row>
    <row r="670" spans="3:41" ht="15.75" customHeight="1" x14ac:dyDescent="0.25"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205"/>
      <c r="P670" s="206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M670" s="100"/>
      <c r="AN670" s="197"/>
      <c r="AO670" s="100"/>
    </row>
    <row r="671" spans="3:41" ht="15.75" customHeight="1" x14ac:dyDescent="0.25"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205"/>
      <c r="P671" s="206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M671" s="100"/>
      <c r="AN671" s="197"/>
      <c r="AO671" s="100"/>
    </row>
    <row r="672" spans="3:41" ht="15.75" customHeight="1" x14ac:dyDescent="0.25"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205"/>
      <c r="P672" s="206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M672" s="100"/>
      <c r="AN672" s="197"/>
      <c r="AO672" s="100"/>
    </row>
    <row r="673" spans="3:41" ht="15.75" customHeight="1" x14ac:dyDescent="0.25"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205"/>
      <c r="P673" s="206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M673" s="100"/>
      <c r="AN673" s="197"/>
      <c r="AO673" s="100"/>
    </row>
    <row r="674" spans="3:41" ht="15.75" customHeight="1" x14ac:dyDescent="0.25"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205"/>
      <c r="P674" s="206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M674" s="100"/>
      <c r="AN674" s="197"/>
      <c r="AO674" s="100"/>
    </row>
    <row r="675" spans="3:41" ht="15.75" customHeight="1" x14ac:dyDescent="0.25"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205"/>
      <c r="P675" s="206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M675" s="100"/>
      <c r="AN675" s="197"/>
      <c r="AO675" s="100"/>
    </row>
    <row r="676" spans="3:41" ht="15.75" customHeight="1" x14ac:dyDescent="0.25"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205"/>
      <c r="P676" s="206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M676" s="100"/>
      <c r="AN676" s="197"/>
      <c r="AO676" s="100"/>
    </row>
    <row r="677" spans="3:41" ht="15.75" customHeight="1" x14ac:dyDescent="0.25"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205"/>
      <c r="P677" s="206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M677" s="100"/>
      <c r="AN677" s="197"/>
      <c r="AO677" s="100"/>
    </row>
    <row r="678" spans="3:41" ht="15.75" customHeight="1" x14ac:dyDescent="0.25"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205"/>
      <c r="P678" s="206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M678" s="100"/>
      <c r="AN678" s="197"/>
      <c r="AO678" s="100"/>
    </row>
    <row r="679" spans="3:41" ht="15.75" customHeight="1" x14ac:dyDescent="0.25"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205"/>
      <c r="P679" s="206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M679" s="100"/>
      <c r="AN679" s="197"/>
      <c r="AO679" s="100"/>
    </row>
    <row r="680" spans="3:41" ht="15.75" customHeight="1" x14ac:dyDescent="0.25"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205"/>
      <c r="P680" s="206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M680" s="100"/>
      <c r="AN680" s="197"/>
      <c r="AO680" s="100"/>
    </row>
    <row r="681" spans="3:41" ht="15.75" customHeight="1" x14ac:dyDescent="0.25"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205"/>
      <c r="P681" s="206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M681" s="100"/>
      <c r="AN681" s="197"/>
      <c r="AO681" s="100"/>
    </row>
    <row r="682" spans="3:41" ht="15.75" customHeight="1" x14ac:dyDescent="0.25"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205"/>
      <c r="P682" s="206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M682" s="100"/>
      <c r="AN682" s="197"/>
      <c r="AO682" s="100"/>
    </row>
    <row r="683" spans="3:41" ht="15.75" customHeight="1" x14ac:dyDescent="0.25"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205"/>
      <c r="P683" s="206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M683" s="100"/>
      <c r="AN683" s="197"/>
      <c r="AO683" s="100"/>
    </row>
    <row r="684" spans="3:41" ht="15.75" customHeight="1" x14ac:dyDescent="0.25"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205"/>
      <c r="P684" s="206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M684" s="100"/>
      <c r="AN684" s="197"/>
      <c r="AO684" s="100"/>
    </row>
    <row r="685" spans="3:41" ht="15.75" customHeight="1" x14ac:dyDescent="0.25"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205"/>
      <c r="P685" s="206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M685" s="100"/>
      <c r="AN685" s="197"/>
      <c r="AO685" s="100"/>
    </row>
    <row r="686" spans="3:41" ht="15.75" customHeight="1" x14ac:dyDescent="0.25"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205"/>
      <c r="P686" s="206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M686" s="100"/>
      <c r="AN686" s="197"/>
      <c r="AO686" s="100"/>
    </row>
    <row r="687" spans="3:41" ht="15.75" customHeight="1" x14ac:dyDescent="0.25"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205"/>
      <c r="P687" s="206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M687" s="100"/>
      <c r="AN687" s="197"/>
      <c r="AO687" s="100"/>
    </row>
    <row r="688" spans="3:41" ht="15.75" customHeight="1" x14ac:dyDescent="0.25"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205"/>
      <c r="P688" s="206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M688" s="100"/>
      <c r="AN688" s="197"/>
      <c r="AO688" s="100"/>
    </row>
    <row r="689" spans="3:41" ht="15.75" customHeight="1" x14ac:dyDescent="0.25"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205"/>
      <c r="P689" s="206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M689" s="100"/>
      <c r="AN689" s="197"/>
      <c r="AO689" s="100"/>
    </row>
    <row r="690" spans="3:41" ht="15.75" customHeight="1" x14ac:dyDescent="0.25"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205"/>
      <c r="P690" s="206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M690" s="100"/>
      <c r="AN690" s="197"/>
      <c r="AO690" s="100"/>
    </row>
    <row r="691" spans="3:41" ht="15.75" customHeight="1" x14ac:dyDescent="0.25"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205"/>
      <c r="P691" s="206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M691" s="100"/>
      <c r="AN691" s="197"/>
      <c r="AO691" s="100"/>
    </row>
    <row r="692" spans="3:41" ht="15.75" customHeight="1" x14ac:dyDescent="0.25"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205"/>
      <c r="P692" s="206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M692" s="100"/>
      <c r="AN692" s="197"/>
      <c r="AO692" s="100"/>
    </row>
    <row r="693" spans="3:41" ht="15.75" customHeight="1" x14ac:dyDescent="0.25"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205"/>
      <c r="P693" s="206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M693" s="100"/>
      <c r="AN693" s="197"/>
      <c r="AO693" s="100"/>
    </row>
    <row r="694" spans="3:41" ht="15.75" customHeight="1" x14ac:dyDescent="0.25"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205"/>
      <c r="P694" s="206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M694" s="100"/>
      <c r="AN694" s="197"/>
      <c r="AO694" s="100"/>
    </row>
    <row r="695" spans="3:41" ht="15.75" customHeight="1" x14ac:dyDescent="0.25"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205"/>
      <c r="P695" s="206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M695" s="100"/>
      <c r="AN695" s="197"/>
      <c r="AO695" s="100"/>
    </row>
    <row r="696" spans="3:41" ht="15.75" customHeight="1" x14ac:dyDescent="0.25"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205"/>
      <c r="P696" s="206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M696" s="100"/>
      <c r="AN696" s="197"/>
      <c r="AO696" s="100"/>
    </row>
    <row r="697" spans="3:41" ht="15.75" customHeight="1" x14ac:dyDescent="0.25"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205"/>
      <c r="P697" s="206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M697" s="100"/>
      <c r="AN697" s="197"/>
      <c r="AO697" s="100"/>
    </row>
    <row r="698" spans="3:41" ht="15.75" customHeight="1" x14ac:dyDescent="0.25"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205"/>
      <c r="P698" s="206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M698" s="100"/>
      <c r="AN698" s="197"/>
      <c r="AO698" s="100"/>
    </row>
    <row r="699" spans="3:41" ht="15.75" customHeight="1" x14ac:dyDescent="0.25"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205"/>
      <c r="P699" s="206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M699" s="100"/>
      <c r="AN699" s="197"/>
      <c r="AO699" s="100"/>
    </row>
    <row r="700" spans="3:41" ht="15.75" customHeight="1" x14ac:dyDescent="0.25"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205"/>
      <c r="P700" s="206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M700" s="100"/>
      <c r="AN700" s="197"/>
      <c r="AO700" s="100"/>
    </row>
    <row r="701" spans="3:41" ht="15.75" customHeight="1" x14ac:dyDescent="0.25"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205"/>
      <c r="P701" s="206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M701" s="100"/>
      <c r="AN701" s="197"/>
      <c r="AO701" s="100"/>
    </row>
    <row r="702" spans="3:41" ht="15.75" customHeight="1" x14ac:dyDescent="0.25"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205"/>
      <c r="P702" s="206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M702" s="100"/>
      <c r="AN702" s="197"/>
      <c r="AO702" s="100"/>
    </row>
    <row r="703" spans="3:41" ht="15.75" customHeight="1" x14ac:dyDescent="0.25"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205"/>
      <c r="P703" s="206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M703" s="100"/>
      <c r="AN703" s="197"/>
      <c r="AO703" s="100"/>
    </row>
    <row r="704" spans="3:41" ht="15.75" customHeight="1" x14ac:dyDescent="0.25"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205"/>
      <c r="P704" s="206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M704" s="100"/>
      <c r="AN704" s="197"/>
      <c r="AO704" s="100"/>
    </row>
    <row r="705" spans="3:41" ht="15.75" customHeight="1" x14ac:dyDescent="0.25"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205"/>
      <c r="P705" s="206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M705" s="100"/>
      <c r="AN705" s="197"/>
      <c r="AO705" s="100"/>
    </row>
    <row r="706" spans="3:41" ht="15.75" customHeight="1" x14ac:dyDescent="0.25"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205"/>
      <c r="P706" s="206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M706" s="100"/>
      <c r="AN706" s="197"/>
      <c r="AO706" s="100"/>
    </row>
    <row r="707" spans="3:41" ht="15.75" customHeight="1" x14ac:dyDescent="0.25"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205"/>
      <c r="P707" s="206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M707" s="100"/>
      <c r="AN707" s="197"/>
      <c r="AO707" s="100"/>
    </row>
    <row r="708" spans="3:41" ht="15.75" customHeight="1" x14ac:dyDescent="0.25"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205"/>
      <c r="P708" s="206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M708" s="100"/>
      <c r="AN708" s="197"/>
      <c r="AO708" s="100"/>
    </row>
    <row r="709" spans="3:41" ht="15.75" customHeight="1" x14ac:dyDescent="0.25"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205"/>
      <c r="P709" s="206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M709" s="100"/>
      <c r="AN709" s="197"/>
      <c r="AO709" s="100"/>
    </row>
    <row r="710" spans="3:41" ht="15.75" customHeight="1" x14ac:dyDescent="0.25"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205"/>
      <c r="P710" s="206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M710" s="100"/>
      <c r="AN710" s="197"/>
      <c r="AO710" s="100"/>
    </row>
    <row r="711" spans="3:41" ht="15.75" customHeight="1" x14ac:dyDescent="0.25"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205"/>
      <c r="P711" s="206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M711" s="100"/>
      <c r="AN711" s="197"/>
      <c r="AO711" s="100"/>
    </row>
    <row r="712" spans="3:41" ht="15.75" customHeight="1" x14ac:dyDescent="0.25"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205"/>
      <c r="P712" s="206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M712" s="100"/>
      <c r="AN712" s="197"/>
      <c r="AO712" s="100"/>
    </row>
    <row r="713" spans="3:41" ht="15.75" customHeight="1" x14ac:dyDescent="0.25"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205"/>
      <c r="P713" s="206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M713" s="100"/>
      <c r="AN713" s="197"/>
      <c r="AO713" s="100"/>
    </row>
    <row r="714" spans="3:41" ht="15.75" customHeight="1" x14ac:dyDescent="0.25"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205"/>
      <c r="P714" s="206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M714" s="100"/>
      <c r="AN714" s="197"/>
      <c r="AO714" s="100"/>
    </row>
    <row r="715" spans="3:41" ht="15.75" customHeight="1" x14ac:dyDescent="0.25"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205"/>
      <c r="P715" s="206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M715" s="100"/>
      <c r="AN715" s="197"/>
      <c r="AO715" s="100"/>
    </row>
    <row r="716" spans="3:41" ht="15.75" customHeight="1" x14ac:dyDescent="0.25"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205"/>
      <c r="P716" s="206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M716" s="100"/>
      <c r="AN716" s="197"/>
      <c r="AO716" s="100"/>
    </row>
    <row r="717" spans="3:41" ht="15.75" customHeight="1" x14ac:dyDescent="0.25"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205"/>
      <c r="P717" s="206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M717" s="100"/>
      <c r="AN717" s="197"/>
      <c r="AO717" s="100"/>
    </row>
    <row r="718" spans="3:41" ht="15.75" customHeight="1" x14ac:dyDescent="0.25"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205"/>
      <c r="P718" s="206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M718" s="100"/>
      <c r="AN718" s="197"/>
      <c r="AO718" s="100"/>
    </row>
    <row r="719" spans="3:41" ht="15.75" customHeight="1" x14ac:dyDescent="0.25"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205"/>
      <c r="P719" s="206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M719" s="100"/>
      <c r="AN719" s="197"/>
      <c r="AO719" s="100"/>
    </row>
    <row r="720" spans="3:41" ht="15.75" customHeight="1" x14ac:dyDescent="0.25"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205"/>
      <c r="P720" s="206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M720" s="100"/>
      <c r="AN720" s="197"/>
      <c r="AO720" s="100"/>
    </row>
    <row r="721" spans="3:41" ht="15.75" customHeight="1" x14ac:dyDescent="0.25"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205"/>
      <c r="P721" s="206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M721" s="100"/>
      <c r="AN721" s="197"/>
      <c r="AO721" s="100"/>
    </row>
    <row r="722" spans="3:41" ht="15.75" customHeight="1" x14ac:dyDescent="0.25"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205"/>
      <c r="P722" s="206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M722" s="100"/>
      <c r="AN722" s="197"/>
      <c r="AO722" s="100"/>
    </row>
    <row r="723" spans="3:41" ht="15.75" customHeight="1" x14ac:dyDescent="0.25"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205"/>
      <c r="P723" s="206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M723" s="100"/>
      <c r="AN723" s="197"/>
      <c r="AO723" s="100"/>
    </row>
    <row r="724" spans="3:41" ht="15.75" customHeight="1" x14ac:dyDescent="0.25"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205"/>
      <c r="P724" s="206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M724" s="100"/>
      <c r="AN724" s="197"/>
      <c r="AO724" s="100"/>
    </row>
    <row r="725" spans="3:41" ht="15.75" customHeight="1" x14ac:dyDescent="0.25"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205"/>
      <c r="P725" s="206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M725" s="100"/>
      <c r="AN725" s="197"/>
      <c r="AO725" s="100"/>
    </row>
    <row r="726" spans="3:41" ht="15.75" customHeight="1" x14ac:dyDescent="0.25"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205"/>
      <c r="P726" s="206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M726" s="100"/>
      <c r="AN726" s="197"/>
      <c r="AO726" s="100"/>
    </row>
    <row r="727" spans="3:41" ht="15.75" customHeight="1" x14ac:dyDescent="0.25"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205"/>
      <c r="P727" s="206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M727" s="100"/>
      <c r="AN727" s="197"/>
      <c r="AO727" s="100"/>
    </row>
    <row r="728" spans="3:41" ht="15.75" customHeight="1" x14ac:dyDescent="0.25"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205"/>
      <c r="P728" s="206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M728" s="100"/>
      <c r="AN728" s="197"/>
      <c r="AO728" s="100"/>
    </row>
    <row r="729" spans="3:41" ht="15.75" customHeight="1" x14ac:dyDescent="0.25"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205"/>
      <c r="P729" s="206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M729" s="100"/>
      <c r="AN729" s="197"/>
      <c r="AO729" s="100"/>
    </row>
    <row r="730" spans="3:41" ht="15.75" customHeight="1" x14ac:dyDescent="0.25"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205"/>
      <c r="P730" s="206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M730" s="100"/>
      <c r="AN730" s="197"/>
      <c r="AO730" s="100"/>
    </row>
    <row r="731" spans="3:41" ht="15.75" customHeight="1" x14ac:dyDescent="0.25"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205"/>
      <c r="P731" s="206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M731" s="100"/>
      <c r="AN731" s="197"/>
      <c r="AO731" s="100"/>
    </row>
    <row r="732" spans="3:41" ht="15.75" customHeight="1" x14ac:dyDescent="0.25"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205"/>
      <c r="P732" s="206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M732" s="100"/>
      <c r="AN732" s="197"/>
      <c r="AO732" s="100"/>
    </row>
    <row r="733" spans="3:41" ht="15.75" customHeight="1" x14ac:dyDescent="0.25"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205"/>
      <c r="P733" s="206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M733" s="100"/>
      <c r="AN733" s="197"/>
      <c r="AO733" s="100"/>
    </row>
    <row r="734" spans="3:41" ht="15.75" customHeight="1" x14ac:dyDescent="0.25"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205"/>
      <c r="P734" s="206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M734" s="100"/>
      <c r="AN734" s="197"/>
      <c r="AO734" s="100"/>
    </row>
    <row r="735" spans="3:41" ht="15.75" customHeight="1" x14ac:dyDescent="0.25"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205"/>
      <c r="P735" s="206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M735" s="100"/>
      <c r="AN735" s="197"/>
      <c r="AO735" s="100"/>
    </row>
    <row r="736" spans="3:41" ht="15.75" customHeight="1" x14ac:dyDescent="0.25"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205"/>
      <c r="P736" s="206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M736" s="100"/>
      <c r="AN736" s="197"/>
      <c r="AO736" s="100"/>
    </row>
    <row r="737" spans="3:41" ht="15.75" customHeight="1" x14ac:dyDescent="0.25"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205"/>
      <c r="P737" s="206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M737" s="100"/>
      <c r="AN737" s="197"/>
      <c r="AO737" s="100"/>
    </row>
    <row r="738" spans="3:41" ht="15.75" customHeight="1" x14ac:dyDescent="0.25"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205"/>
      <c r="P738" s="206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M738" s="100"/>
      <c r="AN738" s="197"/>
      <c r="AO738" s="100"/>
    </row>
    <row r="739" spans="3:41" ht="15.75" customHeight="1" x14ac:dyDescent="0.25"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205"/>
      <c r="P739" s="206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M739" s="100"/>
      <c r="AN739" s="197"/>
      <c r="AO739" s="100"/>
    </row>
    <row r="740" spans="3:41" ht="15.75" customHeight="1" x14ac:dyDescent="0.25"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205"/>
      <c r="P740" s="206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M740" s="100"/>
      <c r="AN740" s="197"/>
      <c r="AO740" s="100"/>
    </row>
    <row r="741" spans="3:41" ht="15.75" customHeight="1" x14ac:dyDescent="0.25"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205"/>
      <c r="P741" s="206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M741" s="100"/>
      <c r="AN741" s="197"/>
      <c r="AO741" s="100"/>
    </row>
    <row r="742" spans="3:41" ht="15.75" customHeight="1" x14ac:dyDescent="0.25"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205"/>
      <c r="P742" s="206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M742" s="100"/>
      <c r="AN742" s="197"/>
      <c r="AO742" s="100"/>
    </row>
    <row r="743" spans="3:41" ht="15.75" customHeight="1" x14ac:dyDescent="0.25"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205"/>
      <c r="P743" s="206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M743" s="100"/>
      <c r="AN743" s="197"/>
      <c r="AO743" s="100"/>
    </row>
    <row r="744" spans="3:41" ht="15.75" customHeight="1" x14ac:dyDescent="0.25"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205"/>
      <c r="P744" s="206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M744" s="100"/>
      <c r="AN744" s="197"/>
      <c r="AO744" s="100"/>
    </row>
    <row r="745" spans="3:41" ht="15.75" customHeight="1" x14ac:dyDescent="0.25"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205"/>
      <c r="P745" s="206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M745" s="100"/>
      <c r="AN745" s="197"/>
      <c r="AO745" s="100"/>
    </row>
    <row r="746" spans="3:41" ht="15.75" customHeight="1" x14ac:dyDescent="0.25"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205"/>
      <c r="P746" s="206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M746" s="100"/>
      <c r="AN746" s="197"/>
      <c r="AO746" s="100"/>
    </row>
    <row r="747" spans="3:41" ht="15.75" customHeight="1" x14ac:dyDescent="0.25"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205"/>
      <c r="P747" s="206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M747" s="100"/>
      <c r="AN747" s="197"/>
      <c r="AO747" s="100"/>
    </row>
    <row r="748" spans="3:41" ht="15.75" customHeight="1" x14ac:dyDescent="0.25"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205"/>
      <c r="P748" s="206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M748" s="100"/>
      <c r="AN748" s="197"/>
      <c r="AO748" s="100"/>
    </row>
    <row r="749" spans="3:41" ht="15.75" customHeight="1" x14ac:dyDescent="0.25"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205"/>
      <c r="P749" s="206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M749" s="100"/>
      <c r="AN749" s="197"/>
      <c r="AO749" s="100"/>
    </row>
    <row r="750" spans="3:41" ht="15.75" customHeight="1" x14ac:dyDescent="0.25"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205"/>
      <c r="P750" s="206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M750" s="100"/>
      <c r="AN750" s="197"/>
      <c r="AO750" s="100"/>
    </row>
    <row r="751" spans="3:41" ht="15.75" customHeight="1" x14ac:dyDescent="0.25"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205"/>
      <c r="P751" s="206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M751" s="100"/>
      <c r="AN751" s="197"/>
      <c r="AO751" s="100"/>
    </row>
    <row r="752" spans="3:41" ht="15.75" customHeight="1" x14ac:dyDescent="0.25"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205"/>
      <c r="P752" s="206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M752" s="100"/>
      <c r="AN752" s="197"/>
      <c r="AO752" s="100"/>
    </row>
    <row r="753" spans="3:41" ht="15.75" customHeight="1" x14ac:dyDescent="0.25"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205"/>
      <c r="P753" s="206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M753" s="100"/>
      <c r="AN753" s="197"/>
      <c r="AO753" s="100"/>
    </row>
    <row r="754" spans="3:41" ht="15.75" customHeight="1" x14ac:dyDescent="0.25"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205"/>
      <c r="P754" s="206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M754" s="100"/>
      <c r="AN754" s="197"/>
      <c r="AO754" s="100"/>
    </row>
    <row r="755" spans="3:41" ht="15.75" customHeight="1" x14ac:dyDescent="0.25"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205"/>
      <c r="P755" s="206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M755" s="100"/>
      <c r="AN755" s="197"/>
      <c r="AO755" s="100"/>
    </row>
    <row r="756" spans="3:41" ht="15.75" customHeight="1" x14ac:dyDescent="0.25"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205"/>
      <c r="P756" s="206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M756" s="100"/>
      <c r="AN756" s="197"/>
      <c r="AO756" s="100"/>
    </row>
    <row r="757" spans="3:41" ht="15.75" customHeight="1" x14ac:dyDescent="0.25"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205"/>
      <c r="P757" s="206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M757" s="100"/>
      <c r="AN757" s="197"/>
      <c r="AO757" s="100"/>
    </row>
    <row r="758" spans="3:41" ht="15.75" customHeight="1" x14ac:dyDescent="0.25"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205"/>
      <c r="P758" s="206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M758" s="100"/>
      <c r="AN758" s="197"/>
      <c r="AO758" s="100"/>
    </row>
    <row r="759" spans="3:41" ht="15.75" customHeight="1" x14ac:dyDescent="0.25"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205"/>
      <c r="P759" s="206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M759" s="100"/>
      <c r="AN759" s="197"/>
      <c r="AO759" s="100"/>
    </row>
    <row r="760" spans="3:41" ht="15.75" customHeight="1" x14ac:dyDescent="0.25"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205"/>
      <c r="P760" s="206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M760" s="100"/>
      <c r="AN760" s="197"/>
      <c r="AO760" s="100"/>
    </row>
    <row r="761" spans="3:41" ht="15.75" customHeight="1" x14ac:dyDescent="0.25"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205"/>
      <c r="P761" s="206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M761" s="100"/>
      <c r="AN761" s="197"/>
      <c r="AO761" s="100"/>
    </row>
    <row r="762" spans="3:41" ht="15.75" customHeight="1" x14ac:dyDescent="0.25"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205"/>
      <c r="P762" s="206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M762" s="100"/>
      <c r="AN762" s="197"/>
      <c r="AO762" s="100"/>
    </row>
    <row r="763" spans="3:41" ht="15.75" customHeight="1" x14ac:dyDescent="0.25"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205"/>
      <c r="P763" s="206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M763" s="100"/>
      <c r="AN763" s="197"/>
      <c r="AO763" s="100"/>
    </row>
    <row r="764" spans="3:41" ht="15.75" customHeight="1" x14ac:dyDescent="0.25"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205"/>
      <c r="P764" s="206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M764" s="100"/>
      <c r="AN764" s="197"/>
      <c r="AO764" s="100"/>
    </row>
    <row r="765" spans="3:41" ht="15.75" customHeight="1" x14ac:dyDescent="0.25"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205"/>
      <c r="P765" s="206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M765" s="100"/>
      <c r="AN765" s="197"/>
      <c r="AO765" s="100"/>
    </row>
    <row r="766" spans="3:41" ht="15.75" customHeight="1" x14ac:dyDescent="0.25"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205"/>
      <c r="P766" s="206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M766" s="100"/>
      <c r="AN766" s="197"/>
      <c r="AO766" s="100"/>
    </row>
    <row r="767" spans="3:41" ht="15.75" customHeight="1" x14ac:dyDescent="0.25"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205"/>
      <c r="P767" s="206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M767" s="100"/>
      <c r="AN767" s="197"/>
      <c r="AO767" s="100"/>
    </row>
    <row r="768" spans="3:41" ht="15.75" customHeight="1" x14ac:dyDescent="0.25"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205"/>
      <c r="P768" s="206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M768" s="100"/>
      <c r="AN768" s="197"/>
      <c r="AO768" s="100"/>
    </row>
    <row r="769" spans="3:41" ht="15.75" customHeight="1" x14ac:dyDescent="0.25"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205"/>
      <c r="P769" s="206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M769" s="100"/>
      <c r="AN769" s="197"/>
      <c r="AO769" s="100"/>
    </row>
    <row r="770" spans="3:41" ht="15.75" customHeight="1" x14ac:dyDescent="0.25"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205"/>
      <c r="P770" s="206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M770" s="100"/>
      <c r="AN770" s="197"/>
      <c r="AO770" s="100"/>
    </row>
    <row r="771" spans="3:41" ht="15.75" customHeight="1" x14ac:dyDescent="0.25"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205"/>
      <c r="P771" s="206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M771" s="100"/>
      <c r="AN771" s="197"/>
      <c r="AO771" s="100"/>
    </row>
    <row r="772" spans="3:41" ht="15.75" customHeight="1" x14ac:dyDescent="0.25"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205"/>
      <c r="P772" s="206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M772" s="100"/>
      <c r="AN772" s="197"/>
      <c r="AO772" s="100"/>
    </row>
    <row r="773" spans="3:41" ht="15.75" customHeight="1" x14ac:dyDescent="0.25"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205"/>
      <c r="P773" s="206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M773" s="100"/>
      <c r="AN773" s="197"/>
      <c r="AO773" s="100"/>
    </row>
    <row r="774" spans="3:41" ht="15.75" customHeight="1" x14ac:dyDescent="0.25"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205"/>
      <c r="P774" s="206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M774" s="100"/>
      <c r="AN774" s="197"/>
      <c r="AO774" s="100"/>
    </row>
    <row r="775" spans="3:41" ht="15.75" customHeight="1" x14ac:dyDescent="0.25"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205"/>
      <c r="P775" s="206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M775" s="100"/>
      <c r="AN775" s="197"/>
      <c r="AO775" s="100"/>
    </row>
    <row r="776" spans="3:41" ht="15.75" customHeight="1" x14ac:dyDescent="0.25"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205"/>
      <c r="P776" s="206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M776" s="100"/>
      <c r="AN776" s="197"/>
      <c r="AO776" s="100"/>
    </row>
    <row r="777" spans="3:41" ht="15.75" customHeight="1" x14ac:dyDescent="0.25"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205"/>
      <c r="P777" s="206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M777" s="100"/>
      <c r="AN777" s="197"/>
      <c r="AO777" s="100"/>
    </row>
    <row r="778" spans="3:41" ht="15.75" customHeight="1" x14ac:dyDescent="0.25"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205"/>
      <c r="P778" s="206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M778" s="100"/>
      <c r="AN778" s="197"/>
      <c r="AO778" s="100"/>
    </row>
    <row r="779" spans="3:41" ht="15.75" customHeight="1" x14ac:dyDescent="0.25"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205"/>
      <c r="P779" s="206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M779" s="100"/>
      <c r="AN779" s="197"/>
      <c r="AO779" s="100"/>
    </row>
    <row r="780" spans="3:41" ht="15.75" customHeight="1" x14ac:dyDescent="0.25"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205"/>
      <c r="P780" s="206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M780" s="100"/>
      <c r="AN780" s="197"/>
      <c r="AO780" s="100"/>
    </row>
    <row r="781" spans="3:41" ht="15.75" customHeight="1" x14ac:dyDescent="0.25"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205"/>
      <c r="P781" s="206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M781" s="100"/>
      <c r="AN781" s="197"/>
      <c r="AO781" s="100"/>
    </row>
    <row r="782" spans="3:41" ht="15.75" customHeight="1" x14ac:dyDescent="0.25"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205"/>
      <c r="P782" s="206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M782" s="100"/>
      <c r="AN782" s="197"/>
      <c r="AO782" s="100"/>
    </row>
    <row r="783" spans="3:41" ht="15.75" customHeight="1" x14ac:dyDescent="0.25"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205"/>
      <c r="P783" s="206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M783" s="100"/>
      <c r="AN783" s="197"/>
      <c r="AO783" s="100"/>
    </row>
    <row r="784" spans="3:41" ht="15.75" customHeight="1" x14ac:dyDescent="0.25"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205"/>
      <c r="P784" s="206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M784" s="100"/>
      <c r="AN784" s="197"/>
      <c r="AO784" s="100"/>
    </row>
    <row r="785" spans="3:41" ht="15.75" customHeight="1" x14ac:dyDescent="0.25"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205"/>
      <c r="P785" s="206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M785" s="100"/>
      <c r="AN785" s="197"/>
      <c r="AO785" s="100"/>
    </row>
    <row r="786" spans="3:41" ht="15.75" customHeight="1" x14ac:dyDescent="0.25"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205"/>
      <c r="P786" s="206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M786" s="100"/>
      <c r="AN786" s="197"/>
      <c r="AO786" s="100"/>
    </row>
    <row r="787" spans="3:41" ht="15.75" customHeight="1" x14ac:dyDescent="0.25"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205"/>
      <c r="P787" s="206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M787" s="100"/>
      <c r="AN787" s="197"/>
      <c r="AO787" s="100"/>
    </row>
    <row r="788" spans="3:41" ht="15.75" customHeight="1" x14ac:dyDescent="0.25"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205"/>
      <c r="P788" s="206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M788" s="100"/>
      <c r="AN788" s="197"/>
      <c r="AO788" s="100"/>
    </row>
    <row r="789" spans="3:41" ht="15.75" customHeight="1" x14ac:dyDescent="0.25"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205"/>
      <c r="P789" s="206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M789" s="100"/>
      <c r="AN789" s="197"/>
      <c r="AO789" s="100"/>
    </row>
    <row r="790" spans="3:41" ht="15.75" customHeight="1" x14ac:dyDescent="0.25"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205"/>
      <c r="P790" s="206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M790" s="100"/>
      <c r="AN790" s="197"/>
      <c r="AO790" s="100"/>
    </row>
    <row r="791" spans="3:41" ht="15.75" customHeight="1" x14ac:dyDescent="0.25"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205"/>
      <c r="P791" s="206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M791" s="100"/>
      <c r="AN791" s="197"/>
      <c r="AO791" s="100"/>
    </row>
    <row r="792" spans="3:41" ht="15.75" customHeight="1" x14ac:dyDescent="0.25"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205"/>
      <c r="P792" s="206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M792" s="100"/>
      <c r="AN792" s="197"/>
      <c r="AO792" s="100"/>
    </row>
    <row r="793" spans="3:41" ht="15.75" customHeight="1" x14ac:dyDescent="0.25"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205"/>
      <c r="P793" s="206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M793" s="100"/>
      <c r="AN793" s="197"/>
      <c r="AO793" s="100"/>
    </row>
    <row r="794" spans="3:41" ht="15.75" customHeight="1" x14ac:dyDescent="0.25"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205"/>
      <c r="P794" s="206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M794" s="100"/>
      <c r="AN794" s="197"/>
      <c r="AO794" s="100"/>
    </row>
    <row r="795" spans="3:41" ht="15.75" customHeight="1" x14ac:dyDescent="0.25"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205"/>
      <c r="P795" s="206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M795" s="100"/>
      <c r="AN795" s="197"/>
      <c r="AO795" s="100"/>
    </row>
    <row r="796" spans="3:41" ht="15.75" customHeight="1" x14ac:dyDescent="0.25"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205"/>
      <c r="P796" s="206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M796" s="100"/>
      <c r="AN796" s="197"/>
      <c r="AO796" s="100"/>
    </row>
    <row r="797" spans="3:41" ht="15.75" customHeight="1" x14ac:dyDescent="0.25"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205"/>
      <c r="P797" s="206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M797" s="100"/>
      <c r="AN797" s="197"/>
      <c r="AO797" s="100"/>
    </row>
    <row r="798" spans="3:41" ht="15.75" customHeight="1" x14ac:dyDescent="0.25"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205"/>
      <c r="P798" s="206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M798" s="100"/>
      <c r="AN798" s="197"/>
      <c r="AO798" s="100"/>
    </row>
    <row r="799" spans="3:41" ht="15.75" customHeight="1" x14ac:dyDescent="0.25"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205"/>
      <c r="P799" s="206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M799" s="100"/>
      <c r="AN799" s="197"/>
      <c r="AO799" s="100"/>
    </row>
    <row r="800" spans="3:41" ht="15.75" customHeight="1" x14ac:dyDescent="0.25"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205"/>
      <c r="P800" s="206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M800" s="100"/>
      <c r="AN800" s="197"/>
      <c r="AO800" s="100"/>
    </row>
    <row r="801" spans="3:41" ht="15.75" customHeight="1" x14ac:dyDescent="0.25"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205"/>
      <c r="P801" s="206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M801" s="100"/>
      <c r="AN801" s="197"/>
      <c r="AO801" s="100"/>
    </row>
    <row r="802" spans="3:41" ht="15.75" customHeight="1" x14ac:dyDescent="0.25"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205"/>
      <c r="P802" s="206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M802" s="100"/>
      <c r="AN802" s="197"/>
      <c r="AO802" s="100"/>
    </row>
    <row r="803" spans="3:41" ht="15.75" customHeight="1" x14ac:dyDescent="0.25"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205"/>
      <c r="P803" s="206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M803" s="100"/>
      <c r="AN803" s="197"/>
      <c r="AO803" s="100"/>
    </row>
    <row r="804" spans="3:41" ht="15.75" customHeight="1" x14ac:dyDescent="0.25"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205"/>
      <c r="P804" s="206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M804" s="100"/>
      <c r="AN804" s="197"/>
      <c r="AO804" s="100"/>
    </row>
    <row r="805" spans="3:41" ht="15.75" customHeight="1" x14ac:dyDescent="0.25"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205"/>
      <c r="P805" s="206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M805" s="100"/>
      <c r="AN805" s="197"/>
      <c r="AO805" s="100"/>
    </row>
    <row r="806" spans="3:41" ht="15.75" customHeight="1" x14ac:dyDescent="0.25"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205"/>
      <c r="P806" s="206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M806" s="100"/>
      <c r="AN806" s="197"/>
      <c r="AO806" s="100"/>
    </row>
    <row r="807" spans="3:41" ht="15.75" customHeight="1" x14ac:dyDescent="0.25"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205"/>
      <c r="P807" s="206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M807" s="100"/>
      <c r="AN807" s="197"/>
      <c r="AO807" s="100"/>
    </row>
    <row r="808" spans="3:41" ht="15.75" customHeight="1" x14ac:dyDescent="0.25"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205"/>
      <c r="P808" s="206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M808" s="100"/>
      <c r="AN808" s="197"/>
      <c r="AO808" s="100"/>
    </row>
    <row r="809" spans="3:41" ht="15.75" customHeight="1" x14ac:dyDescent="0.25"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205"/>
      <c r="P809" s="206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M809" s="100"/>
      <c r="AN809" s="197"/>
      <c r="AO809" s="100"/>
    </row>
    <row r="810" spans="3:41" ht="15.75" customHeight="1" x14ac:dyDescent="0.25"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205"/>
      <c r="P810" s="206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M810" s="100"/>
      <c r="AN810" s="197"/>
      <c r="AO810" s="100"/>
    </row>
    <row r="811" spans="3:41" ht="15.75" customHeight="1" x14ac:dyDescent="0.25"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205"/>
      <c r="P811" s="206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M811" s="100"/>
      <c r="AN811" s="197"/>
      <c r="AO811" s="100"/>
    </row>
    <row r="812" spans="3:41" ht="15.75" customHeight="1" x14ac:dyDescent="0.25"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205"/>
      <c r="P812" s="206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M812" s="100"/>
      <c r="AN812" s="197"/>
      <c r="AO812" s="100"/>
    </row>
    <row r="813" spans="3:41" ht="15.75" customHeight="1" x14ac:dyDescent="0.25"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205"/>
      <c r="P813" s="206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M813" s="100"/>
      <c r="AN813" s="197"/>
      <c r="AO813" s="100"/>
    </row>
    <row r="814" spans="3:41" ht="15.75" customHeight="1" x14ac:dyDescent="0.25"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205"/>
      <c r="P814" s="206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M814" s="100"/>
      <c r="AN814" s="197"/>
      <c r="AO814" s="100"/>
    </row>
    <row r="815" spans="3:41" ht="15.75" customHeight="1" x14ac:dyDescent="0.25"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205"/>
      <c r="P815" s="206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M815" s="100"/>
      <c r="AN815" s="197"/>
      <c r="AO815" s="100"/>
    </row>
    <row r="816" spans="3:41" ht="15.75" customHeight="1" x14ac:dyDescent="0.25"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205"/>
      <c r="P816" s="206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M816" s="100"/>
      <c r="AN816" s="197"/>
      <c r="AO816" s="100"/>
    </row>
    <row r="817" spans="3:41" ht="15.75" customHeight="1" x14ac:dyDescent="0.25"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205"/>
      <c r="P817" s="206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M817" s="100"/>
      <c r="AN817" s="197"/>
      <c r="AO817" s="100"/>
    </row>
    <row r="818" spans="3:41" ht="15.75" customHeight="1" x14ac:dyDescent="0.25"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205"/>
      <c r="P818" s="206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M818" s="100"/>
      <c r="AN818" s="197"/>
      <c r="AO818" s="100"/>
    </row>
    <row r="819" spans="3:41" ht="15.75" customHeight="1" x14ac:dyDescent="0.25"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205"/>
      <c r="P819" s="206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M819" s="100"/>
      <c r="AN819" s="197"/>
      <c r="AO819" s="100"/>
    </row>
    <row r="820" spans="3:41" ht="15.75" customHeight="1" x14ac:dyDescent="0.25"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205"/>
      <c r="P820" s="206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M820" s="100"/>
      <c r="AN820" s="197"/>
      <c r="AO820" s="100"/>
    </row>
    <row r="821" spans="3:41" ht="15.75" customHeight="1" x14ac:dyDescent="0.25"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205"/>
      <c r="P821" s="206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M821" s="100"/>
      <c r="AN821" s="197"/>
      <c r="AO821" s="100"/>
    </row>
    <row r="822" spans="3:41" ht="15.75" customHeight="1" x14ac:dyDescent="0.25"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205"/>
      <c r="P822" s="206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M822" s="100"/>
      <c r="AN822" s="197"/>
      <c r="AO822" s="100"/>
    </row>
    <row r="823" spans="3:41" ht="15.75" customHeight="1" x14ac:dyDescent="0.25"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205"/>
      <c r="P823" s="206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M823" s="100"/>
      <c r="AN823" s="197"/>
      <c r="AO823" s="100"/>
    </row>
    <row r="824" spans="3:41" ht="15.75" customHeight="1" x14ac:dyDescent="0.25"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205"/>
      <c r="P824" s="206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M824" s="100"/>
      <c r="AN824" s="197"/>
      <c r="AO824" s="100"/>
    </row>
    <row r="825" spans="3:41" ht="15.75" customHeight="1" x14ac:dyDescent="0.25"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205"/>
      <c r="P825" s="206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M825" s="100"/>
      <c r="AN825" s="197"/>
      <c r="AO825" s="100"/>
    </row>
    <row r="826" spans="3:41" ht="15.75" customHeight="1" x14ac:dyDescent="0.25"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205"/>
      <c r="P826" s="206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M826" s="100"/>
      <c r="AN826" s="197"/>
      <c r="AO826" s="100"/>
    </row>
    <row r="827" spans="3:41" ht="15.75" customHeight="1" x14ac:dyDescent="0.25"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205"/>
      <c r="P827" s="206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M827" s="100"/>
      <c r="AN827" s="197"/>
      <c r="AO827" s="100"/>
    </row>
    <row r="828" spans="3:41" ht="15.75" customHeight="1" x14ac:dyDescent="0.25"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205"/>
      <c r="P828" s="206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M828" s="100"/>
      <c r="AN828" s="197"/>
      <c r="AO828" s="100"/>
    </row>
    <row r="829" spans="3:41" ht="15.75" customHeight="1" x14ac:dyDescent="0.25"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205"/>
      <c r="P829" s="206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M829" s="100"/>
      <c r="AN829" s="197"/>
      <c r="AO829" s="100"/>
    </row>
    <row r="830" spans="3:41" ht="15.75" customHeight="1" x14ac:dyDescent="0.25"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205"/>
      <c r="P830" s="206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M830" s="100"/>
      <c r="AN830" s="197"/>
      <c r="AO830" s="100"/>
    </row>
    <row r="831" spans="3:41" ht="15.75" customHeight="1" x14ac:dyDescent="0.25"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205"/>
      <c r="P831" s="206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M831" s="100"/>
      <c r="AN831" s="197"/>
      <c r="AO831" s="100"/>
    </row>
    <row r="832" spans="3:41" ht="15.75" customHeight="1" x14ac:dyDescent="0.25"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205"/>
      <c r="P832" s="206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M832" s="100"/>
      <c r="AN832" s="197"/>
      <c r="AO832" s="100"/>
    </row>
    <row r="833" spans="3:41" ht="15.75" customHeight="1" x14ac:dyDescent="0.25"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205"/>
      <c r="P833" s="206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M833" s="100"/>
      <c r="AN833" s="197"/>
      <c r="AO833" s="100"/>
    </row>
    <row r="834" spans="3:41" ht="15.75" customHeight="1" x14ac:dyDescent="0.25"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205"/>
      <c r="P834" s="206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M834" s="100"/>
      <c r="AN834" s="197"/>
      <c r="AO834" s="100"/>
    </row>
    <row r="835" spans="3:41" ht="15.75" customHeight="1" x14ac:dyDescent="0.25"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205"/>
      <c r="P835" s="206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M835" s="100"/>
      <c r="AN835" s="197"/>
      <c r="AO835" s="100"/>
    </row>
    <row r="836" spans="3:41" ht="15.75" customHeight="1" x14ac:dyDescent="0.25"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205"/>
      <c r="P836" s="206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M836" s="100"/>
      <c r="AN836" s="197"/>
      <c r="AO836" s="100"/>
    </row>
    <row r="837" spans="3:41" ht="15.75" customHeight="1" x14ac:dyDescent="0.25"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205"/>
      <c r="P837" s="206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M837" s="100"/>
      <c r="AN837" s="197"/>
      <c r="AO837" s="100"/>
    </row>
    <row r="838" spans="3:41" ht="15.75" customHeight="1" x14ac:dyDescent="0.25"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205"/>
      <c r="P838" s="206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M838" s="100"/>
      <c r="AN838" s="197"/>
      <c r="AO838" s="100"/>
    </row>
    <row r="839" spans="3:41" ht="15.75" customHeight="1" x14ac:dyDescent="0.25"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205"/>
      <c r="P839" s="206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M839" s="100"/>
      <c r="AN839" s="197"/>
      <c r="AO839" s="100"/>
    </row>
    <row r="840" spans="3:41" ht="15.75" customHeight="1" x14ac:dyDescent="0.25"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205"/>
      <c r="P840" s="206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M840" s="100"/>
      <c r="AN840" s="197"/>
      <c r="AO840" s="100"/>
    </row>
    <row r="841" spans="3:41" ht="15.75" customHeight="1" x14ac:dyDescent="0.25"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205"/>
      <c r="P841" s="206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M841" s="100"/>
      <c r="AN841" s="197"/>
      <c r="AO841" s="100"/>
    </row>
    <row r="842" spans="3:41" ht="15.75" customHeight="1" x14ac:dyDescent="0.25"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205"/>
      <c r="P842" s="206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M842" s="100"/>
      <c r="AN842" s="197"/>
      <c r="AO842" s="100"/>
    </row>
    <row r="843" spans="3:41" ht="15.75" customHeight="1" x14ac:dyDescent="0.25"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205"/>
      <c r="P843" s="206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M843" s="100"/>
      <c r="AN843" s="197"/>
      <c r="AO843" s="100"/>
    </row>
    <row r="844" spans="3:41" ht="15.75" customHeight="1" x14ac:dyDescent="0.25"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205"/>
      <c r="P844" s="206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M844" s="100"/>
      <c r="AN844" s="197"/>
      <c r="AO844" s="100"/>
    </row>
    <row r="845" spans="3:41" ht="15.75" customHeight="1" x14ac:dyDescent="0.25"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205"/>
      <c r="P845" s="206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M845" s="100"/>
      <c r="AN845" s="197"/>
      <c r="AO845" s="100"/>
    </row>
    <row r="846" spans="3:41" ht="15.75" customHeight="1" x14ac:dyDescent="0.25"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205"/>
      <c r="P846" s="206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M846" s="100"/>
      <c r="AN846" s="197"/>
      <c r="AO846" s="100"/>
    </row>
    <row r="847" spans="3:41" ht="15.75" customHeight="1" x14ac:dyDescent="0.25"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205"/>
      <c r="P847" s="206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M847" s="100"/>
      <c r="AN847" s="197"/>
      <c r="AO847" s="100"/>
    </row>
    <row r="848" spans="3:41" ht="15.75" customHeight="1" x14ac:dyDescent="0.25"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205"/>
      <c r="P848" s="206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M848" s="100"/>
      <c r="AN848" s="197"/>
      <c r="AO848" s="100"/>
    </row>
    <row r="849" spans="3:41" ht="15.75" customHeight="1" x14ac:dyDescent="0.25"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205"/>
      <c r="P849" s="206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M849" s="100"/>
      <c r="AN849" s="197"/>
      <c r="AO849" s="100"/>
    </row>
    <row r="850" spans="3:41" ht="15.75" customHeight="1" x14ac:dyDescent="0.25"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205"/>
      <c r="P850" s="206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M850" s="100"/>
      <c r="AN850" s="197"/>
      <c r="AO850" s="100"/>
    </row>
    <row r="851" spans="3:41" ht="15.75" customHeight="1" x14ac:dyDescent="0.25"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205"/>
      <c r="P851" s="206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M851" s="100"/>
      <c r="AN851" s="197"/>
      <c r="AO851" s="100"/>
    </row>
    <row r="852" spans="3:41" ht="15.75" customHeight="1" x14ac:dyDescent="0.25"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205"/>
      <c r="P852" s="206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M852" s="100"/>
      <c r="AN852" s="197"/>
      <c r="AO852" s="100"/>
    </row>
    <row r="853" spans="3:41" ht="15.75" customHeight="1" x14ac:dyDescent="0.25"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205"/>
      <c r="P853" s="206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M853" s="100"/>
      <c r="AN853" s="197"/>
      <c r="AO853" s="100"/>
    </row>
    <row r="854" spans="3:41" ht="15.75" customHeight="1" x14ac:dyDescent="0.25"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205"/>
      <c r="P854" s="206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M854" s="100"/>
      <c r="AN854" s="197"/>
      <c r="AO854" s="100"/>
    </row>
    <row r="855" spans="3:41" ht="15.75" customHeight="1" x14ac:dyDescent="0.25"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205"/>
      <c r="P855" s="206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M855" s="100"/>
      <c r="AN855" s="197"/>
      <c r="AO855" s="100"/>
    </row>
    <row r="856" spans="3:41" ht="15.75" customHeight="1" x14ac:dyDescent="0.25"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205"/>
      <c r="P856" s="206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M856" s="100"/>
      <c r="AN856" s="197"/>
      <c r="AO856" s="100"/>
    </row>
    <row r="857" spans="3:41" ht="15.75" customHeight="1" x14ac:dyDescent="0.25"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205"/>
      <c r="P857" s="206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M857" s="100"/>
      <c r="AN857" s="197"/>
      <c r="AO857" s="100"/>
    </row>
    <row r="858" spans="3:41" ht="15.75" customHeight="1" x14ac:dyDescent="0.25"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205"/>
      <c r="P858" s="206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M858" s="100"/>
      <c r="AN858" s="197"/>
      <c r="AO858" s="100"/>
    </row>
    <row r="859" spans="3:41" ht="15.75" customHeight="1" x14ac:dyDescent="0.25"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205"/>
      <c r="P859" s="206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M859" s="100"/>
      <c r="AN859" s="197"/>
      <c r="AO859" s="100"/>
    </row>
    <row r="860" spans="3:41" ht="15.75" customHeight="1" x14ac:dyDescent="0.25"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205"/>
      <c r="P860" s="206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M860" s="100"/>
      <c r="AN860" s="197"/>
      <c r="AO860" s="100"/>
    </row>
    <row r="861" spans="3:41" ht="15.75" customHeight="1" x14ac:dyDescent="0.25"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205"/>
      <c r="P861" s="206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M861" s="100"/>
      <c r="AN861" s="197"/>
      <c r="AO861" s="100"/>
    </row>
    <row r="862" spans="3:41" ht="15.75" customHeight="1" x14ac:dyDescent="0.25"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205"/>
      <c r="P862" s="206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M862" s="100"/>
      <c r="AN862" s="197"/>
      <c r="AO862" s="100"/>
    </row>
    <row r="863" spans="3:41" ht="15.75" customHeight="1" x14ac:dyDescent="0.25"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205"/>
      <c r="P863" s="206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M863" s="100"/>
      <c r="AN863" s="197"/>
      <c r="AO863" s="100"/>
    </row>
    <row r="864" spans="3:41" ht="15.75" customHeight="1" x14ac:dyDescent="0.25"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205"/>
      <c r="P864" s="206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M864" s="100"/>
      <c r="AN864" s="197"/>
      <c r="AO864" s="100"/>
    </row>
    <row r="865" spans="3:41" ht="15.75" customHeight="1" x14ac:dyDescent="0.25"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205"/>
      <c r="P865" s="206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M865" s="100"/>
      <c r="AN865" s="197"/>
      <c r="AO865" s="100"/>
    </row>
    <row r="866" spans="3:41" ht="15.75" customHeight="1" x14ac:dyDescent="0.25"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205"/>
      <c r="P866" s="206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M866" s="100"/>
      <c r="AN866" s="197"/>
      <c r="AO866" s="100"/>
    </row>
    <row r="867" spans="3:41" ht="15.75" customHeight="1" x14ac:dyDescent="0.25"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205"/>
      <c r="P867" s="206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M867" s="100"/>
      <c r="AN867" s="197"/>
      <c r="AO867" s="100"/>
    </row>
    <row r="868" spans="3:41" ht="15.75" customHeight="1" x14ac:dyDescent="0.25"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205"/>
      <c r="P868" s="206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M868" s="100"/>
      <c r="AN868" s="197"/>
      <c r="AO868" s="100"/>
    </row>
    <row r="869" spans="3:41" ht="15.75" customHeight="1" x14ac:dyDescent="0.25"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205"/>
      <c r="P869" s="206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M869" s="100"/>
      <c r="AN869" s="197"/>
      <c r="AO869" s="100"/>
    </row>
    <row r="870" spans="3:41" ht="15.75" customHeight="1" x14ac:dyDescent="0.25"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205"/>
      <c r="P870" s="206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M870" s="100"/>
      <c r="AN870" s="197"/>
      <c r="AO870" s="100"/>
    </row>
    <row r="871" spans="3:41" ht="15.75" customHeight="1" x14ac:dyDescent="0.25"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205"/>
      <c r="P871" s="206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M871" s="100"/>
      <c r="AN871" s="197"/>
      <c r="AO871" s="100"/>
    </row>
    <row r="872" spans="3:41" ht="15.75" customHeight="1" x14ac:dyDescent="0.25"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205"/>
      <c r="P872" s="206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M872" s="100"/>
      <c r="AN872" s="197"/>
      <c r="AO872" s="100"/>
    </row>
    <row r="873" spans="3:41" ht="15.75" customHeight="1" x14ac:dyDescent="0.25"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205"/>
      <c r="P873" s="206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M873" s="100"/>
      <c r="AN873" s="197"/>
      <c r="AO873" s="100"/>
    </row>
    <row r="874" spans="3:41" ht="15.75" customHeight="1" x14ac:dyDescent="0.25"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205"/>
      <c r="P874" s="206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M874" s="100"/>
      <c r="AN874" s="197"/>
      <c r="AO874" s="100"/>
    </row>
    <row r="875" spans="3:41" ht="15.75" customHeight="1" x14ac:dyDescent="0.25"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205"/>
      <c r="P875" s="206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M875" s="100"/>
      <c r="AN875" s="197"/>
      <c r="AO875" s="100"/>
    </row>
    <row r="876" spans="3:41" ht="15.75" customHeight="1" x14ac:dyDescent="0.25"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205"/>
      <c r="P876" s="206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M876" s="100"/>
      <c r="AN876" s="197"/>
      <c r="AO876" s="100"/>
    </row>
    <row r="877" spans="3:41" ht="15.75" customHeight="1" x14ac:dyDescent="0.25"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205"/>
      <c r="P877" s="206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M877" s="100"/>
      <c r="AN877" s="197"/>
      <c r="AO877" s="100"/>
    </row>
    <row r="878" spans="3:41" ht="15.75" customHeight="1" x14ac:dyDescent="0.25"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205"/>
      <c r="P878" s="206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M878" s="100"/>
      <c r="AN878" s="197"/>
      <c r="AO878" s="100"/>
    </row>
    <row r="879" spans="3:41" ht="15.75" customHeight="1" x14ac:dyDescent="0.25"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205"/>
      <c r="P879" s="206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M879" s="100"/>
      <c r="AN879" s="197"/>
      <c r="AO879" s="100"/>
    </row>
    <row r="880" spans="3:41" ht="15.75" customHeight="1" x14ac:dyDescent="0.25"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205"/>
      <c r="P880" s="206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M880" s="100"/>
      <c r="AN880" s="197"/>
      <c r="AO880" s="100"/>
    </row>
    <row r="881" spans="3:41" ht="15.75" customHeight="1" x14ac:dyDescent="0.25"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205"/>
      <c r="P881" s="206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M881" s="100"/>
      <c r="AN881" s="197"/>
      <c r="AO881" s="100"/>
    </row>
    <row r="882" spans="3:41" ht="15.75" customHeight="1" x14ac:dyDescent="0.25"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205"/>
      <c r="P882" s="206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M882" s="100"/>
      <c r="AN882" s="197"/>
      <c r="AO882" s="100"/>
    </row>
    <row r="883" spans="3:41" ht="15.75" customHeight="1" x14ac:dyDescent="0.25"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205"/>
      <c r="P883" s="206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M883" s="100"/>
      <c r="AN883" s="197"/>
      <c r="AO883" s="100"/>
    </row>
    <row r="884" spans="3:41" ht="15.75" customHeight="1" x14ac:dyDescent="0.25"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205"/>
      <c r="P884" s="206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M884" s="100"/>
      <c r="AN884" s="197"/>
      <c r="AO884" s="100"/>
    </row>
    <row r="885" spans="3:41" ht="15.75" customHeight="1" x14ac:dyDescent="0.25"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205"/>
      <c r="P885" s="206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M885" s="100"/>
      <c r="AN885" s="197"/>
      <c r="AO885" s="100"/>
    </row>
    <row r="886" spans="3:41" ht="15.75" customHeight="1" x14ac:dyDescent="0.25"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205"/>
      <c r="P886" s="206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M886" s="100"/>
      <c r="AN886" s="197"/>
      <c r="AO886" s="100"/>
    </row>
    <row r="887" spans="3:41" ht="15.75" customHeight="1" x14ac:dyDescent="0.25"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205"/>
      <c r="P887" s="206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M887" s="100"/>
      <c r="AN887" s="197"/>
      <c r="AO887" s="100"/>
    </row>
    <row r="888" spans="3:41" ht="15.75" customHeight="1" x14ac:dyDescent="0.25"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205"/>
      <c r="P888" s="206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M888" s="100"/>
      <c r="AN888" s="197"/>
      <c r="AO888" s="100"/>
    </row>
    <row r="889" spans="3:41" ht="15.75" customHeight="1" x14ac:dyDescent="0.25"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205"/>
      <c r="P889" s="206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M889" s="100"/>
      <c r="AN889" s="197"/>
      <c r="AO889" s="100"/>
    </row>
    <row r="890" spans="3:41" ht="15.75" customHeight="1" x14ac:dyDescent="0.25"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205"/>
      <c r="P890" s="206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M890" s="100"/>
      <c r="AN890" s="197"/>
      <c r="AO890" s="100"/>
    </row>
    <row r="891" spans="3:41" ht="15.75" customHeight="1" x14ac:dyDescent="0.25"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205"/>
      <c r="P891" s="206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M891" s="100"/>
      <c r="AN891" s="197"/>
      <c r="AO891" s="100"/>
    </row>
    <row r="892" spans="3:41" ht="15.75" customHeight="1" x14ac:dyDescent="0.25"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205"/>
      <c r="P892" s="206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M892" s="100"/>
      <c r="AN892" s="197"/>
      <c r="AO892" s="100"/>
    </row>
    <row r="893" spans="3:41" ht="15.75" customHeight="1" x14ac:dyDescent="0.25"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205"/>
      <c r="P893" s="206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M893" s="100"/>
      <c r="AN893" s="197"/>
      <c r="AO893" s="100"/>
    </row>
    <row r="894" spans="3:41" ht="15.75" customHeight="1" x14ac:dyDescent="0.25"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205"/>
      <c r="P894" s="206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M894" s="100"/>
      <c r="AN894" s="197"/>
      <c r="AO894" s="100"/>
    </row>
    <row r="895" spans="3:41" ht="15.75" customHeight="1" x14ac:dyDescent="0.25"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205"/>
      <c r="P895" s="206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M895" s="100"/>
      <c r="AN895" s="197"/>
      <c r="AO895" s="100"/>
    </row>
    <row r="896" spans="3:41" ht="15.75" customHeight="1" x14ac:dyDescent="0.25"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205"/>
      <c r="P896" s="206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M896" s="100"/>
      <c r="AN896" s="197"/>
      <c r="AO896" s="100"/>
    </row>
    <row r="897" spans="3:41" ht="15.75" customHeight="1" x14ac:dyDescent="0.25"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205"/>
      <c r="P897" s="206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M897" s="100"/>
      <c r="AN897" s="197"/>
      <c r="AO897" s="100"/>
    </row>
    <row r="898" spans="3:41" ht="15.75" customHeight="1" x14ac:dyDescent="0.25"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205"/>
      <c r="P898" s="206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M898" s="100"/>
      <c r="AN898" s="197"/>
      <c r="AO898" s="100"/>
    </row>
    <row r="899" spans="3:41" ht="15.75" customHeight="1" x14ac:dyDescent="0.25"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205"/>
      <c r="P899" s="206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M899" s="100"/>
      <c r="AN899" s="197"/>
      <c r="AO899" s="100"/>
    </row>
    <row r="900" spans="3:41" ht="15.75" customHeight="1" x14ac:dyDescent="0.25"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205"/>
      <c r="P900" s="206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M900" s="100"/>
      <c r="AN900" s="197"/>
      <c r="AO900" s="100"/>
    </row>
    <row r="901" spans="3:41" ht="15.75" customHeight="1" x14ac:dyDescent="0.25"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205"/>
      <c r="P901" s="206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M901" s="100"/>
      <c r="AN901" s="197"/>
      <c r="AO901" s="100"/>
    </row>
    <row r="902" spans="3:41" ht="15.75" customHeight="1" x14ac:dyDescent="0.25"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205"/>
      <c r="P902" s="206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M902" s="100"/>
      <c r="AN902" s="197"/>
      <c r="AO902" s="100"/>
    </row>
    <row r="903" spans="3:41" ht="15.75" customHeight="1" x14ac:dyDescent="0.25"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205"/>
      <c r="P903" s="206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M903" s="100"/>
      <c r="AN903" s="197"/>
      <c r="AO903" s="100"/>
    </row>
    <row r="904" spans="3:41" ht="15.75" customHeight="1" x14ac:dyDescent="0.25"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205"/>
      <c r="P904" s="206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M904" s="100"/>
      <c r="AN904" s="197"/>
      <c r="AO904" s="100"/>
    </row>
    <row r="905" spans="3:41" ht="15.75" customHeight="1" x14ac:dyDescent="0.25"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205"/>
      <c r="P905" s="206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M905" s="100"/>
      <c r="AN905" s="197"/>
      <c r="AO905" s="100"/>
    </row>
    <row r="906" spans="3:41" ht="15.75" customHeight="1" x14ac:dyDescent="0.25"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205"/>
      <c r="P906" s="206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M906" s="100"/>
      <c r="AN906" s="197"/>
      <c r="AO906" s="100"/>
    </row>
    <row r="907" spans="3:41" ht="15.75" customHeight="1" x14ac:dyDescent="0.25"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205"/>
      <c r="P907" s="206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M907" s="100"/>
      <c r="AN907" s="197"/>
      <c r="AO907" s="100"/>
    </row>
    <row r="908" spans="3:41" ht="15.75" customHeight="1" x14ac:dyDescent="0.25"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205"/>
      <c r="P908" s="206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M908" s="100"/>
      <c r="AN908" s="197"/>
      <c r="AO908" s="100"/>
    </row>
    <row r="909" spans="3:41" ht="15.75" customHeight="1" x14ac:dyDescent="0.25"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205"/>
      <c r="P909" s="206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M909" s="100"/>
      <c r="AN909" s="197"/>
      <c r="AO909" s="100"/>
    </row>
    <row r="910" spans="3:41" ht="15.75" customHeight="1" x14ac:dyDescent="0.25"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205"/>
      <c r="P910" s="206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M910" s="100"/>
      <c r="AN910" s="197"/>
      <c r="AO910" s="100"/>
    </row>
    <row r="911" spans="3:41" ht="15.75" customHeight="1" x14ac:dyDescent="0.25"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205"/>
      <c r="P911" s="206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M911" s="100"/>
      <c r="AN911" s="197"/>
      <c r="AO911" s="100"/>
    </row>
    <row r="912" spans="3:41" ht="15.75" customHeight="1" x14ac:dyDescent="0.25"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205"/>
      <c r="P912" s="206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M912" s="100"/>
      <c r="AN912" s="197"/>
      <c r="AO912" s="100"/>
    </row>
    <row r="913" spans="3:41" ht="15.75" customHeight="1" x14ac:dyDescent="0.25"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205"/>
      <c r="P913" s="206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M913" s="100"/>
      <c r="AN913" s="197"/>
      <c r="AO913" s="100"/>
    </row>
    <row r="914" spans="3:41" ht="15.75" customHeight="1" x14ac:dyDescent="0.25"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205"/>
      <c r="P914" s="206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M914" s="100"/>
      <c r="AN914" s="197"/>
      <c r="AO914" s="100"/>
    </row>
    <row r="915" spans="3:41" ht="15.75" customHeight="1" x14ac:dyDescent="0.25"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205"/>
      <c r="P915" s="206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M915" s="100"/>
      <c r="AN915" s="197"/>
      <c r="AO915" s="100"/>
    </row>
    <row r="916" spans="3:41" ht="15.75" customHeight="1" x14ac:dyDescent="0.25"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205"/>
      <c r="P916" s="206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M916" s="100"/>
      <c r="AN916" s="197"/>
      <c r="AO916" s="100"/>
    </row>
    <row r="917" spans="3:41" ht="15.75" customHeight="1" x14ac:dyDescent="0.25"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205"/>
      <c r="P917" s="206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M917" s="100"/>
      <c r="AN917" s="197"/>
      <c r="AO917" s="100"/>
    </row>
    <row r="918" spans="3:41" ht="15.75" customHeight="1" x14ac:dyDescent="0.25"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205"/>
      <c r="P918" s="206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M918" s="100"/>
      <c r="AN918" s="197"/>
      <c r="AO918" s="100"/>
    </row>
    <row r="919" spans="3:41" ht="15.75" customHeight="1" x14ac:dyDescent="0.25"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205"/>
      <c r="P919" s="206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M919" s="100"/>
      <c r="AN919" s="197"/>
      <c r="AO919" s="100"/>
    </row>
    <row r="920" spans="3:41" ht="15.75" customHeight="1" x14ac:dyDescent="0.25"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205"/>
      <c r="P920" s="206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M920" s="100"/>
      <c r="AN920" s="197"/>
      <c r="AO920" s="100"/>
    </row>
    <row r="921" spans="3:41" ht="15.75" customHeight="1" x14ac:dyDescent="0.25"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205"/>
      <c r="P921" s="206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M921" s="100"/>
      <c r="AN921" s="197"/>
      <c r="AO921" s="100"/>
    </row>
    <row r="922" spans="3:41" ht="15.75" customHeight="1" x14ac:dyDescent="0.25"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205"/>
      <c r="P922" s="206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M922" s="100"/>
      <c r="AN922" s="197"/>
      <c r="AO922" s="100"/>
    </row>
    <row r="923" spans="3:41" ht="15.75" customHeight="1" x14ac:dyDescent="0.25"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205"/>
      <c r="P923" s="206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M923" s="100"/>
      <c r="AN923" s="197"/>
      <c r="AO923" s="100"/>
    </row>
    <row r="924" spans="3:41" ht="15.75" customHeight="1" x14ac:dyDescent="0.25"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205"/>
      <c r="P924" s="206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M924" s="100"/>
      <c r="AN924" s="197"/>
      <c r="AO924" s="100"/>
    </row>
    <row r="925" spans="3:41" ht="15.75" customHeight="1" x14ac:dyDescent="0.25"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205"/>
      <c r="P925" s="206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M925" s="100"/>
      <c r="AN925" s="197"/>
      <c r="AO925" s="100"/>
    </row>
    <row r="926" spans="3:41" ht="15.75" customHeight="1" x14ac:dyDescent="0.25"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205"/>
      <c r="P926" s="206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M926" s="100"/>
      <c r="AN926" s="197"/>
      <c r="AO926" s="100"/>
    </row>
    <row r="927" spans="3:41" ht="15.75" customHeight="1" x14ac:dyDescent="0.25"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205"/>
      <c r="P927" s="206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M927" s="100"/>
      <c r="AN927" s="197"/>
      <c r="AO927" s="100"/>
    </row>
    <row r="928" spans="3:41" ht="15.75" customHeight="1" x14ac:dyDescent="0.25"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205"/>
      <c r="P928" s="206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M928" s="100"/>
      <c r="AN928" s="197"/>
      <c r="AO928" s="100"/>
    </row>
    <row r="929" spans="3:41" ht="15.75" customHeight="1" x14ac:dyDescent="0.25"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205"/>
      <c r="P929" s="206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M929" s="100"/>
      <c r="AN929" s="197"/>
      <c r="AO929" s="100"/>
    </row>
    <row r="930" spans="3:41" ht="15.75" customHeight="1" x14ac:dyDescent="0.25"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205"/>
      <c r="P930" s="206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M930" s="100"/>
      <c r="AN930" s="197"/>
      <c r="AO930" s="100"/>
    </row>
    <row r="931" spans="3:41" ht="15.75" customHeight="1" x14ac:dyDescent="0.25"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205"/>
      <c r="P931" s="206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M931" s="100"/>
      <c r="AN931" s="197"/>
      <c r="AO931" s="100"/>
    </row>
    <row r="932" spans="3:41" ht="15.75" customHeight="1" x14ac:dyDescent="0.25"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205"/>
      <c r="P932" s="206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M932" s="100"/>
      <c r="AN932" s="197"/>
      <c r="AO932" s="100"/>
    </row>
    <row r="933" spans="3:41" ht="15.75" customHeight="1" x14ac:dyDescent="0.25"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205"/>
      <c r="P933" s="206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M933" s="100"/>
      <c r="AN933" s="197"/>
      <c r="AO933" s="100"/>
    </row>
    <row r="934" spans="3:41" ht="15.75" customHeight="1" x14ac:dyDescent="0.25"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205"/>
      <c r="P934" s="206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M934" s="100"/>
      <c r="AN934" s="197"/>
      <c r="AO934" s="100"/>
    </row>
    <row r="935" spans="3:41" ht="15.75" customHeight="1" x14ac:dyDescent="0.25"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205"/>
      <c r="P935" s="206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M935" s="100"/>
      <c r="AN935" s="197"/>
      <c r="AO935" s="100"/>
    </row>
    <row r="936" spans="3:41" ht="15.75" customHeight="1" x14ac:dyDescent="0.25"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205"/>
      <c r="P936" s="206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M936" s="100"/>
      <c r="AN936" s="197"/>
      <c r="AO936" s="100"/>
    </row>
    <row r="937" spans="3:41" ht="15.75" customHeight="1" x14ac:dyDescent="0.25"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205"/>
      <c r="P937" s="206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M937" s="100"/>
      <c r="AN937" s="197"/>
      <c r="AO937" s="100"/>
    </row>
    <row r="938" spans="3:41" ht="15.75" customHeight="1" x14ac:dyDescent="0.25"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205"/>
      <c r="P938" s="206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M938" s="100"/>
      <c r="AN938" s="197"/>
      <c r="AO938" s="100"/>
    </row>
    <row r="939" spans="3:41" ht="15.75" customHeight="1" x14ac:dyDescent="0.25"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205"/>
      <c r="P939" s="206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M939" s="100"/>
      <c r="AN939" s="197"/>
      <c r="AO939" s="100"/>
    </row>
    <row r="940" spans="3:41" ht="15.75" customHeight="1" x14ac:dyDescent="0.25"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205"/>
      <c r="P940" s="206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M940" s="100"/>
      <c r="AN940" s="197"/>
      <c r="AO940" s="100"/>
    </row>
    <row r="941" spans="3:41" ht="15.75" customHeight="1" x14ac:dyDescent="0.25"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205"/>
      <c r="P941" s="206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M941" s="100"/>
      <c r="AN941" s="197"/>
      <c r="AO941" s="100"/>
    </row>
    <row r="942" spans="3:41" ht="15.75" customHeight="1" x14ac:dyDescent="0.25"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205"/>
      <c r="P942" s="206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M942" s="100"/>
      <c r="AN942" s="197"/>
      <c r="AO942" s="100"/>
    </row>
    <row r="943" spans="3:41" ht="15.75" customHeight="1" x14ac:dyDescent="0.25"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205"/>
      <c r="P943" s="206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M943" s="100"/>
      <c r="AN943" s="197"/>
      <c r="AO943" s="100"/>
    </row>
    <row r="944" spans="3:41" ht="15.75" customHeight="1" x14ac:dyDescent="0.25"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205"/>
      <c r="P944" s="206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M944" s="100"/>
      <c r="AN944" s="197"/>
      <c r="AO944" s="100"/>
    </row>
    <row r="945" spans="3:41" ht="15.75" customHeight="1" x14ac:dyDescent="0.25"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205"/>
      <c r="P945" s="206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M945" s="100"/>
      <c r="AN945" s="197"/>
      <c r="AO945" s="100"/>
    </row>
    <row r="946" spans="3:41" ht="15.75" customHeight="1" x14ac:dyDescent="0.25"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205"/>
      <c r="P946" s="206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M946" s="100"/>
      <c r="AN946" s="197"/>
      <c r="AO946" s="100"/>
    </row>
    <row r="947" spans="3:41" ht="15.75" customHeight="1" x14ac:dyDescent="0.25"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205"/>
      <c r="P947" s="206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M947" s="100"/>
      <c r="AN947" s="197"/>
      <c r="AO947" s="100"/>
    </row>
    <row r="948" spans="3:41" ht="15.75" customHeight="1" x14ac:dyDescent="0.25"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205"/>
      <c r="P948" s="206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M948" s="100"/>
      <c r="AN948" s="197"/>
      <c r="AO948" s="100"/>
    </row>
    <row r="949" spans="3:41" ht="15.75" customHeight="1" x14ac:dyDescent="0.25"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205"/>
      <c r="P949" s="206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M949" s="100"/>
      <c r="AN949" s="197"/>
      <c r="AO949" s="100"/>
    </row>
    <row r="950" spans="3:41" ht="15.75" customHeight="1" x14ac:dyDescent="0.25"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205"/>
      <c r="P950" s="206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M950" s="100"/>
      <c r="AN950" s="197"/>
      <c r="AO950" s="100"/>
    </row>
    <row r="951" spans="3:41" ht="15.75" customHeight="1" x14ac:dyDescent="0.25"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205"/>
      <c r="P951" s="206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M951" s="100"/>
      <c r="AN951" s="197"/>
      <c r="AO951" s="100"/>
    </row>
    <row r="952" spans="3:41" ht="15.75" customHeight="1" x14ac:dyDescent="0.25"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205"/>
      <c r="P952" s="206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M952" s="100"/>
      <c r="AN952" s="197"/>
      <c r="AO952" s="100"/>
    </row>
    <row r="953" spans="3:41" ht="15.75" customHeight="1" x14ac:dyDescent="0.25"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205"/>
      <c r="P953" s="206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M953" s="100"/>
      <c r="AN953" s="197"/>
      <c r="AO953" s="100"/>
    </row>
    <row r="954" spans="3:41" ht="15.75" customHeight="1" x14ac:dyDescent="0.25"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205"/>
      <c r="P954" s="206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M954" s="100"/>
      <c r="AN954" s="197"/>
      <c r="AO954" s="100"/>
    </row>
    <row r="955" spans="3:41" ht="15.75" customHeight="1" x14ac:dyDescent="0.25"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205"/>
      <c r="P955" s="206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M955" s="100"/>
      <c r="AN955" s="197"/>
      <c r="AO955" s="100"/>
    </row>
    <row r="956" spans="3:41" ht="15.75" customHeight="1" x14ac:dyDescent="0.25"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205"/>
      <c r="P956" s="206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M956" s="100"/>
      <c r="AN956" s="197"/>
      <c r="AO956" s="100"/>
    </row>
    <row r="957" spans="3:41" ht="15.75" customHeight="1" x14ac:dyDescent="0.25"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205"/>
      <c r="P957" s="206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M957" s="100"/>
      <c r="AN957" s="197"/>
      <c r="AO957" s="100"/>
    </row>
    <row r="958" spans="3:41" ht="15.75" customHeight="1" x14ac:dyDescent="0.25"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205"/>
      <c r="P958" s="206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M958" s="100"/>
      <c r="AN958" s="197"/>
      <c r="AO958" s="100"/>
    </row>
    <row r="959" spans="3:41" ht="15.75" customHeight="1" x14ac:dyDescent="0.25"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205"/>
      <c r="P959" s="206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M959" s="100"/>
      <c r="AN959" s="197"/>
      <c r="AO959" s="100"/>
    </row>
    <row r="960" spans="3:41" ht="15.75" customHeight="1" x14ac:dyDescent="0.25"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205"/>
      <c r="P960" s="206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M960" s="100"/>
      <c r="AN960" s="197"/>
      <c r="AO960" s="100"/>
    </row>
    <row r="961" spans="3:41" ht="15.75" customHeight="1" x14ac:dyDescent="0.25"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205"/>
      <c r="P961" s="206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M961" s="100"/>
      <c r="AN961" s="197"/>
      <c r="AO961" s="100"/>
    </row>
    <row r="962" spans="3:41" ht="15.75" customHeight="1" x14ac:dyDescent="0.25"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205"/>
      <c r="P962" s="206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M962" s="100"/>
      <c r="AN962" s="197"/>
      <c r="AO962" s="100"/>
    </row>
    <row r="963" spans="3:41" ht="15.75" customHeight="1" x14ac:dyDescent="0.25"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205"/>
      <c r="P963" s="206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M963" s="100"/>
      <c r="AN963" s="197"/>
      <c r="AO963" s="100"/>
    </row>
    <row r="964" spans="3:41" ht="15.75" customHeight="1" x14ac:dyDescent="0.25"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205"/>
      <c r="P964" s="206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M964" s="100"/>
      <c r="AN964" s="197"/>
      <c r="AO964" s="100"/>
    </row>
    <row r="965" spans="3:41" ht="15.75" customHeight="1" x14ac:dyDescent="0.25"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205"/>
      <c r="P965" s="206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M965" s="100"/>
      <c r="AN965" s="197"/>
      <c r="AO965" s="100"/>
    </row>
    <row r="966" spans="3:41" ht="15.75" customHeight="1" x14ac:dyDescent="0.25"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205"/>
      <c r="P966" s="206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M966" s="100"/>
      <c r="AN966" s="197"/>
      <c r="AO966" s="100"/>
    </row>
    <row r="967" spans="3:41" ht="15.75" customHeight="1" x14ac:dyDescent="0.25"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205"/>
      <c r="P967" s="206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M967" s="100"/>
      <c r="AN967" s="197"/>
      <c r="AO967" s="100"/>
    </row>
    <row r="968" spans="3:41" ht="15.75" customHeight="1" x14ac:dyDescent="0.25"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205"/>
      <c r="P968" s="206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M968" s="100"/>
      <c r="AN968" s="197"/>
      <c r="AO968" s="100"/>
    </row>
    <row r="969" spans="3:41" ht="15.75" customHeight="1" x14ac:dyDescent="0.25"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205"/>
      <c r="P969" s="206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M969" s="100"/>
      <c r="AN969" s="197"/>
      <c r="AO969" s="100"/>
    </row>
    <row r="970" spans="3:41" ht="15.75" customHeight="1" x14ac:dyDescent="0.25"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205"/>
      <c r="P970" s="206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M970" s="100"/>
      <c r="AN970" s="197"/>
      <c r="AO970" s="100"/>
    </row>
    <row r="971" spans="3:41" ht="15.75" customHeight="1" x14ac:dyDescent="0.25"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205"/>
      <c r="P971" s="206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M971" s="100"/>
      <c r="AN971" s="197"/>
      <c r="AO971" s="100"/>
    </row>
    <row r="972" spans="3:41" ht="15.75" customHeight="1" x14ac:dyDescent="0.25"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205"/>
      <c r="P972" s="206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M972" s="100"/>
      <c r="AN972" s="197"/>
      <c r="AO972" s="100"/>
    </row>
    <row r="973" spans="3:41" ht="15.75" customHeight="1" x14ac:dyDescent="0.25"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205"/>
      <c r="P973" s="206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M973" s="100"/>
      <c r="AN973" s="197"/>
      <c r="AO973" s="100"/>
    </row>
    <row r="974" spans="3:41" ht="15.75" customHeight="1" x14ac:dyDescent="0.25"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205"/>
      <c r="P974" s="206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M974" s="100"/>
      <c r="AN974" s="197"/>
      <c r="AO974" s="100"/>
    </row>
    <row r="975" spans="3:41" ht="15.75" customHeight="1" x14ac:dyDescent="0.25"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205"/>
      <c r="P975" s="206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M975" s="100"/>
      <c r="AN975" s="197"/>
      <c r="AO975" s="100"/>
    </row>
    <row r="976" spans="3:41" ht="15.75" customHeight="1" x14ac:dyDescent="0.25"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205"/>
      <c r="P976" s="206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M976" s="100"/>
      <c r="AN976" s="197"/>
      <c r="AO976" s="100"/>
    </row>
    <row r="977" spans="3:41" ht="15.75" customHeight="1" x14ac:dyDescent="0.25"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205"/>
      <c r="P977" s="206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M977" s="100"/>
      <c r="AN977" s="197"/>
      <c r="AO977" s="100"/>
    </row>
    <row r="978" spans="3:41" ht="15.75" customHeight="1" x14ac:dyDescent="0.25"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205"/>
      <c r="P978" s="206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M978" s="100"/>
      <c r="AN978" s="197"/>
      <c r="AO978" s="100"/>
    </row>
    <row r="979" spans="3:41" ht="15.75" customHeight="1" x14ac:dyDescent="0.25"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205"/>
      <c r="P979" s="206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M979" s="100"/>
      <c r="AN979" s="197"/>
      <c r="AO979" s="100"/>
    </row>
    <row r="980" spans="3:41" ht="15.75" customHeight="1" x14ac:dyDescent="0.25"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205"/>
      <c r="P980" s="206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M980" s="100"/>
      <c r="AN980" s="197"/>
      <c r="AO980" s="100"/>
    </row>
    <row r="981" spans="3:41" ht="15.75" customHeight="1" x14ac:dyDescent="0.25"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205"/>
      <c r="P981" s="206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M981" s="100"/>
      <c r="AN981" s="197"/>
      <c r="AO981" s="100"/>
    </row>
    <row r="982" spans="3:41" ht="15.75" customHeight="1" x14ac:dyDescent="0.25"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205"/>
      <c r="P982" s="206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M982" s="100"/>
      <c r="AN982" s="197"/>
      <c r="AO982" s="100"/>
    </row>
    <row r="983" spans="3:41" ht="15.75" customHeight="1" x14ac:dyDescent="0.25"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205"/>
      <c r="P983" s="206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M983" s="100"/>
      <c r="AN983" s="197"/>
      <c r="AO983" s="100"/>
    </row>
    <row r="984" spans="3:41" ht="15.75" customHeight="1" x14ac:dyDescent="0.25"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205"/>
      <c r="P984" s="206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M984" s="100"/>
      <c r="AN984" s="197"/>
      <c r="AO984" s="100"/>
    </row>
    <row r="985" spans="3:41" ht="15.75" customHeight="1" x14ac:dyDescent="0.25"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205"/>
      <c r="P985" s="206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M985" s="100"/>
      <c r="AN985" s="197"/>
      <c r="AO985" s="100"/>
    </row>
    <row r="986" spans="3:41" ht="15.75" customHeight="1" x14ac:dyDescent="0.25"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205"/>
      <c r="P986" s="206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M986" s="100"/>
      <c r="AN986" s="197"/>
      <c r="AO986" s="100"/>
    </row>
    <row r="987" spans="3:41" ht="15.75" customHeight="1" x14ac:dyDescent="0.25"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205"/>
      <c r="P987" s="206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M987" s="100"/>
      <c r="AN987" s="197"/>
      <c r="AO987" s="100"/>
    </row>
    <row r="988" spans="3:41" ht="15.75" customHeight="1" x14ac:dyDescent="0.25"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205"/>
      <c r="P988" s="206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M988" s="100"/>
      <c r="AN988" s="197"/>
      <c r="AO988" s="100"/>
    </row>
    <row r="989" spans="3:41" ht="15.75" customHeight="1" x14ac:dyDescent="0.25"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205"/>
      <c r="P989" s="206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M989" s="100"/>
      <c r="AN989" s="197"/>
      <c r="AO989" s="100"/>
    </row>
    <row r="990" spans="3:41" ht="15.75" customHeight="1" x14ac:dyDescent="0.25"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205"/>
      <c r="P990" s="206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M990" s="100"/>
      <c r="AN990" s="197"/>
      <c r="AO990" s="100"/>
    </row>
    <row r="991" spans="3:41" ht="15.75" customHeight="1" x14ac:dyDescent="0.25"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205"/>
      <c r="P991" s="206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M991" s="100"/>
      <c r="AN991" s="197"/>
      <c r="AO991" s="100"/>
    </row>
    <row r="992" spans="3:41" ht="15.75" customHeight="1" x14ac:dyDescent="0.25"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205"/>
      <c r="P992" s="206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M992" s="100"/>
      <c r="AN992" s="197"/>
      <c r="AO992" s="100"/>
    </row>
    <row r="993" spans="3:41" ht="15.75" customHeight="1" x14ac:dyDescent="0.25"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205"/>
      <c r="P993" s="206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M993" s="100"/>
      <c r="AN993" s="197"/>
      <c r="AO993" s="100"/>
    </row>
    <row r="994" spans="3:41" ht="15.75" customHeight="1" x14ac:dyDescent="0.25"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205"/>
      <c r="P994" s="206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M994" s="100"/>
      <c r="AN994" s="197"/>
      <c r="AO994" s="100"/>
    </row>
    <row r="995" spans="3:41" ht="15.75" customHeight="1" x14ac:dyDescent="0.25"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205"/>
      <c r="P995" s="206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M995" s="100"/>
      <c r="AN995" s="197"/>
      <c r="AO995" s="100"/>
    </row>
  </sheetData>
  <mergeCells count="5">
    <mergeCell ref="C1:H1"/>
    <mergeCell ref="J1:N1"/>
    <mergeCell ref="P1:T1"/>
    <mergeCell ref="V1:Z1"/>
    <mergeCell ref="AB1:AF1"/>
  </mergeCells>
  <conditionalFormatting sqref="AL3:AL14 AL16 AL18:AL23 Q25:AJ25">
    <cfRule type="cellIs" dxfId="10" priority="1" operator="equal">
      <formula>0</formula>
    </cfRule>
    <cfRule type="cellIs" dxfId="9" priority="2" operator="greaterThan">
      <formula>0</formula>
    </cfRule>
    <cfRule type="cellIs" dxfId="8" priority="3" operator="lessThan">
      <formula>0</formula>
    </cfRule>
  </conditionalFormatting>
  <pageMargins left="0.25" right="0.25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34.5703125" customWidth="1"/>
    <col min="3" max="3" width="28.5703125" customWidth="1"/>
    <col min="4" max="4" width="11" customWidth="1"/>
    <col min="5" max="5" width="25.5703125" customWidth="1"/>
    <col min="6" max="6" width="11.140625" customWidth="1"/>
    <col min="7" max="7" width="29.28515625" customWidth="1"/>
    <col min="8" max="8" width="9.140625" customWidth="1"/>
    <col min="9" max="9" width="27.5703125" customWidth="1"/>
    <col min="10" max="10" width="8.7109375" customWidth="1"/>
    <col min="11" max="11" width="35.28515625" customWidth="1"/>
    <col min="12" max="13" width="8.7109375" customWidth="1"/>
  </cols>
  <sheetData>
    <row r="1" spans="1:26" x14ac:dyDescent="0.25">
      <c r="A1" s="1"/>
      <c r="B1" s="2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9" t="s">
        <v>1</v>
      </c>
      <c r="B3" s="9" t="s">
        <v>17</v>
      </c>
      <c r="C3" s="9" t="s">
        <v>5</v>
      </c>
      <c r="D3" s="9" t="s">
        <v>18</v>
      </c>
      <c r="E3" s="9" t="s">
        <v>6</v>
      </c>
      <c r="F3" s="9" t="s">
        <v>18</v>
      </c>
      <c r="G3" s="9" t="s">
        <v>7</v>
      </c>
      <c r="H3" s="9" t="s">
        <v>18</v>
      </c>
      <c r="I3" s="9" t="s">
        <v>21</v>
      </c>
      <c r="J3" s="9" t="s">
        <v>18</v>
      </c>
      <c r="K3" s="9" t="s">
        <v>9</v>
      </c>
      <c r="L3" s="9" t="s">
        <v>18</v>
      </c>
      <c r="M3" s="9" t="s">
        <v>23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264"/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14">
        <v>1294</v>
      </c>
      <c r="B5" s="17" t="s">
        <v>31</v>
      </c>
      <c r="C5" s="23" t="s">
        <v>34</v>
      </c>
      <c r="D5" s="28">
        <v>3</v>
      </c>
      <c r="E5" s="23" t="s">
        <v>38</v>
      </c>
      <c r="F5" s="28">
        <v>0</v>
      </c>
      <c r="G5" s="23" t="s">
        <v>40</v>
      </c>
      <c r="H5" s="19">
        <v>8</v>
      </c>
      <c r="I5" s="31"/>
      <c r="J5" s="33"/>
      <c r="K5" s="21"/>
      <c r="L5" s="33"/>
      <c r="M5" s="43">
        <f t="shared" ref="M5:M12" si="0">SUM(D5,F5,H5,J5,L5)</f>
        <v>11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14">
        <v>1175</v>
      </c>
      <c r="B6" s="17" t="s">
        <v>50</v>
      </c>
      <c r="C6" s="23" t="s">
        <v>40</v>
      </c>
      <c r="D6" s="28">
        <v>8</v>
      </c>
      <c r="E6" s="21" t="s">
        <v>51</v>
      </c>
      <c r="F6" s="28">
        <v>7.75</v>
      </c>
      <c r="G6" s="21" t="s">
        <v>52</v>
      </c>
      <c r="H6" s="19">
        <v>7.5</v>
      </c>
      <c r="I6" s="46"/>
      <c r="J6" s="33"/>
      <c r="K6" s="21"/>
      <c r="L6" s="33"/>
      <c r="M6" s="43">
        <f t="shared" si="0"/>
        <v>23.25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14">
        <v>1291</v>
      </c>
      <c r="B7" s="17" t="s">
        <v>53</v>
      </c>
      <c r="C7" s="23" t="s">
        <v>40</v>
      </c>
      <c r="D7" s="28">
        <v>8</v>
      </c>
      <c r="E7" s="23" t="s">
        <v>54</v>
      </c>
      <c r="F7" s="28">
        <v>6</v>
      </c>
      <c r="G7" s="23" t="s">
        <v>55</v>
      </c>
      <c r="H7" s="33">
        <v>7.25</v>
      </c>
      <c r="I7" s="31"/>
      <c r="J7" s="33"/>
      <c r="K7" s="21"/>
      <c r="L7" s="33"/>
      <c r="M7" s="43">
        <f t="shared" si="0"/>
        <v>21.25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14">
        <v>1300</v>
      </c>
      <c r="B8" s="17" t="s">
        <v>56</v>
      </c>
      <c r="C8" s="23" t="s">
        <v>57</v>
      </c>
      <c r="D8" s="28">
        <v>7.75</v>
      </c>
      <c r="E8" s="23" t="s">
        <v>58</v>
      </c>
      <c r="F8" s="28">
        <v>2.75</v>
      </c>
      <c r="G8" s="23" t="s">
        <v>40</v>
      </c>
      <c r="H8" s="33">
        <v>8</v>
      </c>
      <c r="I8" s="31"/>
      <c r="J8" s="33"/>
      <c r="K8" s="50"/>
      <c r="L8" s="33"/>
      <c r="M8" s="43">
        <f t="shared" si="0"/>
        <v>18.5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14">
        <v>1301</v>
      </c>
      <c r="B9" s="17" t="s">
        <v>59</v>
      </c>
      <c r="C9" s="23" t="s">
        <v>60</v>
      </c>
      <c r="D9" s="28">
        <v>0</v>
      </c>
      <c r="E9" s="23" t="s">
        <v>51</v>
      </c>
      <c r="F9" s="28">
        <v>7.75</v>
      </c>
      <c r="G9" s="31" t="s">
        <v>38</v>
      </c>
      <c r="H9" s="33">
        <v>0</v>
      </c>
      <c r="I9" s="31"/>
      <c r="J9" s="33"/>
      <c r="K9" s="21"/>
      <c r="L9" s="33"/>
      <c r="M9" s="43">
        <f t="shared" si="0"/>
        <v>7.75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14">
        <v>1280</v>
      </c>
      <c r="B10" s="17" t="s">
        <v>62</v>
      </c>
      <c r="C10" s="23" t="s">
        <v>40</v>
      </c>
      <c r="D10" s="28">
        <v>8</v>
      </c>
      <c r="E10" s="23" t="s">
        <v>63</v>
      </c>
      <c r="F10" s="28">
        <v>4.75</v>
      </c>
      <c r="G10" s="23" t="s">
        <v>64</v>
      </c>
      <c r="H10" s="33">
        <v>7.5</v>
      </c>
      <c r="I10" s="31"/>
      <c r="J10" s="33"/>
      <c r="K10" s="31"/>
      <c r="L10" s="33"/>
      <c r="M10" s="43">
        <f t="shared" si="0"/>
        <v>20.25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14">
        <v>1311</v>
      </c>
      <c r="B11" s="17" t="s">
        <v>65</v>
      </c>
      <c r="C11" s="23" t="s">
        <v>66</v>
      </c>
      <c r="D11" s="28">
        <v>5.5</v>
      </c>
      <c r="E11" s="55" t="s">
        <v>67</v>
      </c>
      <c r="F11" s="28">
        <v>3.5</v>
      </c>
      <c r="G11" s="55" t="s">
        <v>64</v>
      </c>
      <c r="H11" s="28">
        <v>7.5</v>
      </c>
      <c r="I11" s="55"/>
      <c r="J11" s="28"/>
      <c r="K11" s="55"/>
      <c r="L11" s="28"/>
      <c r="M11" s="43">
        <f t="shared" si="0"/>
        <v>16.5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6.5" customHeight="1" x14ac:dyDescent="0.25">
      <c r="A12" s="14">
        <v>1312</v>
      </c>
      <c r="B12" s="59" t="s">
        <v>68</v>
      </c>
      <c r="C12" s="23" t="s">
        <v>69</v>
      </c>
      <c r="D12" s="28">
        <v>7.15</v>
      </c>
      <c r="E12" s="55" t="s">
        <v>70</v>
      </c>
      <c r="F12" s="28">
        <v>7.75</v>
      </c>
      <c r="G12" s="55" t="s">
        <v>64</v>
      </c>
      <c r="H12" s="28">
        <v>7.5</v>
      </c>
      <c r="I12" s="55"/>
      <c r="J12" s="28"/>
      <c r="K12" s="55"/>
      <c r="L12" s="28"/>
      <c r="M12" s="43">
        <f t="shared" si="0"/>
        <v>22.4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6.5" customHeight="1" x14ac:dyDescent="0.25">
      <c r="A13" s="62"/>
      <c r="B13" s="63"/>
      <c r="C13" s="23"/>
      <c r="D13" s="64"/>
      <c r="E13" s="66"/>
      <c r="F13" s="64"/>
      <c r="G13" s="66"/>
      <c r="H13" s="64"/>
      <c r="I13" s="67"/>
      <c r="J13" s="64"/>
      <c r="K13" s="67"/>
      <c r="L13" s="64"/>
      <c r="M13" s="43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6.5" customHeight="1" x14ac:dyDescent="0.25">
      <c r="A14" s="62"/>
      <c r="B14" s="63"/>
      <c r="C14" s="23"/>
      <c r="D14" s="64"/>
      <c r="E14" s="66"/>
      <c r="F14" s="64"/>
      <c r="G14" s="66"/>
      <c r="H14" s="64"/>
      <c r="I14" s="67"/>
      <c r="J14" s="64"/>
      <c r="K14" s="67"/>
      <c r="L14" s="64"/>
      <c r="M14" s="43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6.5" customHeight="1" x14ac:dyDescent="0.25">
      <c r="A15" s="62"/>
      <c r="B15" s="63"/>
      <c r="C15" s="23"/>
      <c r="D15" s="64"/>
      <c r="E15" s="66"/>
      <c r="F15" s="64"/>
      <c r="G15" s="66"/>
      <c r="H15" s="64"/>
      <c r="I15" s="67"/>
      <c r="J15" s="64"/>
      <c r="K15" s="67"/>
      <c r="L15" s="64"/>
      <c r="M15" s="43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6.5" customHeight="1" x14ac:dyDescent="0.25">
      <c r="A16" s="62"/>
      <c r="B16" s="63"/>
      <c r="C16" s="23"/>
      <c r="D16" s="64"/>
      <c r="E16" s="66"/>
      <c r="F16" s="64"/>
      <c r="G16" s="66"/>
      <c r="H16" s="64"/>
      <c r="I16" s="67"/>
      <c r="J16" s="64"/>
      <c r="K16" s="67"/>
      <c r="L16" s="64"/>
      <c r="M16" s="43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70" t="s">
        <v>23</v>
      </c>
      <c r="B17" s="70" t="s">
        <v>72</v>
      </c>
      <c r="C17" s="71"/>
      <c r="D17" s="72">
        <f>SUM(D5:D12)</f>
        <v>47.4</v>
      </c>
      <c r="E17" s="74"/>
      <c r="F17" s="72">
        <f>SUM(F5:F12)</f>
        <v>40.25</v>
      </c>
      <c r="G17" s="74"/>
      <c r="H17" s="72">
        <f>SUM(H5:H12)</f>
        <v>53.25</v>
      </c>
      <c r="I17" s="76"/>
      <c r="J17" s="72">
        <f>SUM(J5:J12)</f>
        <v>0</v>
      </c>
      <c r="K17" s="76"/>
      <c r="L17" s="72">
        <f>SUM(L5:L12)</f>
        <v>0</v>
      </c>
      <c r="M17" s="79">
        <f>SUM(D17,F17,H17,J17,L17)</f>
        <v>140.9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267" t="s">
        <v>73</v>
      </c>
      <c r="B18" s="268"/>
      <c r="C18" s="268"/>
      <c r="D18" s="268"/>
      <c r="E18" s="268"/>
      <c r="F18" s="268"/>
      <c r="G18" s="268"/>
      <c r="H18" s="268"/>
      <c r="I18" s="268"/>
      <c r="J18" s="268"/>
      <c r="K18" s="268"/>
      <c r="L18" s="268"/>
      <c r="M18" s="269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81"/>
      <c r="B19" s="23"/>
      <c r="C19" s="82"/>
      <c r="D19" s="28"/>
      <c r="E19" s="84"/>
      <c r="F19" s="64"/>
      <c r="G19" s="82"/>
      <c r="H19" s="64"/>
      <c r="I19" s="82"/>
      <c r="J19" s="28"/>
      <c r="K19" s="82"/>
      <c r="L19" s="28"/>
      <c r="M19" s="85">
        <f t="shared" ref="M19:M30" si="1">SUM(D19,F19,H19,J19,L19)</f>
        <v>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81"/>
      <c r="B20" s="86"/>
      <c r="C20" s="82"/>
      <c r="D20" s="28"/>
      <c r="E20" s="82"/>
      <c r="F20" s="28"/>
      <c r="G20" s="82"/>
      <c r="H20" s="28"/>
      <c r="I20" s="88"/>
      <c r="J20" s="28"/>
      <c r="K20" s="88"/>
      <c r="L20" s="28"/>
      <c r="M20" s="85">
        <f t="shared" si="1"/>
        <v>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81"/>
      <c r="B21" s="86"/>
      <c r="C21" s="82"/>
      <c r="D21" s="28"/>
      <c r="E21" s="89"/>
      <c r="F21" s="64"/>
      <c r="G21" s="89"/>
      <c r="H21" s="64"/>
      <c r="I21" s="82"/>
      <c r="J21" s="28"/>
      <c r="K21" s="82"/>
      <c r="L21" s="28"/>
      <c r="M21" s="85">
        <f t="shared" si="1"/>
        <v>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81"/>
      <c r="B22" s="23"/>
      <c r="C22" s="82"/>
      <c r="D22" s="28"/>
      <c r="E22" s="88"/>
      <c r="F22" s="28"/>
      <c r="G22" s="88"/>
      <c r="H22" s="28"/>
      <c r="I22" s="82"/>
      <c r="J22" s="28"/>
      <c r="K22" s="82"/>
      <c r="L22" s="28"/>
      <c r="M22" s="85">
        <f t="shared" si="1"/>
        <v>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81"/>
      <c r="B23" s="86"/>
      <c r="C23" s="82"/>
      <c r="D23" s="28"/>
      <c r="E23" s="88"/>
      <c r="F23" s="28"/>
      <c r="G23" s="88"/>
      <c r="H23" s="28"/>
      <c r="I23" s="82"/>
      <c r="J23" s="28"/>
      <c r="K23" s="82"/>
      <c r="L23" s="28"/>
      <c r="M23" s="85">
        <f t="shared" si="1"/>
        <v>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81"/>
      <c r="B24" s="86"/>
      <c r="C24" s="89"/>
      <c r="D24" s="64"/>
      <c r="E24" s="82"/>
      <c r="F24" s="28"/>
      <c r="G24" s="82"/>
      <c r="H24" s="28"/>
      <c r="I24" s="82"/>
      <c r="J24" s="28"/>
      <c r="K24" s="82"/>
      <c r="L24" s="28"/>
      <c r="M24" s="85">
        <f t="shared" si="1"/>
        <v>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81"/>
      <c r="B25" s="86"/>
      <c r="C25" s="82"/>
      <c r="D25" s="28"/>
      <c r="E25" s="88"/>
      <c r="F25" s="28"/>
      <c r="G25" s="88"/>
      <c r="H25" s="28"/>
      <c r="I25" s="88"/>
      <c r="J25" s="28"/>
      <c r="K25" s="88"/>
      <c r="L25" s="28"/>
      <c r="M25" s="85">
        <f t="shared" si="1"/>
        <v>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81"/>
      <c r="B26" s="23"/>
      <c r="C26" s="82"/>
      <c r="D26" s="28"/>
      <c r="E26" s="88"/>
      <c r="F26" s="28"/>
      <c r="G26" s="88"/>
      <c r="H26" s="28"/>
      <c r="I26" s="82"/>
      <c r="J26" s="28"/>
      <c r="K26" s="82"/>
      <c r="L26" s="28"/>
      <c r="M26" s="85">
        <f t="shared" si="1"/>
        <v>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81"/>
      <c r="B27" s="23"/>
      <c r="C27" s="82"/>
      <c r="D27" s="28"/>
      <c r="E27" s="88"/>
      <c r="F27" s="28"/>
      <c r="G27" s="88"/>
      <c r="H27" s="28"/>
      <c r="I27" s="82"/>
      <c r="J27" s="28"/>
      <c r="K27" s="82"/>
      <c r="L27" s="28"/>
      <c r="M27" s="85">
        <f t="shared" si="1"/>
        <v>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81"/>
      <c r="B28" s="23"/>
      <c r="C28" s="82"/>
      <c r="D28" s="28"/>
      <c r="E28" s="88"/>
      <c r="F28" s="28"/>
      <c r="G28" s="82"/>
      <c r="H28" s="28"/>
      <c r="I28" s="82"/>
      <c r="J28" s="28"/>
      <c r="K28" s="82"/>
      <c r="L28" s="28"/>
      <c r="M28" s="85">
        <f t="shared" si="1"/>
        <v>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81"/>
      <c r="B29" s="86"/>
      <c r="C29" s="82"/>
      <c r="D29" s="28"/>
      <c r="E29" s="88"/>
      <c r="F29" s="28"/>
      <c r="G29" s="88"/>
      <c r="H29" s="28"/>
      <c r="I29" s="82"/>
      <c r="J29" s="28"/>
      <c r="K29" s="82"/>
      <c r="L29" s="28"/>
      <c r="M29" s="85">
        <f t="shared" si="1"/>
        <v>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81"/>
      <c r="B30" s="86"/>
      <c r="C30" s="89"/>
      <c r="D30" s="64"/>
      <c r="E30" s="88"/>
      <c r="F30" s="28"/>
      <c r="G30" s="88"/>
      <c r="H30" s="28"/>
      <c r="I30" s="82"/>
      <c r="J30" s="28"/>
      <c r="K30" s="82"/>
      <c r="L30" s="28"/>
      <c r="M30" s="85">
        <f t="shared" si="1"/>
        <v>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267" t="s">
        <v>77</v>
      </c>
      <c r="B31" s="268"/>
      <c r="C31" s="268"/>
      <c r="D31" s="268"/>
      <c r="E31" s="268"/>
      <c r="F31" s="268"/>
      <c r="G31" s="268"/>
      <c r="H31" s="268"/>
      <c r="I31" s="268"/>
      <c r="J31" s="268"/>
      <c r="K31" s="268"/>
      <c r="L31" s="268"/>
      <c r="M31" s="269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81"/>
      <c r="B32" s="23"/>
      <c r="C32" s="82"/>
      <c r="D32" s="64"/>
      <c r="E32" s="89"/>
      <c r="F32" s="64"/>
      <c r="G32" s="82"/>
      <c r="H32" s="28"/>
      <c r="I32" s="88"/>
      <c r="J32" s="28"/>
      <c r="K32" s="88"/>
      <c r="L32" s="28"/>
      <c r="M32" s="85">
        <f t="shared" ref="M32:M36" si="2">SUM(D32,F32,H32,J32,L32)</f>
        <v>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68"/>
      <c r="B33" s="75"/>
      <c r="C33" s="89"/>
      <c r="D33" s="64"/>
      <c r="E33" s="88"/>
      <c r="F33" s="28"/>
      <c r="G33" s="88"/>
      <c r="H33" s="28"/>
      <c r="I33" s="88"/>
      <c r="J33" s="28"/>
      <c r="K33" s="88"/>
      <c r="L33" s="28"/>
      <c r="M33" s="85">
        <f t="shared" si="2"/>
        <v>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81"/>
      <c r="B34" s="23"/>
      <c r="C34" s="89"/>
      <c r="D34" s="64"/>
      <c r="E34" s="88"/>
      <c r="F34" s="28"/>
      <c r="G34" s="88"/>
      <c r="H34" s="28"/>
      <c r="I34" s="88"/>
      <c r="J34" s="28"/>
      <c r="K34" s="88"/>
      <c r="L34" s="28"/>
      <c r="M34" s="85">
        <f t="shared" si="2"/>
        <v>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81"/>
      <c r="B35" s="23"/>
      <c r="C35" s="82"/>
      <c r="D35" s="64"/>
      <c r="E35" s="84"/>
      <c r="F35" s="97"/>
      <c r="G35" s="84"/>
      <c r="H35" s="97"/>
      <c r="I35" s="98"/>
      <c r="J35" s="99"/>
      <c r="K35" s="88"/>
      <c r="L35" s="28"/>
      <c r="M35" s="85">
        <f t="shared" si="2"/>
        <v>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81"/>
      <c r="B36" s="23"/>
      <c r="C36" s="82"/>
      <c r="D36" s="64"/>
      <c r="E36" s="84"/>
      <c r="F36" s="97"/>
      <c r="G36" s="84"/>
      <c r="H36" s="97"/>
      <c r="I36" s="98"/>
      <c r="J36" s="99"/>
      <c r="K36" s="98"/>
      <c r="L36" s="99"/>
      <c r="M36" s="85">
        <f t="shared" si="2"/>
        <v>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267" t="s">
        <v>79</v>
      </c>
      <c r="B37" s="268"/>
      <c r="C37" s="268"/>
      <c r="D37" s="268"/>
      <c r="E37" s="268"/>
      <c r="F37" s="268"/>
      <c r="G37" s="268"/>
      <c r="H37" s="268"/>
      <c r="I37" s="268"/>
      <c r="J37" s="268"/>
      <c r="K37" s="268"/>
      <c r="L37" s="268"/>
      <c r="M37" s="269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81"/>
      <c r="B38" s="23"/>
      <c r="C38" s="82"/>
      <c r="D38" s="64"/>
      <c r="E38" s="84"/>
      <c r="F38" s="97"/>
      <c r="G38" s="84"/>
      <c r="H38" s="97"/>
      <c r="I38" s="98"/>
      <c r="J38" s="99"/>
      <c r="K38" s="98"/>
      <c r="L38" s="99"/>
      <c r="M38" s="43">
        <f t="shared" ref="M38:M43" si="3">SUM(D38,F38,H38,J38,L38)</f>
        <v>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81"/>
      <c r="B39" s="23"/>
      <c r="C39" s="82"/>
      <c r="D39" s="64"/>
      <c r="E39" s="84"/>
      <c r="F39" s="97"/>
      <c r="G39" s="84"/>
      <c r="H39" s="97"/>
      <c r="I39" s="98"/>
      <c r="J39" s="99"/>
      <c r="K39" s="98"/>
      <c r="L39" s="99"/>
      <c r="M39" s="43">
        <f t="shared" si="3"/>
        <v>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81"/>
      <c r="B40" s="23"/>
      <c r="C40" s="82"/>
      <c r="D40" s="64"/>
      <c r="E40" s="84"/>
      <c r="F40" s="97"/>
      <c r="G40" s="84"/>
      <c r="H40" s="97"/>
      <c r="I40" s="98"/>
      <c r="J40" s="99"/>
      <c r="K40" s="98"/>
      <c r="L40" s="99"/>
      <c r="M40" s="43">
        <f t="shared" si="3"/>
        <v>0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9" t="s">
        <v>23</v>
      </c>
      <c r="B41" s="9" t="s">
        <v>72</v>
      </c>
      <c r="C41" s="9"/>
      <c r="D41" s="102">
        <f>SUM(D19:D40,D5:D12)</f>
        <v>47.4</v>
      </c>
      <c r="E41" s="103"/>
      <c r="F41" s="102">
        <f>SUM(F19:F40,F5:F12)</f>
        <v>40.25</v>
      </c>
      <c r="G41" s="103"/>
      <c r="H41" s="102">
        <f>SUM(H19:H40,H5:H12)</f>
        <v>53.25</v>
      </c>
      <c r="I41" s="103"/>
      <c r="J41" s="102">
        <f>SUM(J19:J40,J5:J12)</f>
        <v>0</v>
      </c>
      <c r="K41" s="103"/>
      <c r="L41" s="102">
        <f>SUM(L19:L40,L5:L12)</f>
        <v>0</v>
      </c>
      <c r="M41" s="43">
        <f t="shared" si="3"/>
        <v>140.9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9" t="s">
        <v>23</v>
      </c>
      <c r="B42" s="9" t="s">
        <v>81</v>
      </c>
      <c r="C42" s="104"/>
      <c r="D42" s="103"/>
      <c r="E42" s="104"/>
      <c r="F42" s="105"/>
      <c r="G42" s="104"/>
      <c r="H42" s="103"/>
      <c r="I42" s="104"/>
      <c r="J42" s="103"/>
      <c r="K42" s="104"/>
      <c r="L42" s="103"/>
      <c r="M42" s="43">
        <f t="shared" si="3"/>
        <v>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9" t="s">
        <v>23</v>
      </c>
      <c r="B43" s="9" t="s">
        <v>82</v>
      </c>
      <c r="C43" s="104"/>
      <c r="D43" s="103"/>
      <c r="E43" s="104"/>
      <c r="F43" s="103"/>
      <c r="G43" s="104"/>
      <c r="H43" s="103"/>
      <c r="I43" s="104"/>
      <c r="J43" s="103"/>
      <c r="K43" s="104"/>
      <c r="L43" s="103"/>
      <c r="M43" s="103">
        <f t="shared" si="3"/>
        <v>0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4">
    <mergeCell ref="A4:M4"/>
    <mergeCell ref="A18:M18"/>
    <mergeCell ref="A31:M31"/>
    <mergeCell ref="A37:M3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 x14ac:dyDescent="0.25"/>
  <cols>
    <col min="1" max="1" width="7" customWidth="1"/>
    <col min="2" max="2" width="22.140625" customWidth="1"/>
    <col min="3" max="7" width="7" customWidth="1"/>
    <col min="8" max="8" width="10.5703125" customWidth="1"/>
    <col min="9" max="9" width="2" customWidth="1"/>
    <col min="10" max="10" width="5.140625" customWidth="1"/>
    <col min="11" max="14" width="7" customWidth="1"/>
    <col min="15" max="15" width="10.42578125" customWidth="1"/>
    <col min="16" max="16" width="25.7109375" customWidth="1"/>
    <col min="17" max="26" width="8.7109375" customWidth="1"/>
  </cols>
  <sheetData>
    <row r="1" spans="1:16" ht="15.75" customHeight="1" x14ac:dyDescent="0.25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5" customHeight="1" x14ac:dyDescent="0.25">
      <c r="A2" s="5"/>
      <c r="B2" s="5"/>
      <c r="C2" s="272" t="s">
        <v>4</v>
      </c>
      <c r="D2" s="268"/>
      <c r="E2" s="268"/>
      <c r="F2" s="268"/>
      <c r="G2" s="268"/>
      <c r="H2" s="273"/>
      <c r="I2" s="5"/>
      <c r="J2" s="272" t="s">
        <v>24</v>
      </c>
      <c r="K2" s="268"/>
      <c r="L2" s="268"/>
      <c r="M2" s="268"/>
      <c r="N2" s="268"/>
      <c r="O2" s="273"/>
      <c r="P2" s="5"/>
    </row>
    <row r="3" spans="1:16" ht="15" customHeight="1" x14ac:dyDescent="0.25">
      <c r="A3" s="11" t="s">
        <v>1</v>
      </c>
      <c r="B3" s="11" t="s">
        <v>3</v>
      </c>
      <c r="C3" s="11" t="s">
        <v>25</v>
      </c>
      <c r="D3" s="11" t="s">
        <v>26</v>
      </c>
      <c r="E3" s="11" t="s">
        <v>27</v>
      </c>
      <c r="F3" s="11" t="s">
        <v>28</v>
      </c>
      <c r="G3" s="11" t="s">
        <v>29</v>
      </c>
      <c r="H3" s="11" t="s">
        <v>30</v>
      </c>
      <c r="I3" s="13"/>
      <c r="J3" s="11" t="s">
        <v>25</v>
      </c>
      <c r="K3" s="11" t="s">
        <v>26</v>
      </c>
      <c r="L3" s="11" t="s">
        <v>27</v>
      </c>
      <c r="M3" s="11" t="s">
        <v>28</v>
      </c>
      <c r="N3" s="11" t="s">
        <v>29</v>
      </c>
      <c r="O3" s="11" t="s">
        <v>32</v>
      </c>
      <c r="P3" s="11" t="s">
        <v>33</v>
      </c>
    </row>
    <row r="4" spans="1:16" ht="15" customHeight="1" x14ac:dyDescent="0.25">
      <c r="A4" s="19">
        <v>1291</v>
      </c>
      <c r="B4" s="21" t="s">
        <v>36</v>
      </c>
      <c r="C4" s="19">
        <f t="array" ref="C4">IFERROR(INDEX(Commercial!D$3:D$10,MATCH($A4,Commercial!$A$3:$A$10,0)),0)</f>
        <v>0</v>
      </c>
      <c r="D4" s="19">
        <f t="array" ref="D4">IFERROR(INDEX(Commercial!J$3:J$10,MATCH($A4,Commercial!$A$3:$A$10,0)),0)</f>
        <v>0</v>
      </c>
      <c r="E4" s="19">
        <f t="array" ref="E4">IFERROR(INDEX(Commercial!P$3:P$10,MATCH($A4,Commercial!$A$3:$A$10,0)),0)</f>
        <v>0</v>
      </c>
      <c r="F4" s="19">
        <f t="array" ref="F4">IFERROR(INDEX(Commercial!V$3:V$10,MATCH($A4,Commercial!$A$3:$A$10,0)),0)</f>
        <v>0</v>
      </c>
      <c r="G4" s="19">
        <f t="array" ref="G4">IFERROR(INDEX(Commercial!AB$3:AB$10,MATCH($A4,Commercial!$A$3:$A$10,0)),0)</f>
        <v>0</v>
      </c>
      <c r="H4" s="73">
        <f t="shared" ref="H4:H15" si="0">SUM(C4:G4)</f>
        <v>0</v>
      </c>
      <c r="I4" s="5"/>
      <c r="J4" s="19">
        <f t="array" ref="J4">IFERROR(INDEX(Commercial!E$3:E$10,MATCH($A4,Commercial!$A$3:$A$10,0)),0)</f>
        <v>1</v>
      </c>
      <c r="K4" s="19">
        <f t="array" ref="K4">IFERROR(INDEX(Commercial!K$3:K$10,MATCH($A4,Commercial!$A$3:$A$10,0)),0)</f>
        <v>0</v>
      </c>
      <c r="L4" s="19">
        <f t="array" ref="L4">IFERROR(INDEX(Commercial!Q$3:Q$10,MATCH($A4,Commercial!$A$3:$A$10,0)),0)</f>
        <v>0</v>
      </c>
      <c r="M4" s="19">
        <f t="array" ref="M4">IFERROR(INDEX(Commercial!W$3:W$10,MATCH($A4,Commercial!$A$3:$A$10,0)),0)</f>
        <v>0</v>
      </c>
      <c r="N4" s="19">
        <f t="array" ref="N4">IFERROR(INDEX(Commercial!AC$3:AC$10,MATCH($A4,Commercial!$A$3:$A$10,0)),0)</f>
        <v>0</v>
      </c>
      <c r="O4" s="73">
        <f t="shared" ref="O4:O15" si="1">SUM(J4:N4)</f>
        <v>1</v>
      </c>
      <c r="P4" s="19">
        <f t="shared" ref="P4:P16" si="2">H4+O4</f>
        <v>1</v>
      </c>
    </row>
    <row r="5" spans="1:16" ht="15" customHeight="1" x14ac:dyDescent="0.25">
      <c r="A5" s="19">
        <v>1292</v>
      </c>
      <c r="B5" s="21" t="s">
        <v>78</v>
      </c>
      <c r="C5" s="19">
        <f t="array" ref="C5">IFERROR(INDEX(Commercial!D$3:D$10,MATCH($A5,Commercial!$A$3:$A$10,0)),0)</f>
        <v>0</v>
      </c>
      <c r="D5" s="19">
        <f t="array" ref="D5">IFERROR(INDEX(Commercial!J$3:J$10,MATCH($A5,Commercial!$A$3:$A$10,0)),0)</f>
        <v>0</v>
      </c>
      <c r="E5" s="19">
        <f t="array" ref="E5">IFERROR(INDEX(Commercial!P$3:P$10,MATCH($A5,Commercial!$A$3:$A$10,0)),0)</f>
        <v>0</v>
      </c>
      <c r="F5" s="19">
        <f t="array" ref="F5">IFERROR(INDEX(Commercial!V$3:V$10,MATCH($A5,Commercial!$A$3:$A$10,0)),0)</f>
        <v>0</v>
      </c>
      <c r="G5" s="19">
        <f t="array" ref="G5">IFERROR(INDEX(Commercial!AB$3:AB$10,MATCH($A5,Commercial!$A$3:$A$10,0)),0)</f>
        <v>0</v>
      </c>
      <c r="H5" s="73">
        <f t="shared" si="0"/>
        <v>0</v>
      </c>
      <c r="I5" s="5"/>
      <c r="J5" s="19">
        <f t="array" ref="J5">IFERROR(INDEX(Commercial!E$3:E$10,MATCH($A5,Commercial!$A$3:$A$10,0)),0)</f>
        <v>0</v>
      </c>
      <c r="K5" s="19">
        <f t="array" ref="K5">IFERROR(INDEX(Commercial!K$3:K$10,MATCH($A5,Commercial!$A$3:$A$10,0)),0)</f>
        <v>0</v>
      </c>
      <c r="L5" s="19">
        <f t="array" ref="L5">IFERROR(INDEX(Commercial!Q$3:Q$10,MATCH($A5,Commercial!$A$3:$A$10,0)),0)</f>
        <v>0</v>
      </c>
      <c r="M5" s="19">
        <f t="array" ref="M5">IFERROR(INDEX(Commercial!W$3:W$10,MATCH($A5,Commercial!$A$3:$A$10,0)),0)</f>
        <v>0</v>
      </c>
      <c r="N5" s="19">
        <f t="array" ref="N5">IFERROR(INDEX(Commercial!AC$3:AC$10,MATCH($A5,Commercial!$A$3:$A$10,0)),0)</f>
        <v>0</v>
      </c>
      <c r="O5" s="73">
        <f t="shared" si="1"/>
        <v>0</v>
      </c>
      <c r="P5" s="19">
        <f t="shared" si="2"/>
        <v>0</v>
      </c>
    </row>
    <row r="6" spans="1:16" ht="15" customHeight="1" x14ac:dyDescent="0.25">
      <c r="A6" s="19">
        <v>1295</v>
      </c>
      <c r="B6" s="21" t="s">
        <v>84</v>
      </c>
      <c r="C6" s="19">
        <f t="array" ref="C6">IFERROR(INDEX(Commercial!D$3:D$10,MATCH($A6,Commercial!$A$3:$A$10,0)),0)</f>
        <v>0</v>
      </c>
      <c r="D6" s="19">
        <f t="array" ref="D6">IFERROR(INDEX(Commercial!J$3:J$10,MATCH($A6,Commercial!$A$3:$A$10,0)),0)</f>
        <v>0</v>
      </c>
      <c r="E6" s="19">
        <f t="array" ref="E6">IFERROR(INDEX(Commercial!P$3:P$10,MATCH($A6,Commercial!$A$3:$A$10,0)),0)</f>
        <v>0</v>
      </c>
      <c r="F6" s="19">
        <f t="array" ref="F6">IFERROR(INDEX(Commercial!V$3:V$10,MATCH($A6,Commercial!$A$3:$A$10,0)),0)</f>
        <v>0</v>
      </c>
      <c r="G6" s="19">
        <f t="array" ref="G6">IFERROR(INDEX(Commercial!AB$3:AB$10,MATCH($A6,Commercial!$A$3:$A$10,0)),0)</f>
        <v>0</v>
      </c>
      <c r="H6" s="73">
        <f t="shared" si="0"/>
        <v>0</v>
      </c>
      <c r="I6" s="5"/>
      <c r="J6" s="19">
        <f t="array" ref="J6">IFERROR(INDEX(Commercial!E$3:E$10,MATCH($A6,Commercial!$A$3:$A$10,0)),0)</f>
        <v>0</v>
      </c>
      <c r="K6" s="19">
        <f t="array" ref="K6">IFERROR(INDEX(Commercial!K$3:K$10,MATCH($A6,Commercial!$A$3:$A$10,0)),0)</f>
        <v>0</v>
      </c>
      <c r="L6" s="19">
        <f t="array" ref="L6">IFERROR(INDEX(Commercial!Q$3:Q$10,MATCH($A6,Commercial!$A$3:$A$10,0)),0)</f>
        <v>0</v>
      </c>
      <c r="M6" s="19">
        <f t="array" ref="M6">IFERROR(INDEX(Commercial!W$3:W$10,MATCH($A6,Commercial!$A$3:$A$10,0)),0)</f>
        <v>0</v>
      </c>
      <c r="N6" s="19">
        <f t="array" ref="N6">IFERROR(INDEX(Commercial!AC$3:AC$10,MATCH($A6,Commercial!$A$3:$A$10,0)),0)</f>
        <v>0</v>
      </c>
      <c r="O6" s="73">
        <f t="shared" si="1"/>
        <v>0</v>
      </c>
      <c r="P6" s="19">
        <f t="shared" si="2"/>
        <v>0</v>
      </c>
    </row>
    <row r="7" spans="1:16" ht="15" customHeight="1" x14ac:dyDescent="0.25">
      <c r="A7" s="19">
        <v>1290</v>
      </c>
      <c r="B7" s="21" t="s">
        <v>86</v>
      </c>
      <c r="C7" s="19">
        <f t="array" ref="C7">IFERROR(INDEX(Commercial!D$3:D$10,MATCH($A7,Commercial!$A$3:$A$10,0)),0)</f>
        <v>0</v>
      </c>
      <c r="D7" s="19">
        <f t="array" ref="D7">IFERROR(INDEX(Commercial!J$3:J$10,MATCH($A7,Commercial!$A$3:$A$10,0)),0)</f>
        <v>0</v>
      </c>
      <c r="E7" s="19">
        <f t="array" ref="E7">IFERROR(INDEX(Commercial!P$3:P$10,MATCH($A7,Commercial!$A$3:$A$10,0)),0)</f>
        <v>0</v>
      </c>
      <c r="F7" s="19">
        <f t="array" ref="F7">IFERROR(INDEX(Commercial!V$3:V$10,MATCH($A7,Commercial!$A$3:$A$10,0)),0)</f>
        <v>0</v>
      </c>
      <c r="G7" s="19">
        <f t="array" ref="G7">IFERROR(INDEX(Commercial!AB$3:AB$10,MATCH($A7,Commercial!$A$3:$A$10,0)),0)</f>
        <v>0</v>
      </c>
      <c r="H7" s="73">
        <f t="shared" si="0"/>
        <v>0</v>
      </c>
      <c r="I7" s="5"/>
      <c r="J7" s="19">
        <f t="array" ref="J7">IFERROR(INDEX(Commercial!E$3:E$10,MATCH($A7,Commercial!$A$3:$A$10,0)),0)</f>
        <v>0</v>
      </c>
      <c r="K7" s="19">
        <f t="array" ref="K7">IFERROR(INDEX(Commercial!K$3:K$10,MATCH($A7,Commercial!$A$3:$A$10,0)),0)</f>
        <v>0</v>
      </c>
      <c r="L7" s="19">
        <f t="array" ref="L7">IFERROR(INDEX(Commercial!Q$3:Q$10,MATCH($A7,Commercial!$A$3:$A$10,0)),0)</f>
        <v>0</v>
      </c>
      <c r="M7" s="19">
        <f t="array" ref="M7">IFERROR(INDEX(Commercial!W$3:W$10,MATCH($A7,Commercial!$A$3:$A$10,0)),0)</f>
        <v>0</v>
      </c>
      <c r="N7" s="19">
        <f t="array" ref="N7">IFERROR(INDEX(Commercial!AC$3:AC$10,MATCH($A7,Commercial!$A$3:$A$10,0)),0)</f>
        <v>0</v>
      </c>
      <c r="O7" s="73">
        <f t="shared" si="1"/>
        <v>0</v>
      </c>
      <c r="P7" s="19">
        <f t="shared" si="2"/>
        <v>0</v>
      </c>
    </row>
    <row r="8" spans="1:16" ht="15" customHeight="1" x14ac:dyDescent="0.25">
      <c r="A8" s="19">
        <v>1288</v>
      </c>
      <c r="B8" s="21" t="s">
        <v>87</v>
      </c>
      <c r="C8" s="19">
        <f t="array" ref="C8">IFERROR(INDEX(Commercial!D$3:D$10,MATCH($A8,Commercial!$A$3:$A$10,0)),0)</f>
        <v>0</v>
      </c>
      <c r="D8" s="19">
        <f t="array" ref="D8">IFERROR(INDEX(Commercial!J$3:J$10,MATCH($A8,Commercial!$A$3:$A$10,0)),0)</f>
        <v>0</v>
      </c>
      <c r="E8" s="19">
        <f t="array" ref="E8">IFERROR(INDEX(Commercial!P$3:P$10,MATCH($A8,Commercial!$A$3:$A$10,0)),0)</f>
        <v>0</v>
      </c>
      <c r="F8" s="19">
        <f t="array" ref="F8">IFERROR(INDEX(Commercial!V$3:V$10,MATCH($A8,Commercial!$A$3:$A$10,0)),0)</f>
        <v>0</v>
      </c>
      <c r="G8" s="19">
        <f t="array" ref="G8">IFERROR(INDEX(Commercial!AB$3:AB$10,MATCH($A8,Commercial!$A$3:$A$10,0)),0)</f>
        <v>0</v>
      </c>
      <c r="H8" s="73">
        <f t="shared" si="0"/>
        <v>0</v>
      </c>
      <c r="I8" s="5"/>
      <c r="J8" s="19">
        <f t="array" ref="J8">IFERROR(INDEX(Commercial!E$3:E$10,MATCH($A8,Commercial!$A$3:$A$10,0)),0)</f>
        <v>0</v>
      </c>
      <c r="K8" s="19">
        <f t="array" ref="K8">IFERROR(INDEX(Commercial!K$3:K$10,MATCH($A8,Commercial!$A$3:$A$10,0)),0)</f>
        <v>0</v>
      </c>
      <c r="L8" s="19">
        <f t="array" ref="L8">IFERROR(INDEX(Commercial!Q$3:Q$10,MATCH($A8,Commercial!$A$3:$A$10,0)),0)</f>
        <v>0</v>
      </c>
      <c r="M8" s="19">
        <f t="array" ref="M8">IFERROR(INDEX(Commercial!W$3:W$10,MATCH($A8,Commercial!$A$3:$A$10,0)),0)</f>
        <v>0</v>
      </c>
      <c r="N8" s="19">
        <f t="array" ref="N8">IFERROR(INDEX(Commercial!AC$3:AC$10,MATCH($A8,Commercial!$A$3:$A$10,0)),0)</f>
        <v>0</v>
      </c>
      <c r="O8" s="73">
        <f t="shared" si="1"/>
        <v>0</v>
      </c>
      <c r="P8" s="19">
        <f t="shared" si="2"/>
        <v>0</v>
      </c>
    </row>
    <row r="9" spans="1:16" ht="15" customHeight="1" x14ac:dyDescent="0.25">
      <c r="A9" s="19">
        <v>1175</v>
      </c>
      <c r="B9" s="21" t="s">
        <v>88</v>
      </c>
      <c r="C9" s="19">
        <f t="array" ref="C9">IFERROR(INDEX(Commercial!D$3:D$10,MATCH($A9,Commercial!$A$3:$A$10,0)),0)</f>
        <v>0</v>
      </c>
      <c r="D9" s="19">
        <f t="array" ref="D9">IFERROR(INDEX(Commercial!J$3:J$10,MATCH($A9,Commercial!$A$3:$A$10,0)),0)</f>
        <v>0</v>
      </c>
      <c r="E9" s="19">
        <f t="array" ref="E9">IFERROR(INDEX(Commercial!P$3:P$10,MATCH($A9,Commercial!$A$3:$A$10,0)),0)</f>
        <v>0</v>
      </c>
      <c r="F9" s="19">
        <f t="array" ref="F9">IFERROR(INDEX(Commercial!V$3:V$10,MATCH($A9,Commercial!$A$3:$A$10,0)),0)</f>
        <v>0</v>
      </c>
      <c r="G9" s="19">
        <f t="array" ref="G9">IFERROR(INDEX(Commercial!AB$3:AB$10,MATCH($A9,Commercial!$A$3:$A$10,0)),0)</f>
        <v>0</v>
      </c>
      <c r="H9" s="73">
        <f t="shared" si="0"/>
        <v>0</v>
      </c>
      <c r="I9" s="5"/>
      <c r="J9" s="19">
        <f t="array" ref="J9">IFERROR(INDEX(Commercial!E$3:E$10,MATCH($A9,Commercial!$A$3:$A$10,0)),0)</f>
        <v>0</v>
      </c>
      <c r="K9" s="19">
        <f t="array" ref="K9">IFERROR(INDEX(Commercial!K$3:K$10,MATCH($A9,Commercial!$A$3:$A$10,0)),0)</f>
        <v>1</v>
      </c>
      <c r="L9" s="19">
        <f t="array" ref="L9">IFERROR(INDEX(Commercial!Q$3:Q$10,MATCH($A9,Commercial!$A$3:$A$10,0)),0)</f>
        <v>0</v>
      </c>
      <c r="M9" s="19">
        <f t="array" ref="M9">IFERROR(INDEX(Commercial!W$3:W$10,MATCH($A9,Commercial!$A$3:$A$10,0)),0)</f>
        <v>0</v>
      </c>
      <c r="N9" s="19">
        <f t="array" ref="N9">IFERROR(INDEX(Commercial!AC$3:AC$10,MATCH($A9,Commercial!$A$3:$A$10,0)),0)</f>
        <v>0</v>
      </c>
      <c r="O9" s="73">
        <f t="shared" si="1"/>
        <v>1</v>
      </c>
      <c r="P9" s="19">
        <f t="shared" si="2"/>
        <v>1</v>
      </c>
    </row>
    <row r="10" spans="1:16" ht="15" customHeight="1" x14ac:dyDescent="0.25">
      <c r="A10" s="19">
        <v>1294</v>
      </c>
      <c r="B10" s="21" t="s">
        <v>89</v>
      </c>
      <c r="C10" s="19">
        <f t="array" ref="C10">IFERROR(INDEX(Commercial!D$3:D$10,MATCH($A10,Commercial!$A$3:$A$10,0)),0)</f>
        <v>0</v>
      </c>
      <c r="D10" s="19">
        <f t="array" ref="D10">IFERROR(INDEX(Commercial!J$3:J$10,MATCH($A10,Commercial!$A$3:$A$10,0)),0)</f>
        <v>0</v>
      </c>
      <c r="E10" s="19">
        <f t="array" ref="E10">IFERROR(INDEX(Commercial!P$3:P$10,MATCH($A10,Commercial!$A$3:$A$10,0)),0)</f>
        <v>0</v>
      </c>
      <c r="F10" s="19">
        <f t="array" ref="F10">IFERROR(INDEX(Commercial!V$3:V$10,MATCH($A10,Commercial!$A$3:$A$10,0)),0)</f>
        <v>0</v>
      </c>
      <c r="G10" s="19">
        <f t="array" ref="G10">IFERROR(INDEX(Commercial!AB$3:AB$10,MATCH($A10,Commercial!$A$3:$A$10,0)),0)</f>
        <v>0</v>
      </c>
      <c r="H10" s="73">
        <f t="shared" si="0"/>
        <v>0</v>
      </c>
      <c r="I10" s="5"/>
      <c r="J10" s="19">
        <f t="array" ref="J10">IFERROR(INDEX(Commercial!E$3:E$10,MATCH($A10,Commercial!$A$3:$A$10,0)),0)</f>
        <v>0</v>
      </c>
      <c r="K10" s="19">
        <f t="array" ref="K10">IFERROR(INDEX(Commercial!K$3:K$10,MATCH($A10,Commercial!$A$3:$A$10,0)),0)</f>
        <v>0</v>
      </c>
      <c r="L10" s="19">
        <f t="array" ref="L10">IFERROR(INDEX(Commercial!Q$3:Q$10,MATCH($A10,Commercial!$A$3:$A$10,0)),0)</f>
        <v>2</v>
      </c>
      <c r="M10" s="19">
        <f t="array" ref="M10">IFERROR(INDEX(Commercial!W$3:W$10,MATCH($A10,Commercial!$A$3:$A$10,0)),0)</f>
        <v>0</v>
      </c>
      <c r="N10" s="19">
        <f t="array" ref="N10">IFERROR(INDEX(Commercial!AC$3:AC$10,MATCH($A10,Commercial!$A$3:$A$10,0)),0)</f>
        <v>0</v>
      </c>
      <c r="O10" s="73">
        <f t="shared" si="1"/>
        <v>2</v>
      </c>
      <c r="P10" s="19">
        <f t="shared" si="2"/>
        <v>2</v>
      </c>
    </row>
    <row r="11" spans="1:16" ht="15" customHeight="1" x14ac:dyDescent="0.25">
      <c r="A11" s="19">
        <v>1280</v>
      </c>
      <c r="B11" s="21" t="s">
        <v>62</v>
      </c>
      <c r="C11" s="19">
        <f t="array" ref="C11">IFERROR(INDEX(Commercial!D$3:D$10,MATCH($A11,Commercial!$A$3:$A$10,0)),0)</f>
        <v>1</v>
      </c>
      <c r="D11" s="19">
        <f t="array" ref="D11">IFERROR(INDEX(Commercial!J$3:J$10,MATCH($A11,Commercial!$A$3:$A$10,0)),0)</f>
        <v>1</v>
      </c>
      <c r="E11" s="19">
        <f t="array" ref="E11">IFERROR(INDEX(Commercial!P$3:P$10,MATCH($A11,Commercial!$A$3:$A$10,0)),0)</f>
        <v>1</v>
      </c>
      <c r="F11" s="19">
        <f t="array" ref="F11">IFERROR(INDEX(Commercial!V$3:V$10,MATCH($A11,Commercial!$A$3:$A$10,0)),0)</f>
        <v>0</v>
      </c>
      <c r="G11" s="19">
        <f t="array" ref="G11">IFERROR(INDEX(Commercial!AB$3:AB$10,MATCH($A11,Commercial!$A$3:$A$10,0)),0)</f>
        <v>0</v>
      </c>
      <c r="H11" s="73">
        <f t="shared" si="0"/>
        <v>3</v>
      </c>
      <c r="I11" s="5"/>
      <c r="J11" s="19">
        <f t="array" ref="J11">IFERROR(INDEX(Commercial!E$3:E$10,MATCH($A11,Commercial!$A$3:$A$10,0)),0)</f>
        <v>1</v>
      </c>
      <c r="K11" s="19">
        <f t="array" ref="K11">IFERROR(INDEX(Commercial!K$3:K$10,MATCH($A11,Commercial!$A$3:$A$10,0)),0)</f>
        <v>0</v>
      </c>
      <c r="L11" s="19">
        <f t="array" ref="L11">IFERROR(INDEX(Commercial!Q$3:Q$10,MATCH($A11,Commercial!$A$3:$A$10,0)),0)</f>
        <v>3</v>
      </c>
      <c r="M11" s="19">
        <f t="array" ref="M11">IFERROR(INDEX(Commercial!W$3:W$10,MATCH($A11,Commercial!$A$3:$A$10,0)),0)</f>
        <v>0</v>
      </c>
      <c r="N11" s="19">
        <f t="array" ref="N11">IFERROR(INDEX(Commercial!AC$3:AC$10,MATCH($A11,Commercial!$A$3:$A$10,0)),0)</f>
        <v>0</v>
      </c>
      <c r="O11" s="73">
        <f t="shared" si="1"/>
        <v>4</v>
      </c>
      <c r="P11" s="19">
        <f t="shared" si="2"/>
        <v>7</v>
      </c>
    </row>
    <row r="12" spans="1:16" ht="15" customHeight="1" x14ac:dyDescent="0.25">
      <c r="A12" s="19">
        <v>1298</v>
      </c>
      <c r="B12" s="21" t="s">
        <v>90</v>
      </c>
      <c r="C12" s="19">
        <f t="array" ref="C12">IFERROR(INDEX(Commercial!D$3:D$10,MATCH($A12,Commercial!$A$3:$A$10,0)),0)</f>
        <v>0</v>
      </c>
      <c r="D12" s="19">
        <f t="array" ref="D12">IFERROR(INDEX(Commercial!J$3:J$10,MATCH($A12,Commercial!$A$3:$A$10,0)),0)</f>
        <v>0</v>
      </c>
      <c r="E12" s="19">
        <f t="array" ref="E12">IFERROR(INDEX(Commercial!P$3:P$10,MATCH($A12,Commercial!$A$3:$A$10,0)),0)</f>
        <v>0</v>
      </c>
      <c r="F12" s="19">
        <f t="array" ref="F12">IFERROR(INDEX(Commercial!V$3:V$10,MATCH($A12,Commercial!$A$3:$A$10,0)),0)</f>
        <v>0</v>
      </c>
      <c r="G12" s="19">
        <f t="array" ref="G12">IFERROR(INDEX(Commercial!AB$3:AB$10,MATCH($A12,Commercial!$A$3:$A$10,0)),0)</f>
        <v>0</v>
      </c>
      <c r="H12" s="73">
        <f t="shared" si="0"/>
        <v>0</v>
      </c>
      <c r="I12" s="5"/>
      <c r="J12" s="19">
        <f t="array" ref="J12">IFERROR(INDEX(Commercial!E$3:E$10,MATCH($A12,Commercial!$A$3:$A$10,0)),0)</f>
        <v>0</v>
      </c>
      <c r="K12" s="19">
        <f t="array" ref="K12">IFERROR(INDEX(Commercial!K$3:K$10,MATCH($A12,Commercial!$A$3:$A$10,0)),0)</f>
        <v>0</v>
      </c>
      <c r="L12" s="19">
        <f t="array" ref="L12">IFERROR(INDEX(Commercial!Q$3:Q$10,MATCH($A12,Commercial!$A$3:$A$10,0)),0)</f>
        <v>0</v>
      </c>
      <c r="M12" s="19">
        <f t="array" ref="M12">IFERROR(INDEX(Commercial!W$3:W$10,MATCH($A12,Commercial!$A$3:$A$10,0)),0)</f>
        <v>0</v>
      </c>
      <c r="N12" s="19">
        <f t="array" ref="N12">IFERROR(INDEX(Commercial!AC$3:AC$10,MATCH($A12,Commercial!$A$3:$A$10,0)),0)</f>
        <v>0</v>
      </c>
      <c r="O12" s="73">
        <f t="shared" si="1"/>
        <v>0</v>
      </c>
      <c r="P12" s="19">
        <f t="shared" si="2"/>
        <v>0</v>
      </c>
    </row>
    <row r="13" spans="1:16" ht="15" customHeight="1" x14ac:dyDescent="0.25">
      <c r="A13" s="19">
        <v>1300</v>
      </c>
      <c r="B13" s="21" t="s">
        <v>92</v>
      </c>
      <c r="C13" s="19">
        <f t="array" ref="C13">IFERROR(INDEX(Commercial!D$3:D$10,MATCH($A13,Commercial!$A$3:$A$10,0)),0)</f>
        <v>0</v>
      </c>
      <c r="D13" s="19">
        <f t="array" ref="D13">IFERROR(INDEX(Commercial!J$3:J$10,MATCH($A13,Commercial!$A$3:$A$10,0)),0)</f>
        <v>0</v>
      </c>
      <c r="E13" s="19">
        <f t="array" ref="E13">IFERROR(INDEX(Commercial!P$3:P$10,MATCH($A13,Commercial!$A$3:$A$10,0)),0)</f>
        <v>0</v>
      </c>
      <c r="F13" s="19">
        <f t="array" ref="F13">IFERROR(INDEX(Commercial!V$3:V$10,MATCH($A13,Commercial!$A$3:$A$10,0)),0)</f>
        <v>0</v>
      </c>
      <c r="G13" s="19">
        <f t="array" ref="G13">IFERROR(INDEX(Commercial!AB$3:AB$10,MATCH($A13,Commercial!$A$3:$A$10,0)),0)</f>
        <v>0</v>
      </c>
      <c r="H13" s="73">
        <f t="shared" si="0"/>
        <v>0</v>
      </c>
      <c r="I13" s="5"/>
      <c r="J13" s="19">
        <f t="array" ref="J13">IFERROR(INDEX(Commercial!E$3:E$10,MATCH($A13,Commercial!$A$3:$A$10,0)),0)</f>
        <v>0</v>
      </c>
      <c r="K13" s="19">
        <f t="array" ref="K13">IFERROR(INDEX(Commercial!K$3:K$10,MATCH($A13,Commercial!$A$3:$A$10,0)),0)</f>
        <v>1</v>
      </c>
      <c r="L13" s="19">
        <f t="array" ref="L13">IFERROR(INDEX(Commercial!Q$3:Q$10,MATCH($A13,Commercial!$A$3:$A$10,0)),0)</f>
        <v>0</v>
      </c>
      <c r="M13" s="19">
        <f t="array" ref="M13">IFERROR(INDEX(Commercial!W$3:W$10,MATCH($A13,Commercial!$A$3:$A$10,0)),0)</f>
        <v>0</v>
      </c>
      <c r="N13" s="19">
        <f t="array" ref="N13">IFERROR(INDEX(Commercial!AC$3:AC$10,MATCH($A13,Commercial!$A$3:$A$10,0)),0)</f>
        <v>0</v>
      </c>
      <c r="O13" s="73">
        <f t="shared" si="1"/>
        <v>1</v>
      </c>
      <c r="P13" s="19">
        <f t="shared" si="2"/>
        <v>1</v>
      </c>
    </row>
    <row r="14" spans="1:16" ht="15" customHeight="1" x14ac:dyDescent="0.25">
      <c r="A14" s="19">
        <v>1301</v>
      </c>
      <c r="B14" s="21" t="s">
        <v>93</v>
      </c>
      <c r="C14" s="19">
        <f t="array" ref="C14">IFERROR(INDEX(Commercial!D$3:D$10,MATCH($A14,Commercial!$A$3:$A$10,0)),0)</f>
        <v>0</v>
      </c>
      <c r="D14" s="19">
        <f t="array" ref="D14">IFERROR(INDEX(Commercial!J$3:J$10,MATCH($A14,Commercial!$A$3:$A$10,0)),0)</f>
        <v>0</v>
      </c>
      <c r="E14" s="19">
        <f t="array" ref="E14">IFERROR(INDEX(Commercial!P$3:P$10,MATCH($A14,Commercial!$A$3:$A$10,0)),0)</f>
        <v>0</v>
      </c>
      <c r="F14" s="19">
        <f t="array" ref="F14">IFERROR(INDEX(Commercial!V$3:V$10,MATCH($A14,Commercial!$A$3:$A$10,0)),0)</f>
        <v>0</v>
      </c>
      <c r="G14" s="19">
        <f t="array" ref="G14">IFERROR(INDEX(Commercial!AB$3:AB$10,MATCH($A14,Commercial!$A$3:$A$10,0)),0)</f>
        <v>0</v>
      </c>
      <c r="H14" s="73">
        <f t="shared" si="0"/>
        <v>0</v>
      </c>
      <c r="I14" s="5"/>
      <c r="J14" s="19">
        <f t="array" ref="J14">IFERROR(INDEX(Commercial!E$3:E$10,MATCH($A14,Commercial!$A$3:$A$10,0)),0)</f>
        <v>0</v>
      </c>
      <c r="K14" s="19">
        <f t="array" ref="K14">IFERROR(INDEX(Commercial!K$3:K$10,MATCH($A14,Commercial!$A$3:$A$10,0)),0)</f>
        <v>0</v>
      </c>
      <c r="L14" s="19">
        <f t="array" ref="L14">IFERROR(INDEX(Commercial!Q$3:Q$10,MATCH($A14,Commercial!$A$3:$A$10,0)),0)</f>
        <v>0</v>
      </c>
      <c r="M14" s="19">
        <f t="array" ref="M14">IFERROR(INDEX(Commercial!W$3:W$10,MATCH($A14,Commercial!$A$3:$A$10,0)),0)</f>
        <v>0</v>
      </c>
      <c r="N14" s="19">
        <f t="array" ref="N14">IFERROR(INDEX(Commercial!AC$3:AC$10,MATCH($A14,Commercial!$A$3:$A$10,0)),0)</f>
        <v>0</v>
      </c>
      <c r="O14" s="73">
        <f t="shared" si="1"/>
        <v>0</v>
      </c>
      <c r="P14" s="19">
        <f t="shared" si="2"/>
        <v>0</v>
      </c>
    </row>
    <row r="15" spans="1:16" ht="15" customHeight="1" x14ac:dyDescent="0.25">
      <c r="A15" s="19">
        <v>1151</v>
      </c>
      <c r="B15" s="21" t="s">
        <v>94</v>
      </c>
      <c r="C15" s="19">
        <f t="array" ref="C15">IFERROR(INDEX(Commercial!D$3:D$10,MATCH($A15,Commercial!$A$3:$A$10,0)),0)</f>
        <v>0</v>
      </c>
      <c r="D15" s="19">
        <f t="array" ref="D15">IFERROR(INDEX(Commercial!J$3:J$10,MATCH($A15,Commercial!$A$3:$A$10,0)),0)</f>
        <v>0</v>
      </c>
      <c r="E15" s="19">
        <f t="array" ref="E15">IFERROR(INDEX(Commercial!P$3:P$10,MATCH($A15,Commercial!$A$3:$A$10,0)),0)</f>
        <v>0</v>
      </c>
      <c r="F15" s="19">
        <f t="array" ref="F15">IFERROR(INDEX(Commercial!V$3:V$10,MATCH($A15,Commercial!$A$3:$A$10,0)),0)</f>
        <v>0</v>
      </c>
      <c r="G15" s="19">
        <f t="array" ref="G15">IFERROR(INDEX(Commercial!AB$3:AB$10,MATCH($A15,Commercial!$A$3:$A$10,0)),0)</f>
        <v>0</v>
      </c>
      <c r="H15" s="73">
        <f t="shared" si="0"/>
        <v>0</v>
      </c>
      <c r="I15" s="5"/>
      <c r="J15" s="19">
        <f t="array" ref="J15">IFERROR(INDEX(Commercial!E$3:E$10,MATCH($A15,Commercial!$A$3:$A$10,0)),0)</f>
        <v>0</v>
      </c>
      <c r="K15" s="19">
        <f t="array" ref="K15">IFERROR(INDEX(Commercial!K$3:K$10,MATCH($A15,Commercial!$A$3:$A$10,0)),0)</f>
        <v>0</v>
      </c>
      <c r="L15" s="19">
        <f t="array" ref="L15">IFERROR(INDEX(Commercial!Q$3:Q$10,MATCH($A15,Commercial!$A$3:$A$10,0)),0)</f>
        <v>0</v>
      </c>
      <c r="M15" s="19">
        <f t="array" ref="M15">IFERROR(INDEX(Commercial!W$3:W$10,MATCH($A15,Commercial!$A$3:$A$10,0)),0)</f>
        <v>0</v>
      </c>
      <c r="N15" s="19">
        <f t="array" ref="N15">IFERROR(INDEX(Commercial!AC$3:AC$10,MATCH($A15,Commercial!$A$3:$A$10,0)),0)</f>
        <v>0</v>
      </c>
      <c r="O15" s="73">
        <f t="shared" si="1"/>
        <v>0</v>
      </c>
      <c r="P15" s="19">
        <f t="shared" si="2"/>
        <v>0</v>
      </c>
    </row>
    <row r="16" spans="1:16" ht="15" customHeight="1" x14ac:dyDescent="0.25">
      <c r="A16" s="227"/>
      <c r="B16" s="229" t="s">
        <v>61</v>
      </c>
      <c r="C16" s="229">
        <f t="shared" ref="C16:H16" si="3">SUM(C4:C15)</f>
        <v>1</v>
      </c>
      <c r="D16" s="229">
        <f t="shared" si="3"/>
        <v>1</v>
      </c>
      <c r="E16" s="229">
        <f t="shared" si="3"/>
        <v>1</v>
      </c>
      <c r="F16" s="229">
        <f t="shared" si="3"/>
        <v>0</v>
      </c>
      <c r="G16" s="229">
        <f t="shared" si="3"/>
        <v>0</v>
      </c>
      <c r="H16" s="229">
        <f t="shared" si="3"/>
        <v>3</v>
      </c>
      <c r="I16" s="5"/>
      <c r="J16" s="229">
        <f t="shared" ref="J16:O16" si="4">SUM(J4:J15)</f>
        <v>2</v>
      </c>
      <c r="K16" s="229">
        <f t="shared" si="4"/>
        <v>2</v>
      </c>
      <c r="L16" s="229">
        <f t="shared" si="4"/>
        <v>5</v>
      </c>
      <c r="M16" s="229">
        <f t="shared" si="4"/>
        <v>0</v>
      </c>
      <c r="N16" s="229">
        <f t="shared" si="4"/>
        <v>0</v>
      </c>
      <c r="O16" s="229">
        <f t="shared" si="4"/>
        <v>9</v>
      </c>
      <c r="P16" s="229">
        <f t="shared" si="2"/>
        <v>12</v>
      </c>
    </row>
    <row r="18" spans="1:16" ht="15" customHeight="1" x14ac:dyDescent="0.25">
      <c r="A18" s="274" t="s">
        <v>102</v>
      </c>
      <c r="B18" s="271"/>
      <c r="C18" s="271"/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</row>
    <row r="21" spans="1:16" ht="15.75" customHeight="1" x14ac:dyDescent="0.25"/>
    <row r="22" spans="1:16" ht="15.75" customHeight="1" x14ac:dyDescent="0.25"/>
    <row r="23" spans="1:16" ht="15.75" customHeight="1" x14ac:dyDescent="0.25"/>
    <row r="24" spans="1:16" ht="15.75" customHeight="1" x14ac:dyDescent="0.25"/>
    <row r="25" spans="1:16" ht="15.75" customHeight="1" x14ac:dyDescent="0.25"/>
    <row r="26" spans="1:16" ht="15.75" customHeight="1" x14ac:dyDescent="0.25"/>
    <row r="27" spans="1:16" ht="15.75" customHeight="1" x14ac:dyDescent="0.25"/>
    <row r="28" spans="1:16" ht="15.75" customHeight="1" x14ac:dyDescent="0.25"/>
    <row r="29" spans="1:16" ht="15.75" customHeight="1" x14ac:dyDescent="0.25"/>
    <row r="30" spans="1:16" ht="15.75" customHeight="1" x14ac:dyDescent="0.25"/>
    <row r="31" spans="1:16" ht="15.75" customHeight="1" x14ac:dyDescent="0.25"/>
    <row r="32" spans="1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P1"/>
    <mergeCell ref="C2:H2"/>
    <mergeCell ref="J2:O2"/>
    <mergeCell ref="A18:P18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workbookViewId="0">
      <pane xSplit="17" topLeftCell="R1" activePane="topRight" state="frozen"/>
      <selection pane="topRight" activeCell="S2" sqref="S2"/>
    </sheetView>
  </sheetViews>
  <sheetFormatPr defaultColWidth="14.42578125" defaultRowHeight="15" customHeight="1" x14ac:dyDescent="0.25"/>
  <cols>
    <col min="1" max="1" width="10.140625" customWidth="1"/>
    <col min="2" max="2" width="20.85546875" customWidth="1"/>
    <col min="3" max="3" width="8.42578125" customWidth="1"/>
    <col min="4" max="4" width="9.7109375" customWidth="1"/>
    <col min="5" max="7" width="7.5703125" customWidth="1"/>
    <col min="8" max="9" width="8.140625" customWidth="1"/>
    <col min="11" max="11" width="9" customWidth="1"/>
  </cols>
  <sheetData>
    <row r="1" spans="1:16" ht="15" customHeight="1" x14ac:dyDescent="0.25">
      <c r="A1" s="4" t="s">
        <v>1</v>
      </c>
      <c r="B1" s="8" t="s">
        <v>3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19</v>
      </c>
      <c r="P1" s="4" t="s">
        <v>20</v>
      </c>
    </row>
    <row r="2" spans="1:16" ht="15" customHeight="1" x14ac:dyDescent="0.25">
      <c r="A2" s="275" t="s">
        <v>22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9"/>
      <c r="P2" s="15"/>
    </row>
    <row r="3" spans="1:16" ht="15" customHeight="1" x14ac:dyDescent="0.25">
      <c r="A3" s="18">
        <v>1300</v>
      </c>
      <c r="B3" s="20" t="s">
        <v>35</v>
      </c>
      <c r="C3" s="22">
        <v>1</v>
      </c>
      <c r="D3" s="22"/>
      <c r="E3" s="22"/>
      <c r="F3" s="22"/>
      <c r="G3" s="22"/>
      <c r="H3" s="22"/>
      <c r="I3" s="22"/>
      <c r="J3" s="26">
        <f t="shared" ref="J3:J10" si="0">SUM(C3:I3)</f>
        <v>1</v>
      </c>
      <c r="K3" s="26"/>
      <c r="L3" s="26">
        <f t="shared" ref="L3:L10" si="1">J3-K3</f>
        <v>1</v>
      </c>
      <c r="M3" s="26">
        <v>0</v>
      </c>
      <c r="N3" s="32">
        <f t="shared" ref="N3:N11" si="2">J3-M3</f>
        <v>1</v>
      </c>
      <c r="O3" s="33" t="s">
        <v>43</v>
      </c>
      <c r="P3" s="36" t="s">
        <v>45</v>
      </c>
    </row>
    <row r="4" spans="1:16" ht="15" customHeight="1" x14ac:dyDescent="0.25">
      <c r="A4" s="18"/>
      <c r="B4" s="38"/>
      <c r="C4" s="40"/>
      <c r="D4" s="40"/>
      <c r="E4" s="40"/>
      <c r="F4" s="22"/>
      <c r="G4" s="40"/>
      <c r="H4" s="40"/>
      <c r="I4" s="40"/>
      <c r="J4" s="26">
        <f t="shared" si="0"/>
        <v>0</v>
      </c>
      <c r="K4" s="42"/>
      <c r="L4" s="26">
        <f t="shared" si="1"/>
        <v>0</v>
      </c>
      <c r="M4" s="26">
        <v>0</v>
      </c>
      <c r="N4" s="32">
        <f t="shared" si="2"/>
        <v>0</v>
      </c>
      <c r="O4" s="33" t="s">
        <v>43</v>
      </c>
      <c r="P4" s="36" t="s">
        <v>45</v>
      </c>
    </row>
    <row r="5" spans="1:16" ht="15" customHeight="1" x14ac:dyDescent="0.25">
      <c r="A5" s="18"/>
      <c r="B5" s="44"/>
      <c r="C5" s="40"/>
      <c r="D5" s="40"/>
      <c r="E5" s="40"/>
      <c r="F5" s="22"/>
      <c r="G5" s="40"/>
      <c r="H5" s="40"/>
      <c r="I5" s="40"/>
      <c r="J5" s="26">
        <f t="shared" si="0"/>
        <v>0</v>
      </c>
      <c r="K5" s="42"/>
      <c r="L5" s="26">
        <f t="shared" si="1"/>
        <v>0</v>
      </c>
      <c r="M5" s="26">
        <v>0</v>
      </c>
      <c r="N5" s="32">
        <f t="shared" si="2"/>
        <v>0</v>
      </c>
      <c r="O5" s="33" t="s">
        <v>43</v>
      </c>
      <c r="P5" s="36" t="s">
        <v>45</v>
      </c>
    </row>
    <row r="6" spans="1:16" ht="15" customHeight="1" x14ac:dyDescent="0.25">
      <c r="A6" s="18"/>
      <c r="B6" s="44"/>
      <c r="C6" s="40"/>
      <c r="D6" s="40"/>
      <c r="E6" s="40"/>
      <c r="F6" s="22"/>
      <c r="G6" s="40"/>
      <c r="H6" s="40"/>
      <c r="I6" s="40"/>
      <c r="J6" s="26">
        <f t="shared" si="0"/>
        <v>0</v>
      </c>
      <c r="K6" s="42"/>
      <c r="L6" s="26">
        <f t="shared" si="1"/>
        <v>0</v>
      </c>
      <c r="M6" s="26">
        <v>0</v>
      </c>
      <c r="N6" s="32">
        <f t="shared" si="2"/>
        <v>0</v>
      </c>
      <c r="O6" s="33" t="s">
        <v>43</v>
      </c>
      <c r="P6" s="36" t="s">
        <v>45</v>
      </c>
    </row>
    <row r="7" spans="1:16" ht="15" customHeight="1" x14ac:dyDescent="0.25">
      <c r="A7" s="18"/>
      <c r="B7" s="38"/>
      <c r="C7" s="40"/>
      <c r="D7" s="40"/>
      <c r="E7" s="40"/>
      <c r="F7" s="22"/>
      <c r="G7" s="40"/>
      <c r="H7" s="40"/>
      <c r="I7" s="40"/>
      <c r="J7" s="26">
        <f t="shared" si="0"/>
        <v>0</v>
      </c>
      <c r="K7" s="42"/>
      <c r="L7" s="26">
        <f t="shared" si="1"/>
        <v>0</v>
      </c>
      <c r="M7" s="26">
        <v>0</v>
      </c>
      <c r="N7" s="32">
        <f t="shared" si="2"/>
        <v>0</v>
      </c>
      <c r="O7" s="33" t="s">
        <v>43</v>
      </c>
      <c r="P7" s="36" t="s">
        <v>45</v>
      </c>
    </row>
    <row r="8" spans="1:16" ht="15" customHeight="1" x14ac:dyDescent="0.25">
      <c r="A8" s="18"/>
      <c r="B8" s="44"/>
      <c r="C8" s="40"/>
      <c r="D8" s="40"/>
      <c r="E8" s="40"/>
      <c r="F8" s="22"/>
      <c r="G8" s="40"/>
      <c r="H8" s="40"/>
      <c r="I8" s="40"/>
      <c r="J8" s="26">
        <f t="shared" si="0"/>
        <v>0</v>
      </c>
      <c r="K8" s="42"/>
      <c r="L8" s="26">
        <f t="shared" si="1"/>
        <v>0</v>
      </c>
      <c r="M8" s="26">
        <v>0</v>
      </c>
      <c r="N8" s="32">
        <f t="shared" si="2"/>
        <v>0</v>
      </c>
      <c r="O8" s="33" t="s">
        <v>43</v>
      </c>
      <c r="P8" s="36" t="s">
        <v>45</v>
      </c>
    </row>
    <row r="9" spans="1:16" ht="15" customHeight="1" x14ac:dyDescent="0.25">
      <c r="A9" s="18"/>
      <c r="B9" s="38"/>
      <c r="C9" s="40"/>
      <c r="D9" s="40"/>
      <c r="E9" s="40"/>
      <c r="F9" s="40"/>
      <c r="G9" s="40"/>
      <c r="H9" s="40"/>
      <c r="I9" s="40"/>
      <c r="J9" s="26">
        <f t="shared" si="0"/>
        <v>0</v>
      </c>
      <c r="K9" s="42"/>
      <c r="L9" s="26">
        <f t="shared" si="1"/>
        <v>0</v>
      </c>
      <c r="M9" s="26">
        <v>0</v>
      </c>
      <c r="N9" s="32">
        <f t="shared" si="2"/>
        <v>0</v>
      </c>
      <c r="O9" s="33" t="s">
        <v>43</v>
      </c>
      <c r="P9" s="36" t="s">
        <v>45</v>
      </c>
    </row>
    <row r="10" spans="1:16" ht="15" customHeight="1" x14ac:dyDescent="0.25">
      <c r="A10" s="18"/>
      <c r="B10" s="44"/>
      <c r="C10" s="40"/>
      <c r="D10" s="40"/>
      <c r="E10" s="40"/>
      <c r="F10" s="40"/>
      <c r="G10" s="40"/>
      <c r="H10" s="40"/>
      <c r="I10" s="40"/>
      <c r="J10" s="26">
        <f t="shared" si="0"/>
        <v>0</v>
      </c>
      <c r="K10" s="42"/>
      <c r="L10" s="26">
        <f t="shared" si="1"/>
        <v>0</v>
      </c>
      <c r="M10" s="26">
        <v>0</v>
      </c>
      <c r="N10" s="32">
        <f t="shared" si="2"/>
        <v>0</v>
      </c>
      <c r="O10" s="33" t="s">
        <v>43</v>
      </c>
      <c r="P10" s="36" t="s">
        <v>45</v>
      </c>
    </row>
    <row r="11" spans="1:16" ht="15" customHeight="1" x14ac:dyDescent="0.25">
      <c r="A11" s="51"/>
      <c r="B11" s="52" t="s">
        <v>61</v>
      </c>
      <c r="C11" s="54">
        <f t="shared" ref="C11:M11" si="3">SUM(C3:C10)</f>
        <v>1</v>
      </c>
      <c r="D11" s="54">
        <f t="shared" si="3"/>
        <v>0</v>
      </c>
      <c r="E11" s="54">
        <f t="shared" si="3"/>
        <v>0</v>
      </c>
      <c r="F11" s="54">
        <f t="shared" si="3"/>
        <v>0</v>
      </c>
      <c r="G11" s="54">
        <f t="shared" si="3"/>
        <v>0</v>
      </c>
      <c r="H11" s="54">
        <f t="shared" si="3"/>
        <v>0</v>
      </c>
      <c r="I11" s="54">
        <f t="shared" si="3"/>
        <v>0</v>
      </c>
      <c r="J11" s="54">
        <f t="shared" si="3"/>
        <v>1</v>
      </c>
      <c r="K11" s="54">
        <f t="shared" si="3"/>
        <v>0</v>
      </c>
      <c r="L11" s="54">
        <f t="shared" si="3"/>
        <v>1</v>
      </c>
      <c r="M11" s="54">
        <f t="shared" si="3"/>
        <v>0</v>
      </c>
      <c r="N11" s="58">
        <f t="shared" si="2"/>
        <v>1</v>
      </c>
      <c r="O11" s="33" t="s">
        <v>43</v>
      </c>
      <c r="P11" s="36" t="s">
        <v>45</v>
      </c>
    </row>
    <row r="12" spans="1:16" ht="15" customHeight="1" x14ac:dyDescent="0.25">
      <c r="A12" s="15"/>
      <c r="B12" s="60" t="s">
        <v>71</v>
      </c>
      <c r="C12" s="61"/>
      <c r="D12" s="61"/>
      <c r="E12" s="61"/>
      <c r="F12" s="61"/>
      <c r="G12" s="61"/>
      <c r="H12" s="61"/>
      <c r="I12" s="61"/>
      <c r="J12" s="65"/>
      <c r="K12" s="65"/>
      <c r="L12" s="65"/>
      <c r="M12" s="61"/>
      <c r="N12" s="61"/>
      <c r="O12" s="15"/>
      <c r="P12" s="15"/>
    </row>
    <row r="13" spans="1:16" ht="15" customHeight="1" x14ac:dyDescent="0.25">
      <c r="A13" s="4" t="s">
        <v>1</v>
      </c>
      <c r="B13" s="8" t="s">
        <v>3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12</v>
      </c>
      <c r="K13" s="4" t="s">
        <v>13</v>
      </c>
      <c r="L13" s="4" t="s">
        <v>14</v>
      </c>
      <c r="M13" s="4" t="s">
        <v>15</v>
      </c>
      <c r="N13" s="4" t="s">
        <v>16</v>
      </c>
      <c r="O13" s="4" t="s">
        <v>19</v>
      </c>
      <c r="P13" s="4" t="s">
        <v>20</v>
      </c>
    </row>
    <row r="14" spans="1:16" ht="15" customHeight="1" x14ac:dyDescent="0.25">
      <c r="A14" s="68"/>
      <c r="B14" s="69"/>
      <c r="C14" s="22"/>
      <c r="D14" s="22"/>
      <c r="E14" s="22"/>
      <c r="F14" s="22"/>
      <c r="G14" s="22"/>
      <c r="H14" s="22"/>
      <c r="I14" s="22"/>
      <c r="J14" s="26">
        <f t="shared" ref="J14:J18" si="4">SUM(C14:I14)</f>
        <v>0</v>
      </c>
      <c r="K14" s="26"/>
      <c r="L14" s="26">
        <f t="shared" ref="L14:L18" si="5">J14-K14</f>
        <v>0</v>
      </c>
      <c r="M14" s="26">
        <v>0</v>
      </c>
      <c r="N14" s="32">
        <f t="shared" ref="N14:N19" si="6">J14-M14</f>
        <v>0</v>
      </c>
      <c r="O14" s="33" t="s">
        <v>43</v>
      </c>
      <c r="P14" s="36" t="s">
        <v>45</v>
      </c>
    </row>
    <row r="15" spans="1:16" ht="15" customHeight="1" x14ac:dyDescent="0.25">
      <c r="A15" s="68"/>
      <c r="B15" s="75"/>
      <c r="C15" s="22"/>
      <c r="D15" s="22"/>
      <c r="E15" s="22"/>
      <c r="F15" s="22"/>
      <c r="G15" s="22"/>
      <c r="H15" s="22"/>
      <c r="I15" s="22"/>
      <c r="J15" s="26">
        <f t="shared" si="4"/>
        <v>0</v>
      </c>
      <c r="K15" s="26"/>
      <c r="L15" s="26">
        <f t="shared" si="5"/>
        <v>0</v>
      </c>
      <c r="M15" s="26">
        <v>0</v>
      </c>
      <c r="N15" s="32">
        <f t="shared" si="6"/>
        <v>0</v>
      </c>
      <c r="O15" s="33" t="s">
        <v>43</v>
      </c>
      <c r="P15" s="36" t="s">
        <v>45</v>
      </c>
    </row>
    <row r="16" spans="1:16" ht="15" customHeight="1" x14ac:dyDescent="0.25">
      <c r="A16" s="68"/>
      <c r="B16" s="69"/>
      <c r="C16" s="22"/>
      <c r="D16" s="22"/>
      <c r="E16" s="22"/>
      <c r="F16" s="22"/>
      <c r="G16" s="22"/>
      <c r="H16" s="22"/>
      <c r="I16" s="22"/>
      <c r="J16" s="26">
        <f t="shared" si="4"/>
        <v>0</v>
      </c>
      <c r="K16" s="26"/>
      <c r="L16" s="26">
        <f t="shared" si="5"/>
        <v>0</v>
      </c>
      <c r="M16" s="26">
        <v>0</v>
      </c>
      <c r="N16" s="32">
        <f t="shared" si="6"/>
        <v>0</v>
      </c>
      <c r="O16" s="33" t="s">
        <v>43</v>
      </c>
      <c r="P16" s="36" t="s">
        <v>45</v>
      </c>
    </row>
    <row r="17" spans="1:16" ht="15" customHeight="1" x14ac:dyDescent="0.25">
      <c r="A17" s="68"/>
      <c r="B17" s="69"/>
      <c r="C17" s="22"/>
      <c r="D17" s="22"/>
      <c r="E17" s="22"/>
      <c r="F17" s="22"/>
      <c r="G17" s="22"/>
      <c r="H17" s="22"/>
      <c r="I17" s="22"/>
      <c r="J17" s="26">
        <f t="shared" si="4"/>
        <v>0</v>
      </c>
      <c r="K17" s="26"/>
      <c r="L17" s="26">
        <f t="shared" si="5"/>
        <v>0</v>
      </c>
      <c r="M17" s="26">
        <v>0</v>
      </c>
      <c r="N17" s="32">
        <f t="shared" si="6"/>
        <v>0</v>
      </c>
      <c r="O17" s="33" t="s">
        <v>43</v>
      </c>
      <c r="P17" s="36" t="s">
        <v>45</v>
      </c>
    </row>
    <row r="18" spans="1:16" ht="15" customHeight="1" x14ac:dyDescent="0.25">
      <c r="A18" s="68"/>
      <c r="B18" s="77"/>
      <c r="C18" s="22"/>
      <c r="D18" s="22"/>
      <c r="E18" s="22"/>
      <c r="F18" s="22"/>
      <c r="G18" s="22"/>
      <c r="H18" s="22"/>
      <c r="I18" s="22"/>
      <c r="J18" s="26">
        <f t="shared" si="4"/>
        <v>0</v>
      </c>
      <c r="K18" s="26"/>
      <c r="L18" s="26">
        <f t="shared" si="5"/>
        <v>0</v>
      </c>
      <c r="M18" s="26">
        <v>0</v>
      </c>
      <c r="N18" s="32">
        <f t="shared" si="6"/>
        <v>0</v>
      </c>
      <c r="O18" s="33" t="s">
        <v>43</v>
      </c>
      <c r="P18" s="36" t="s">
        <v>45</v>
      </c>
    </row>
    <row r="19" spans="1:16" ht="15" customHeight="1" x14ac:dyDescent="0.25">
      <c r="A19" s="68"/>
      <c r="B19" s="52" t="s">
        <v>61</v>
      </c>
      <c r="C19" s="54">
        <f t="shared" ref="C19:M19" si="7">SUM(C14:C18)</f>
        <v>0</v>
      </c>
      <c r="D19" s="54">
        <f t="shared" si="7"/>
        <v>0</v>
      </c>
      <c r="E19" s="54">
        <f t="shared" si="7"/>
        <v>0</v>
      </c>
      <c r="F19" s="54">
        <f t="shared" si="7"/>
        <v>0</v>
      </c>
      <c r="G19" s="54">
        <f t="shared" si="7"/>
        <v>0</v>
      </c>
      <c r="H19" s="54">
        <f t="shared" si="7"/>
        <v>0</v>
      </c>
      <c r="I19" s="54">
        <f t="shared" si="7"/>
        <v>0</v>
      </c>
      <c r="J19" s="54">
        <f t="shared" si="7"/>
        <v>0</v>
      </c>
      <c r="K19" s="54">
        <f t="shared" si="7"/>
        <v>0</v>
      </c>
      <c r="L19" s="54">
        <f t="shared" si="7"/>
        <v>0</v>
      </c>
      <c r="M19" s="54">
        <f t="shared" si="7"/>
        <v>0</v>
      </c>
      <c r="N19" s="32">
        <f t="shared" si="6"/>
        <v>0</v>
      </c>
      <c r="O19" s="33" t="s">
        <v>43</v>
      </c>
      <c r="P19" s="36" t="s">
        <v>45</v>
      </c>
    </row>
    <row r="20" spans="1:16" ht="15" customHeight="1" x14ac:dyDescent="0.25">
      <c r="A20" s="15"/>
      <c r="B20" s="80" t="s">
        <v>74</v>
      </c>
      <c r="C20" s="15"/>
      <c r="D20" s="15"/>
      <c r="E20" s="15"/>
      <c r="F20" s="15"/>
      <c r="G20" s="15"/>
      <c r="H20" s="15"/>
      <c r="I20" s="15"/>
      <c r="J20" s="4"/>
      <c r="K20" s="4"/>
      <c r="L20" s="4"/>
      <c r="M20" s="15"/>
      <c r="N20" s="15"/>
      <c r="O20" s="15"/>
      <c r="P20" s="15"/>
    </row>
    <row r="21" spans="1:16" ht="15" customHeight="1" x14ac:dyDescent="0.25">
      <c r="A21" s="4" t="s">
        <v>1</v>
      </c>
      <c r="B21" s="8" t="s">
        <v>3</v>
      </c>
      <c r="C21" s="4" t="s">
        <v>5</v>
      </c>
      <c r="D21" s="4" t="s">
        <v>6</v>
      </c>
      <c r="E21" s="4" t="s">
        <v>7</v>
      </c>
      <c r="F21" s="4" t="s">
        <v>8</v>
      </c>
      <c r="G21" s="4" t="s">
        <v>9</v>
      </c>
      <c r="H21" s="4" t="s">
        <v>10</v>
      </c>
      <c r="I21" s="4" t="s">
        <v>11</v>
      </c>
      <c r="J21" s="4" t="s">
        <v>12</v>
      </c>
      <c r="K21" s="4" t="s">
        <v>13</v>
      </c>
      <c r="L21" s="4" t="s">
        <v>14</v>
      </c>
      <c r="M21" s="4" t="s">
        <v>15</v>
      </c>
      <c r="N21" s="4" t="s">
        <v>16</v>
      </c>
      <c r="O21" s="4" t="s">
        <v>19</v>
      </c>
      <c r="P21" s="4" t="s">
        <v>20</v>
      </c>
    </row>
    <row r="22" spans="1:16" ht="15" customHeight="1" x14ac:dyDescent="0.25">
      <c r="A22" s="68"/>
      <c r="B22" s="77"/>
      <c r="C22" s="22"/>
      <c r="D22" s="22"/>
      <c r="E22" s="22"/>
      <c r="F22" s="22"/>
      <c r="G22" s="22"/>
      <c r="H22" s="22"/>
      <c r="I22" s="22"/>
      <c r="J22" s="26">
        <f t="shared" ref="J22:J24" si="8">SUM(C22:I22)</f>
        <v>0</v>
      </c>
      <c r="K22" s="26"/>
      <c r="L22" s="26">
        <f t="shared" ref="L22:L24" si="9">J22-K22</f>
        <v>0</v>
      </c>
      <c r="M22" s="26">
        <v>0</v>
      </c>
      <c r="N22" s="32">
        <f t="shared" ref="N22:N25" si="10">J22-M22</f>
        <v>0</v>
      </c>
      <c r="O22" s="33" t="s">
        <v>43</v>
      </c>
      <c r="P22" s="36" t="s">
        <v>45</v>
      </c>
    </row>
    <row r="23" spans="1:16" ht="15" customHeight="1" x14ac:dyDescent="0.25">
      <c r="A23" s="68"/>
      <c r="B23" s="69"/>
      <c r="C23" s="22"/>
      <c r="D23" s="22"/>
      <c r="E23" s="22"/>
      <c r="F23" s="22"/>
      <c r="G23" s="22"/>
      <c r="H23" s="22"/>
      <c r="I23" s="22"/>
      <c r="J23" s="26">
        <f t="shared" si="8"/>
        <v>0</v>
      </c>
      <c r="K23" s="26"/>
      <c r="L23" s="26">
        <f t="shared" si="9"/>
        <v>0</v>
      </c>
      <c r="M23" s="26">
        <v>0</v>
      </c>
      <c r="N23" s="32">
        <f t="shared" si="10"/>
        <v>0</v>
      </c>
      <c r="O23" s="33" t="s">
        <v>43</v>
      </c>
      <c r="P23" s="36" t="s">
        <v>45</v>
      </c>
    </row>
    <row r="24" spans="1:16" ht="15" customHeight="1" x14ac:dyDescent="0.25">
      <c r="A24" s="68"/>
      <c r="B24" s="69"/>
      <c r="C24" s="22"/>
      <c r="D24" s="22"/>
      <c r="E24" s="22"/>
      <c r="F24" s="22"/>
      <c r="G24" s="22"/>
      <c r="H24" s="22"/>
      <c r="I24" s="22"/>
      <c r="J24" s="26">
        <f t="shared" si="8"/>
        <v>0</v>
      </c>
      <c r="K24" s="26"/>
      <c r="L24" s="26">
        <f t="shared" si="9"/>
        <v>0</v>
      </c>
      <c r="M24" s="26">
        <v>0</v>
      </c>
      <c r="N24" s="32">
        <f t="shared" si="10"/>
        <v>0</v>
      </c>
      <c r="O24" s="33" t="s">
        <v>43</v>
      </c>
      <c r="P24" s="36" t="s">
        <v>45</v>
      </c>
    </row>
    <row r="25" spans="1:16" ht="15" customHeight="1" x14ac:dyDescent="0.25">
      <c r="A25" s="68"/>
      <c r="B25" s="52" t="s">
        <v>61</v>
      </c>
      <c r="C25" s="54">
        <f t="shared" ref="C25:M25" si="11">SUM(C22:C24)</f>
        <v>0</v>
      </c>
      <c r="D25" s="54">
        <f t="shared" si="11"/>
        <v>0</v>
      </c>
      <c r="E25" s="54">
        <f t="shared" si="11"/>
        <v>0</v>
      </c>
      <c r="F25" s="54">
        <f t="shared" si="11"/>
        <v>0</v>
      </c>
      <c r="G25" s="54">
        <f t="shared" si="11"/>
        <v>0</v>
      </c>
      <c r="H25" s="54">
        <f t="shared" si="11"/>
        <v>0</v>
      </c>
      <c r="I25" s="54">
        <f t="shared" si="11"/>
        <v>0</v>
      </c>
      <c r="J25" s="54">
        <f t="shared" si="11"/>
        <v>0</v>
      </c>
      <c r="K25" s="54">
        <f t="shared" si="11"/>
        <v>0</v>
      </c>
      <c r="L25" s="54">
        <f t="shared" si="11"/>
        <v>0</v>
      </c>
      <c r="M25" s="54">
        <f t="shared" si="11"/>
        <v>0</v>
      </c>
      <c r="N25" s="32">
        <f t="shared" si="10"/>
        <v>0</v>
      </c>
      <c r="O25" s="33" t="s">
        <v>43</v>
      </c>
      <c r="P25" s="36" t="s">
        <v>45</v>
      </c>
    </row>
    <row r="26" spans="1:16" ht="15" customHeight="1" x14ac:dyDescent="0.25">
      <c r="A26" s="15"/>
      <c r="B26" s="11" t="s">
        <v>75</v>
      </c>
      <c r="C26" s="15"/>
      <c r="D26" s="15"/>
      <c r="E26" s="15"/>
      <c r="F26" s="15"/>
      <c r="G26" s="15"/>
      <c r="H26" s="15"/>
      <c r="I26" s="15"/>
      <c r="J26" s="4"/>
      <c r="K26" s="4"/>
      <c r="L26" s="4"/>
      <c r="M26" s="15"/>
      <c r="N26" s="15"/>
      <c r="O26" s="94"/>
      <c r="P26" s="94"/>
    </row>
    <row r="27" spans="1:16" ht="15" customHeight="1" x14ac:dyDescent="0.25">
      <c r="A27" s="95"/>
      <c r="B27" s="75"/>
      <c r="C27" s="22"/>
      <c r="D27" s="22"/>
      <c r="E27" s="22"/>
      <c r="F27" s="22"/>
      <c r="G27" s="22"/>
      <c r="H27" s="22"/>
      <c r="I27" s="22"/>
      <c r="J27" s="26">
        <f t="shared" ref="J27:J30" si="12">SUM(C27:I27)</f>
        <v>0</v>
      </c>
      <c r="K27" s="26"/>
      <c r="L27" s="26">
        <f t="shared" ref="L27:L30" si="13">J27-K27</f>
        <v>0</v>
      </c>
      <c r="M27" s="22">
        <v>0</v>
      </c>
      <c r="N27" s="32">
        <f t="shared" ref="N27:N31" si="14">J27-M27</f>
        <v>0</v>
      </c>
      <c r="O27" s="33" t="s">
        <v>43</v>
      </c>
      <c r="P27" s="36" t="s">
        <v>45</v>
      </c>
    </row>
    <row r="28" spans="1:16" ht="15" customHeight="1" x14ac:dyDescent="0.25">
      <c r="A28" s="95"/>
      <c r="B28" s="75"/>
      <c r="C28" s="22"/>
      <c r="D28" s="22"/>
      <c r="E28" s="22"/>
      <c r="F28" s="22"/>
      <c r="G28" s="22"/>
      <c r="H28" s="22"/>
      <c r="I28" s="22"/>
      <c r="J28" s="26">
        <f t="shared" si="12"/>
        <v>0</v>
      </c>
      <c r="K28" s="26"/>
      <c r="L28" s="26">
        <f t="shared" si="13"/>
        <v>0</v>
      </c>
      <c r="M28" s="22">
        <v>0</v>
      </c>
      <c r="N28" s="32">
        <f t="shared" si="14"/>
        <v>0</v>
      </c>
      <c r="O28" s="33" t="s">
        <v>43</v>
      </c>
      <c r="P28" s="36" t="s">
        <v>45</v>
      </c>
    </row>
    <row r="29" spans="1:16" ht="15" customHeight="1" x14ac:dyDescent="0.25">
      <c r="A29" s="95"/>
      <c r="B29" s="75"/>
      <c r="C29" s="22"/>
      <c r="D29" s="22"/>
      <c r="E29" s="22"/>
      <c r="F29" s="22"/>
      <c r="G29" s="22"/>
      <c r="H29" s="22"/>
      <c r="I29" s="22"/>
      <c r="J29" s="26">
        <f t="shared" si="12"/>
        <v>0</v>
      </c>
      <c r="K29" s="26"/>
      <c r="L29" s="26">
        <f t="shared" si="13"/>
        <v>0</v>
      </c>
      <c r="M29" s="22">
        <v>0</v>
      </c>
      <c r="N29" s="32">
        <f t="shared" si="14"/>
        <v>0</v>
      </c>
      <c r="O29" s="33" t="s">
        <v>43</v>
      </c>
      <c r="P29" s="36" t="s">
        <v>45</v>
      </c>
    </row>
    <row r="30" spans="1:16" ht="15" customHeight="1" x14ac:dyDescent="0.25">
      <c r="A30" s="95"/>
      <c r="B30" s="75"/>
      <c r="C30" s="22"/>
      <c r="D30" s="22"/>
      <c r="E30" s="22"/>
      <c r="F30" s="22"/>
      <c r="G30" s="22"/>
      <c r="H30" s="22"/>
      <c r="I30" s="22"/>
      <c r="J30" s="26">
        <f t="shared" si="12"/>
        <v>0</v>
      </c>
      <c r="K30" s="26"/>
      <c r="L30" s="26">
        <f t="shared" si="13"/>
        <v>0</v>
      </c>
      <c r="M30" s="22">
        <v>0</v>
      </c>
      <c r="N30" s="32">
        <f t="shared" si="14"/>
        <v>0</v>
      </c>
      <c r="O30" s="33" t="s">
        <v>43</v>
      </c>
      <c r="P30" s="36" t="s">
        <v>45</v>
      </c>
    </row>
    <row r="31" spans="1:16" ht="15" customHeight="1" x14ac:dyDescent="0.25">
      <c r="A31" s="96"/>
      <c r="B31" s="4" t="s">
        <v>61</v>
      </c>
      <c r="C31" s="4">
        <f t="shared" ref="C31:M31" si="15">SUM(C11,C19,C25)</f>
        <v>1</v>
      </c>
      <c r="D31" s="4">
        <f t="shared" si="15"/>
        <v>0</v>
      </c>
      <c r="E31" s="4">
        <f t="shared" si="15"/>
        <v>0</v>
      </c>
      <c r="F31" s="4">
        <f t="shared" si="15"/>
        <v>0</v>
      </c>
      <c r="G31" s="4">
        <f t="shared" si="15"/>
        <v>0</v>
      </c>
      <c r="H31" s="4">
        <f t="shared" si="15"/>
        <v>0</v>
      </c>
      <c r="I31" s="4">
        <f t="shared" si="15"/>
        <v>0</v>
      </c>
      <c r="J31" s="4">
        <f t="shared" si="15"/>
        <v>1</v>
      </c>
      <c r="K31" s="4">
        <f t="shared" si="15"/>
        <v>0</v>
      </c>
      <c r="L31" s="4">
        <f t="shared" si="15"/>
        <v>1</v>
      </c>
      <c r="M31" s="4">
        <f t="shared" si="15"/>
        <v>0</v>
      </c>
      <c r="N31" s="32">
        <f t="shared" si="14"/>
        <v>1</v>
      </c>
      <c r="O31" s="33"/>
      <c r="P31" s="36"/>
    </row>
    <row r="32" spans="1:16" ht="15" customHeight="1" x14ac:dyDescent="0.25">
      <c r="A32" s="33"/>
      <c r="B32" s="31" t="s">
        <v>15</v>
      </c>
      <c r="C32" s="33">
        <v>0</v>
      </c>
      <c r="D32" s="33">
        <v>0</v>
      </c>
      <c r="E32" s="22">
        <v>0</v>
      </c>
      <c r="F32" s="33">
        <v>0</v>
      </c>
      <c r="G32" s="33">
        <v>0</v>
      </c>
      <c r="H32" s="33">
        <v>0</v>
      </c>
      <c r="I32" s="33"/>
      <c r="J32" s="33">
        <v>0</v>
      </c>
      <c r="K32" s="100"/>
      <c r="L32" s="100"/>
      <c r="M32" s="100"/>
      <c r="N32" s="101"/>
      <c r="O32" s="101"/>
      <c r="P32" s="6"/>
    </row>
    <row r="33" spans="1:16" ht="15" customHeight="1" x14ac:dyDescent="0.25">
      <c r="A33" s="100"/>
      <c r="B33" s="31" t="s">
        <v>16</v>
      </c>
      <c r="C33" s="33">
        <f t="shared" ref="C33:H33" si="16">C31-C32</f>
        <v>1</v>
      </c>
      <c r="D33" s="33">
        <f t="shared" si="16"/>
        <v>0</v>
      </c>
      <c r="E33" s="33">
        <f t="shared" si="16"/>
        <v>0</v>
      </c>
      <c r="F33" s="33">
        <f t="shared" si="16"/>
        <v>0</v>
      </c>
      <c r="G33" s="33">
        <f t="shared" si="16"/>
        <v>0</v>
      </c>
      <c r="H33" s="33">
        <f t="shared" si="16"/>
        <v>0</v>
      </c>
      <c r="I33" s="33"/>
      <c r="J33" s="33">
        <f>J31-J32</f>
        <v>1</v>
      </c>
      <c r="K33" s="100"/>
      <c r="L33" s="100"/>
      <c r="M33" s="6"/>
      <c r="N33" s="100"/>
      <c r="O33" s="100"/>
      <c r="P33" s="6"/>
    </row>
    <row r="34" spans="1:16" ht="15" customHeight="1" x14ac:dyDescent="0.25">
      <c r="F34" s="100"/>
    </row>
    <row r="35" spans="1:16" ht="15.75" customHeight="1" x14ac:dyDescent="0.25"/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O2"/>
  </mergeCells>
  <conditionalFormatting sqref="N3:N12 N14:N20 N22:N31 C33:L33">
    <cfRule type="cellIs" dxfId="7" priority="1" operator="equal">
      <formula>0</formula>
    </cfRule>
    <cfRule type="cellIs" dxfId="6" priority="2" operator="greaterThan">
      <formula>0</formula>
    </cfRule>
    <cfRule type="cellIs" dxfId="5" priority="3" operator="lessThan">
      <formula>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4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0.140625" customWidth="1"/>
    <col min="2" max="2" width="38" customWidth="1"/>
    <col min="3" max="3" width="8.85546875" customWidth="1"/>
    <col min="4" max="4" width="9.5703125" customWidth="1"/>
    <col min="5" max="5" width="12.5703125" customWidth="1"/>
    <col min="6" max="6" width="8.140625" customWidth="1"/>
    <col min="7" max="7" width="7.5703125" customWidth="1"/>
    <col min="8" max="8" width="13.42578125" customWidth="1"/>
    <col min="9" max="9" width="10.140625" customWidth="1"/>
    <col min="10" max="10" width="12.140625" customWidth="1"/>
    <col min="11" max="11" width="11.42578125" customWidth="1"/>
    <col min="12" max="12" width="11.7109375" customWidth="1"/>
    <col min="13" max="13" width="8.85546875" customWidth="1"/>
    <col min="14" max="25" width="9.140625" customWidth="1"/>
  </cols>
  <sheetData>
    <row r="1" spans="1:25" ht="15" customHeight="1" x14ac:dyDescent="0.25">
      <c r="A1" s="4" t="s">
        <v>1</v>
      </c>
      <c r="B1" s="8" t="s">
        <v>3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19</v>
      </c>
      <c r="N1" s="4" t="s">
        <v>20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" customHeight="1" x14ac:dyDescent="0.25">
      <c r="A2" s="275" t="s">
        <v>22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9"/>
      <c r="N2" s="15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5.75" customHeight="1" x14ac:dyDescent="0.25">
      <c r="A3" s="18">
        <v>1301</v>
      </c>
      <c r="B3" s="38" t="s">
        <v>59</v>
      </c>
      <c r="C3" s="22">
        <f t="array" ref="C3">IFERROR(_xlfn.XLOOKUP($A3,Commercial!$A:$A,Commercial!$F:$F,0,0),0)</f>
        <v>0</v>
      </c>
      <c r="D3" s="22">
        <f t="array" ref="D3">IFERROR(_xlfn.XLOOKUP($A3,Commercial!$A:$A,Commercial!$L:$L,0,0),0)</f>
        <v>0</v>
      </c>
      <c r="E3" s="22">
        <f t="array" ref="E3">IFERROR(_xlfn.XLOOKUP($A3,Commercial!$A:$A,Commercial!$R:$R,0,0),0)</f>
        <v>0</v>
      </c>
      <c r="F3" s="22">
        <f t="array" ref="F3">IFERROR(_xlfn.XLOOKUP($A3,Commercial!$A:$A,Commercial!$X:$X,0,0),0)</f>
        <v>0</v>
      </c>
      <c r="G3" s="22">
        <f t="array" ref="G3">IFERROR(_xlfn.XLOOKUP($A3,Commercial!$A:$A,Commercial!$AD:$AD,0,0),0)</f>
        <v>0</v>
      </c>
      <c r="H3" s="26">
        <f t="shared" ref="H3:H11" si="0">SUM(C3:G3)</f>
        <v>0</v>
      </c>
      <c r="I3" s="26"/>
      <c r="J3" s="26">
        <f t="shared" ref="J3:J10" si="1">H3-I3</f>
        <v>0</v>
      </c>
      <c r="K3" s="26">
        <v>0</v>
      </c>
      <c r="L3" s="32">
        <f t="shared" ref="L3:L11" si="2">H3-K3</f>
        <v>0</v>
      </c>
      <c r="M3" s="33" t="s">
        <v>43</v>
      </c>
      <c r="N3" s="36" t="s">
        <v>45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25">
      <c r="A4" s="18">
        <v>1280</v>
      </c>
      <c r="B4" s="44" t="s">
        <v>83</v>
      </c>
      <c r="C4" s="40">
        <f t="array" ref="C4">IFERROR(_xlfn.XLOOKUP($A4,Commercial!$A:$A,Commercial!$F:$F,0,0),0)</f>
        <v>0</v>
      </c>
      <c r="D4" s="40">
        <f t="array" ref="D4">IFERROR(_xlfn.XLOOKUP($A4,Commercial!$A:$A,Commercial!$L:$L,0,0),0)</f>
        <v>0</v>
      </c>
      <c r="E4" s="40">
        <f t="array" ref="E4">IFERROR(_xlfn.XLOOKUP($A4,Commercial!$A:$A,Commercial!$R:$R,0,0),0)</f>
        <v>0</v>
      </c>
      <c r="F4" s="40">
        <f t="array" ref="F4">IFERROR(_xlfn.XLOOKUP($A4,Commercial!$A:$A,Commercial!$X:$X,0,0),0)</f>
        <v>0</v>
      </c>
      <c r="G4" s="40">
        <f t="array" ref="G4">IFERROR(_xlfn.XLOOKUP($A4,Commercial!$A:$A,Commercial!$AD:$AD,0,0),0)</f>
        <v>0</v>
      </c>
      <c r="H4" s="26">
        <f t="shared" si="0"/>
        <v>0</v>
      </c>
      <c r="I4" s="42"/>
      <c r="J4" s="26">
        <f t="shared" si="1"/>
        <v>0</v>
      </c>
      <c r="K4" s="26">
        <v>0</v>
      </c>
      <c r="L4" s="32">
        <f t="shared" si="2"/>
        <v>0</v>
      </c>
      <c r="M4" s="33" t="s">
        <v>43</v>
      </c>
      <c r="N4" s="36" t="s">
        <v>45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25">
      <c r="A5" s="18">
        <v>1294</v>
      </c>
      <c r="B5" s="44" t="s">
        <v>80</v>
      </c>
      <c r="C5" s="40">
        <f t="array" ref="C5">IFERROR(_xlfn.XLOOKUP($A5,Commercial!$A:$A,Commercial!$F:$F,0,0),0)</f>
        <v>0</v>
      </c>
      <c r="D5" s="40">
        <f t="array" ref="D5">IFERROR(_xlfn.XLOOKUP($A5,Commercial!$A:$A,Commercial!$L:$L,0,0),0)</f>
        <v>0</v>
      </c>
      <c r="E5" s="40">
        <f t="array" ref="E5">IFERROR(_xlfn.XLOOKUP($A5,Commercial!$A:$A,Commercial!$R:$R,0,0),0)</f>
        <v>0</v>
      </c>
      <c r="F5" s="40">
        <f t="array" ref="F5">IFERROR(_xlfn.XLOOKUP($A5,Commercial!$A:$A,Commercial!$X:$X,0,0),0)</f>
        <v>0</v>
      </c>
      <c r="G5" s="40">
        <f t="array" ref="G5">IFERROR(_xlfn.XLOOKUP($A5,Commercial!$A:$A,Commercial!$AD:$AD,0,0),0)</f>
        <v>0</v>
      </c>
      <c r="H5" s="26">
        <f t="shared" si="0"/>
        <v>0</v>
      </c>
      <c r="I5" s="42"/>
      <c r="J5" s="26">
        <f t="shared" si="1"/>
        <v>0</v>
      </c>
      <c r="K5" s="26">
        <v>0</v>
      </c>
      <c r="L5" s="32">
        <f t="shared" si="2"/>
        <v>0</v>
      </c>
      <c r="M5" s="33" t="s">
        <v>43</v>
      </c>
      <c r="N5" s="36" t="s">
        <v>45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25">
      <c r="A6" s="18">
        <v>1175</v>
      </c>
      <c r="B6" s="44" t="s">
        <v>50</v>
      </c>
      <c r="C6" s="40">
        <f t="array" ref="C6">IFERROR(_xlfn.XLOOKUP($A6,Commercial!$A:$A,Commercial!$F:$F,0,0),0)</f>
        <v>0</v>
      </c>
      <c r="D6" s="40">
        <f t="array" ref="D6">IFERROR(_xlfn.XLOOKUP($A6,Commercial!$A:$A,Commercial!$L:$L,0,0),0)</f>
        <v>0</v>
      </c>
      <c r="E6" s="40">
        <f t="array" ref="E6">IFERROR(_xlfn.XLOOKUP($A6,Commercial!$A:$A,Commercial!$R:$R,0,0),0)</f>
        <v>0</v>
      </c>
      <c r="F6" s="40">
        <f t="array" ref="F6">IFERROR(_xlfn.XLOOKUP($A6,Commercial!$A:$A,Commercial!$X:$X,0,0),0)</f>
        <v>0</v>
      </c>
      <c r="G6" s="40">
        <f t="array" ref="G6">IFERROR(_xlfn.XLOOKUP($A6,Commercial!$A:$A,Commercial!$AD:$AD,0,0),0)</f>
        <v>0</v>
      </c>
      <c r="H6" s="26">
        <f t="shared" si="0"/>
        <v>0</v>
      </c>
      <c r="I6" s="42"/>
      <c r="J6" s="26">
        <f t="shared" si="1"/>
        <v>0</v>
      </c>
      <c r="K6" s="26">
        <v>0</v>
      </c>
      <c r="L6" s="32">
        <f t="shared" si="2"/>
        <v>0</v>
      </c>
      <c r="M6" s="33" t="s">
        <v>43</v>
      </c>
      <c r="N6" s="36" t="s">
        <v>45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25">
      <c r="A7" s="18">
        <v>1300</v>
      </c>
      <c r="B7" s="44" t="s">
        <v>35</v>
      </c>
      <c r="C7" s="40">
        <f t="array" ref="C7">IFERROR(_xlfn.XLOOKUP($A7,Commercial!$A:$A,Commercial!$F:$F,0,0),0)</f>
        <v>0</v>
      </c>
      <c r="D7" s="40">
        <f t="array" ref="D7">IFERROR(_xlfn.XLOOKUP($A7,Commercial!$A:$A,Commercial!$L:$L,0,0),0)</f>
        <v>0</v>
      </c>
      <c r="E7" s="40">
        <f t="array" ref="E7">IFERROR(_xlfn.XLOOKUP($A7,Commercial!$A:$A,Commercial!$R:$R,0,0),0)</f>
        <v>0</v>
      </c>
      <c r="F7" s="40">
        <f t="array" ref="F7">IFERROR(_xlfn.XLOOKUP($A7,Commercial!$A:$A,Commercial!$X:$X,0,0),0)</f>
        <v>0</v>
      </c>
      <c r="G7" s="40">
        <f t="array" ref="G7">IFERROR(_xlfn.XLOOKUP($A7,Commercial!$A:$A,Commercial!$AD:$AD,0,0),0)</f>
        <v>0</v>
      </c>
      <c r="H7" s="26">
        <f t="shared" si="0"/>
        <v>0</v>
      </c>
      <c r="I7" s="42"/>
      <c r="J7" s="26">
        <f t="shared" si="1"/>
        <v>0</v>
      </c>
      <c r="K7" s="26">
        <v>0</v>
      </c>
      <c r="L7" s="32">
        <f t="shared" si="2"/>
        <v>0</v>
      </c>
      <c r="M7" s="33" t="s">
        <v>43</v>
      </c>
      <c r="N7" s="36" t="s">
        <v>45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25">
      <c r="A8" s="18">
        <v>1291</v>
      </c>
      <c r="B8" s="44" t="s">
        <v>53</v>
      </c>
      <c r="C8" s="40">
        <f t="array" ref="C8">IFERROR(_xlfn.XLOOKUP($A8,Commercial!$A:$A,Commercial!$F:$F,0,0),0)</f>
        <v>0</v>
      </c>
      <c r="D8" s="40">
        <f t="array" ref="D8">IFERROR(_xlfn.XLOOKUP($A8,Commercial!$A:$A,Commercial!$L:$L,0,0),0)</f>
        <v>0</v>
      </c>
      <c r="E8" s="40">
        <f t="array" ref="E8">IFERROR(_xlfn.XLOOKUP($A8,Commercial!$A:$A,Commercial!$R:$R,0,0),0)</f>
        <v>0</v>
      </c>
      <c r="F8" s="40">
        <f t="array" ref="F8">IFERROR(_xlfn.XLOOKUP($A8,Commercial!$A:$A,Commercial!$X:$X,0,0),0)</f>
        <v>0</v>
      </c>
      <c r="G8" s="40">
        <f t="array" ref="G8">IFERROR(_xlfn.XLOOKUP($A8,Commercial!$A:$A,Commercial!$AD:$AD,0,0),0)</f>
        <v>0</v>
      </c>
      <c r="H8" s="26">
        <f t="shared" si="0"/>
        <v>0</v>
      </c>
      <c r="I8" s="42"/>
      <c r="J8" s="26">
        <f t="shared" si="1"/>
        <v>0</v>
      </c>
      <c r="K8" s="26">
        <v>0</v>
      </c>
      <c r="L8" s="32">
        <f t="shared" si="2"/>
        <v>0</v>
      </c>
      <c r="M8" s="33" t="s">
        <v>43</v>
      </c>
      <c r="N8" s="36" t="s">
        <v>45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25">
      <c r="A9" s="18"/>
      <c r="B9" s="44"/>
      <c r="C9" s="40"/>
      <c r="D9" s="40"/>
      <c r="E9" s="40"/>
      <c r="F9" s="40"/>
      <c r="G9" s="40"/>
      <c r="H9" s="26">
        <f t="shared" si="0"/>
        <v>0</v>
      </c>
      <c r="I9" s="42"/>
      <c r="J9" s="26">
        <f t="shared" si="1"/>
        <v>0</v>
      </c>
      <c r="K9" s="26">
        <v>0</v>
      </c>
      <c r="L9" s="32">
        <f t="shared" si="2"/>
        <v>0</v>
      </c>
      <c r="M9" s="33" t="s">
        <v>43</v>
      </c>
      <c r="N9" s="36" t="s">
        <v>45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25">
      <c r="A10" s="18"/>
      <c r="B10" s="44"/>
      <c r="C10" s="40"/>
      <c r="D10" s="40"/>
      <c r="E10" s="40"/>
      <c r="F10" s="40"/>
      <c r="G10" s="40"/>
      <c r="H10" s="42">
        <f t="shared" si="0"/>
        <v>0</v>
      </c>
      <c r="I10" s="42"/>
      <c r="J10" s="26">
        <f t="shared" si="1"/>
        <v>0</v>
      </c>
      <c r="K10" s="26">
        <v>0</v>
      </c>
      <c r="L10" s="32">
        <f t="shared" si="2"/>
        <v>0</v>
      </c>
      <c r="M10" s="33" t="s">
        <v>43</v>
      </c>
      <c r="N10" s="36" t="s">
        <v>45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 x14ac:dyDescent="0.25">
      <c r="B11" s="181" t="s">
        <v>61</v>
      </c>
      <c r="C11" s="182">
        <f t="shared" ref="C11:G11" si="3">SUM(C3:C10)</f>
        <v>0</v>
      </c>
      <c r="D11" s="182">
        <f t="shared" si="3"/>
        <v>0</v>
      </c>
      <c r="E11" s="182">
        <f t="shared" si="3"/>
        <v>0</v>
      </c>
      <c r="F11" s="182">
        <f t="shared" si="3"/>
        <v>0</v>
      </c>
      <c r="G11" s="182">
        <f t="shared" si="3"/>
        <v>0</v>
      </c>
      <c r="H11" s="202">
        <f t="shared" si="0"/>
        <v>0</v>
      </c>
      <c r="I11" s="182">
        <f t="shared" ref="I11:K11" si="4">SUM(I3:I10)</f>
        <v>0</v>
      </c>
      <c r="J11" s="182">
        <f t="shared" si="4"/>
        <v>0</v>
      </c>
      <c r="K11" s="183">
        <f t="shared" si="4"/>
        <v>0</v>
      </c>
      <c r="L11" s="203">
        <f t="shared" si="2"/>
        <v>0</v>
      </c>
      <c r="M11" s="160" t="s">
        <v>43</v>
      </c>
      <c r="N11" s="36" t="s">
        <v>45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customHeight="1" x14ac:dyDescent="0.25">
      <c r="A12" s="15"/>
      <c r="B12" s="60" t="s">
        <v>71</v>
      </c>
      <c r="C12" s="61"/>
      <c r="D12" s="61"/>
      <c r="E12" s="61"/>
      <c r="F12" s="61"/>
      <c r="G12" s="61"/>
      <c r="H12" s="65"/>
      <c r="I12" s="65"/>
      <c r="J12" s="65"/>
      <c r="K12" s="61"/>
      <c r="L12" s="61"/>
      <c r="M12" s="61"/>
      <c r="N12" s="61"/>
      <c r="O12" s="6"/>
      <c r="P12" s="6"/>
      <c r="U12" s="6"/>
      <c r="V12" s="6"/>
      <c r="W12" s="6"/>
      <c r="X12" s="6"/>
      <c r="Y12" s="6"/>
    </row>
    <row r="13" spans="1:25" ht="15.75" customHeight="1" x14ac:dyDescent="0.25">
      <c r="A13" s="4" t="s">
        <v>1</v>
      </c>
      <c r="B13" s="8" t="s">
        <v>3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12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19</v>
      </c>
      <c r="N13" s="4" t="s">
        <v>20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25">
      <c r="A14" s="18"/>
      <c r="B14" s="44"/>
      <c r="C14" s="22"/>
      <c r="D14" s="22"/>
      <c r="E14" s="22"/>
      <c r="F14" s="22"/>
      <c r="G14" s="22"/>
      <c r="H14" s="26">
        <f t="shared" ref="H14:H23" si="5">SUM(C14:G14)</f>
        <v>0</v>
      </c>
      <c r="I14" s="26"/>
      <c r="J14" s="26">
        <f t="shared" ref="J14:J23" si="6">H14-I14</f>
        <v>0</v>
      </c>
      <c r="K14" s="26">
        <v>0</v>
      </c>
      <c r="L14" s="32">
        <f t="shared" ref="L14:L24" si="7">H14-K14</f>
        <v>0</v>
      </c>
      <c r="M14" s="33" t="s">
        <v>43</v>
      </c>
      <c r="N14" s="36" t="s">
        <v>45</v>
      </c>
      <c r="O14" s="6"/>
      <c r="P14" s="6"/>
      <c r="U14" s="6"/>
      <c r="V14" s="6"/>
      <c r="W14" s="6"/>
      <c r="X14" s="6"/>
      <c r="Y14" s="6"/>
    </row>
    <row r="15" spans="1:25" ht="15.75" customHeight="1" x14ac:dyDescent="0.25">
      <c r="A15" s="68"/>
      <c r="B15" s="75"/>
      <c r="C15" s="40"/>
      <c r="D15" s="40"/>
      <c r="E15" s="40"/>
      <c r="F15" s="22"/>
      <c r="G15" s="22"/>
      <c r="H15" s="26">
        <f t="shared" si="5"/>
        <v>0</v>
      </c>
      <c r="I15" s="26"/>
      <c r="J15" s="42">
        <f t="shared" si="6"/>
        <v>0</v>
      </c>
      <c r="K15" s="42">
        <v>0</v>
      </c>
      <c r="L15" s="207">
        <f t="shared" si="7"/>
        <v>0</v>
      </c>
      <c r="M15" s="156" t="s">
        <v>43</v>
      </c>
      <c r="N15" s="36" t="s">
        <v>45</v>
      </c>
      <c r="O15" s="6"/>
      <c r="P15" s="6"/>
      <c r="U15" s="6"/>
      <c r="V15" s="6"/>
      <c r="W15" s="6"/>
      <c r="X15" s="6"/>
      <c r="Y15" s="6"/>
    </row>
    <row r="16" spans="1:25" ht="15.75" customHeight="1" x14ac:dyDescent="0.25">
      <c r="A16" s="18"/>
      <c r="B16" s="36"/>
      <c r="C16" s="40"/>
      <c r="D16" s="40"/>
      <c r="E16" s="40"/>
      <c r="F16" s="22"/>
      <c r="G16" s="22"/>
      <c r="H16" s="26">
        <f t="shared" si="5"/>
        <v>0</v>
      </c>
      <c r="I16" s="26"/>
      <c r="J16" s="42">
        <f t="shared" si="6"/>
        <v>0</v>
      </c>
      <c r="K16" s="42">
        <v>0</v>
      </c>
      <c r="L16" s="207">
        <f t="shared" si="7"/>
        <v>0</v>
      </c>
      <c r="M16" s="156" t="s">
        <v>43</v>
      </c>
      <c r="N16" s="36" t="s">
        <v>45</v>
      </c>
      <c r="O16" s="6"/>
      <c r="P16" s="6"/>
      <c r="U16" s="6"/>
      <c r="V16" s="6"/>
      <c r="W16" s="6"/>
      <c r="X16" s="6"/>
      <c r="Y16" s="6"/>
    </row>
    <row r="17" spans="1:25" ht="15.75" customHeight="1" x14ac:dyDescent="0.25">
      <c r="A17" s="18"/>
      <c r="B17" s="36"/>
      <c r="C17" s="40"/>
      <c r="D17" s="40"/>
      <c r="E17" s="40"/>
      <c r="F17" s="22"/>
      <c r="G17" s="22"/>
      <c r="H17" s="26">
        <f t="shared" si="5"/>
        <v>0</v>
      </c>
      <c r="I17" s="26"/>
      <c r="J17" s="42">
        <f t="shared" si="6"/>
        <v>0</v>
      </c>
      <c r="K17" s="42">
        <v>0</v>
      </c>
      <c r="L17" s="207">
        <f t="shared" si="7"/>
        <v>0</v>
      </c>
      <c r="M17" s="156" t="s">
        <v>43</v>
      </c>
      <c r="N17" s="36" t="s">
        <v>45</v>
      </c>
      <c r="O17" s="6"/>
      <c r="P17" s="6"/>
      <c r="U17" s="6"/>
      <c r="V17" s="6"/>
      <c r="W17" s="6"/>
      <c r="X17" s="6"/>
      <c r="Y17" s="6"/>
    </row>
    <row r="18" spans="1:25" ht="15.75" customHeight="1" x14ac:dyDescent="0.25">
      <c r="A18" s="68"/>
      <c r="B18" s="69"/>
      <c r="C18" s="40"/>
      <c r="D18" s="40"/>
      <c r="E18" s="40"/>
      <c r="F18" s="22"/>
      <c r="G18" s="22"/>
      <c r="H18" s="26">
        <f t="shared" si="5"/>
        <v>0</v>
      </c>
      <c r="I18" s="26"/>
      <c r="J18" s="42">
        <f t="shared" si="6"/>
        <v>0</v>
      </c>
      <c r="K18" s="42">
        <v>0</v>
      </c>
      <c r="L18" s="207">
        <f t="shared" si="7"/>
        <v>0</v>
      </c>
      <c r="M18" s="156" t="s">
        <v>43</v>
      </c>
      <c r="N18" s="36" t="s">
        <v>45</v>
      </c>
      <c r="O18" s="6"/>
      <c r="P18" s="6"/>
      <c r="U18" s="6"/>
      <c r="V18" s="6"/>
      <c r="W18" s="6"/>
      <c r="X18" s="6"/>
      <c r="Y18" s="6"/>
    </row>
    <row r="19" spans="1:25" ht="15.75" customHeight="1" x14ac:dyDescent="0.25">
      <c r="A19" s="68"/>
      <c r="B19" s="69"/>
      <c r="C19" s="22"/>
      <c r="D19" s="22"/>
      <c r="E19" s="22"/>
      <c r="F19" s="22"/>
      <c r="G19" s="22"/>
      <c r="H19" s="26">
        <f t="shared" si="5"/>
        <v>0</v>
      </c>
      <c r="I19" s="26"/>
      <c r="J19" s="42">
        <f t="shared" si="6"/>
        <v>0</v>
      </c>
      <c r="K19" s="26">
        <v>0</v>
      </c>
      <c r="L19" s="32">
        <f t="shared" si="7"/>
        <v>0</v>
      </c>
      <c r="M19" s="33" t="s">
        <v>43</v>
      </c>
      <c r="N19" s="36" t="s">
        <v>45</v>
      </c>
      <c r="O19" s="6"/>
      <c r="P19" s="6"/>
      <c r="U19" s="6"/>
      <c r="V19" s="6"/>
      <c r="W19" s="6"/>
      <c r="X19" s="6"/>
      <c r="Y19" s="6"/>
    </row>
    <row r="20" spans="1:25" ht="15.75" customHeight="1" x14ac:dyDescent="0.25">
      <c r="A20" s="18"/>
      <c r="B20" s="38"/>
      <c r="C20" s="22"/>
      <c r="D20" s="22"/>
      <c r="E20" s="22"/>
      <c r="F20" s="22"/>
      <c r="G20" s="22"/>
      <c r="H20" s="26">
        <f t="shared" si="5"/>
        <v>0</v>
      </c>
      <c r="I20" s="26"/>
      <c r="J20" s="42">
        <f t="shared" si="6"/>
        <v>0</v>
      </c>
      <c r="K20" s="26">
        <v>0</v>
      </c>
      <c r="L20" s="32">
        <f t="shared" si="7"/>
        <v>0</v>
      </c>
      <c r="M20" s="33" t="s">
        <v>43</v>
      </c>
      <c r="N20" s="36" t="s">
        <v>45</v>
      </c>
      <c r="O20" s="6"/>
      <c r="P20" s="6"/>
      <c r="U20" s="6"/>
      <c r="V20" s="6"/>
      <c r="W20" s="6"/>
      <c r="X20" s="6"/>
      <c r="Y20" s="6"/>
    </row>
    <row r="21" spans="1:25" ht="15.75" customHeight="1" x14ac:dyDescent="0.25">
      <c r="A21" s="68"/>
      <c r="B21" s="69"/>
      <c r="C21" s="22"/>
      <c r="D21" s="22"/>
      <c r="E21" s="22"/>
      <c r="F21" s="22"/>
      <c r="G21" s="22"/>
      <c r="H21" s="26">
        <f t="shared" si="5"/>
        <v>0</v>
      </c>
      <c r="I21" s="26"/>
      <c r="J21" s="42">
        <f t="shared" si="6"/>
        <v>0</v>
      </c>
      <c r="K21" s="26">
        <v>0</v>
      </c>
      <c r="L21" s="32">
        <f t="shared" si="7"/>
        <v>0</v>
      </c>
      <c r="M21" s="33" t="s">
        <v>43</v>
      </c>
      <c r="N21" s="36" t="s">
        <v>45</v>
      </c>
      <c r="O21" s="6"/>
      <c r="P21" s="6"/>
      <c r="U21" s="6"/>
      <c r="V21" s="6"/>
      <c r="W21" s="6"/>
      <c r="X21" s="6"/>
      <c r="Y21" s="6"/>
    </row>
    <row r="22" spans="1:25" ht="15.75" customHeight="1" x14ac:dyDescent="0.25">
      <c r="A22" s="68"/>
      <c r="B22" s="69"/>
      <c r="C22" s="22"/>
      <c r="D22" s="22"/>
      <c r="E22" s="22"/>
      <c r="F22" s="22"/>
      <c r="G22" s="22"/>
      <c r="H22" s="26">
        <f t="shared" si="5"/>
        <v>0</v>
      </c>
      <c r="I22" s="26"/>
      <c r="J22" s="42">
        <f t="shared" si="6"/>
        <v>0</v>
      </c>
      <c r="K22" s="26">
        <v>0</v>
      </c>
      <c r="L22" s="32">
        <f t="shared" si="7"/>
        <v>0</v>
      </c>
      <c r="M22" s="33" t="s">
        <v>43</v>
      </c>
      <c r="N22" s="36" t="s">
        <v>45</v>
      </c>
      <c r="O22" s="6"/>
      <c r="P22" s="6"/>
      <c r="U22" s="6"/>
      <c r="V22" s="6"/>
      <c r="W22" s="6"/>
      <c r="X22" s="6"/>
      <c r="Y22" s="6"/>
    </row>
    <row r="23" spans="1:25" ht="15.75" customHeight="1" x14ac:dyDescent="0.25">
      <c r="A23" s="68"/>
      <c r="B23" s="69"/>
      <c r="C23" s="22"/>
      <c r="D23" s="22"/>
      <c r="E23" s="22"/>
      <c r="F23" s="22"/>
      <c r="G23" s="22"/>
      <c r="H23" s="26">
        <f t="shared" si="5"/>
        <v>0</v>
      </c>
      <c r="I23" s="26"/>
      <c r="J23" s="42">
        <f t="shared" si="6"/>
        <v>0</v>
      </c>
      <c r="K23" s="26">
        <v>0</v>
      </c>
      <c r="L23" s="32">
        <f t="shared" si="7"/>
        <v>0</v>
      </c>
      <c r="M23" s="33" t="s">
        <v>43</v>
      </c>
      <c r="N23" s="36" t="s">
        <v>45</v>
      </c>
      <c r="O23" s="6"/>
      <c r="P23" s="6"/>
      <c r="U23" s="6"/>
      <c r="V23" s="6"/>
      <c r="W23" s="6"/>
      <c r="X23" s="6"/>
      <c r="Y23" s="6"/>
    </row>
    <row r="24" spans="1:25" ht="15.75" customHeight="1" x14ac:dyDescent="0.25">
      <c r="A24" s="68"/>
      <c r="B24" s="208" t="s">
        <v>61</v>
      </c>
      <c r="C24" s="209">
        <f t="shared" ref="C24:K24" si="8">SUM(C14:C23)</f>
        <v>0</v>
      </c>
      <c r="D24" s="209">
        <f t="shared" si="8"/>
        <v>0</v>
      </c>
      <c r="E24" s="209">
        <f t="shared" si="8"/>
        <v>0</v>
      </c>
      <c r="F24" s="209">
        <f t="shared" si="8"/>
        <v>0</v>
      </c>
      <c r="G24" s="209">
        <f t="shared" si="8"/>
        <v>0</v>
      </c>
      <c r="H24" s="209">
        <f t="shared" si="8"/>
        <v>0</v>
      </c>
      <c r="I24" s="209">
        <f t="shared" si="8"/>
        <v>0</v>
      </c>
      <c r="J24" s="209">
        <f t="shared" si="8"/>
        <v>0</v>
      </c>
      <c r="K24" s="210">
        <f t="shared" si="8"/>
        <v>0</v>
      </c>
      <c r="L24" s="211">
        <f t="shared" si="7"/>
        <v>0</v>
      </c>
      <c r="M24" s="128" t="s">
        <v>43</v>
      </c>
      <c r="N24" s="36" t="s">
        <v>45</v>
      </c>
      <c r="O24" s="6"/>
      <c r="P24" s="6"/>
      <c r="U24" s="6"/>
      <c r="V24" s="6"/>
      <c r="W24" s="6"/>
      <c r="X24" s="6"/>
      <c r="Y24" s="6"/>
    </row>
    <row r="25" spans="1:25" ht="15.75" customHeight="1" x14ac:dyDescent="0.25">
      <c r="A25" s="15"/>
      <c r="B25" s="60" t="s">
        <v>74</v>
      </c>
      <c r="C25" s="61"/>
      <c r="D25" s="61"/>
      <c r="E25" s="61"/>
      <c r="F25" s="61"/>
      <c r="G25" s="61"/>
      <c r="H25" s="65"/>
      <c r="I25" s="65"/>
      <c r="J25" s="65"/>
      <c r="K25" s="61"/>
      <c r="L25" s="212"/>
      <c r="M25" s="61"/>
      <c r="N25" s="61"/>
      <c r="O25" s="6"/>
      <c r="P25" s="6"/>
      <c r="U25" s="6"/>
      <c r="V25" s="6"/>
      <c r="W25" s="6"/>
      <c r="X25" s="6"/>
      <c r="Y25" s="6"/>
    </row>
    <row r="26" spans="1:25" ht="15.75" customHeight="1" x14ac:dyDescent="0.25">
      <c r="A26" s="4" t="s">
        <v>1</v>
      </c>
      <c r="B26" s="8" t="s">
        <v>3</v>
      </c>
      <c r="C26" s="4" t="s">
        <v>5</v>
      </c>
      <c r="D26" s="4" t="s">
        <v>6</v>
      </c>
      <c r="E26" s="4" t="s">
        <v>7</v>
      </c>
      <c r="F26" s="4" t="s">
        <v>8</v>
      </c>
      <c r="G26" s="4" t="s">
        <v>9</v>
      </c>
      <c r="H26" s="4" t="s">
        <v>12</v>
      </c>
      <c r="I26" s="4" t="s">
        <v>13</v>
      </c>
      <c r="J26" s="4" t="s">
        <v>14</v>
      </c>
      <c r="K26" s="4" t="s">
        <v>15</v>
      </c>
      <c r="L26" s="4" t="s">
        <v>16</v>
      </c>
      <c r="M26" s="4" t="s">
        <v>19</v>
      </c>
      <c r="N26" s="4" t="s">
        <v>20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 x14ac:dyDescent="0.25">
      <c r="A27" s="68"/>
      <c r="B27" s="77"/>
      <c r="C27" s="22"/>
      <c r="D27" s="22"/>
      <c r="E27" s="22"/>
      <c r="F27" s="22"/>
      <c r="G27" s="22"/>
      <c r="H27" s="26">
        <f t="shared" ref="H27:H30" si="9">SUM(C27:G27)</f>
        <v>0</v>
      </c>
      <c r="I27" s="26"/>
      <c r="J27" s="26">
        <f t="shared" ref="J27:J30" si="10">H27-I27</f>
        <v>0</v>
      </c>
      <c r="K27" s="26">
        <v>0</v>
      </c>
      <c r="L27" s="32">
        <f t="shared" ref="L27:L30" si="11">H27-K27</f>
        <v>0</v>
      </c>
      <c r="M27" s="33" t="s">
        <v>43</v>
      </c>
      <c r="N27" s="36" t="s">
        <v>45</v>
      </c>
      <c r="O27" s="6"/>
      <c r="P27" s="6"/>
      <c r="U27" s="6"/>
      <c r="V27" s="6"/>
      <c r="W27" s="6"/>
      <c r="X27" s="6"/>
      <c r="Y27" s="6"/>
    </row>
    <row r="28" spans="1:25" ht="15.75" customHeight="1" x14ac:dyDescent="0.25">
      <c r="A28" s="68"/>
      <c r="B28" s="69"/>
      <c r="C28" s="22"/>
      <c r="D28" s="22"/>
      <c r="E28" s="22"/>
      <c r="F28" s="22"/>
      <c r="G28" s="22"/>
      <c r="H28" s="26">
        <f t="shared" si="9"/>
        <v>0</v>
      </c>
      <c r="I28" s="26"/>
      <c r="J28" s="26">
        <f t="shared" si="10"/>
        <v>0</v>
      </c>
      <c r="K28" s="26">
        <v>0</v>
      </c>
      <c r="L28" s="32">
        <f t="shared" si="11"/>
        <v>0</v>
      </c>
      <c r="M28" s="33" t="s">
        <v>43</v>
      </c>
      <c r="N28" s="36" t="s">
        <v>45</v>
      </c>
      <c r="O28" s="6"/>
      <c r="P28" s="6"/>
      <c r="U28" s="6"/>
      <c r="V28" s="6"/>
      <c r="W28" s="6"/>
      <c r="X28" s="6"/>
      <c r="Y28" s="6"/>
    </row>
    <row r="29" spans="1:25" ht="15.75" customHeight="1" x14ac:dyDescent="0.25">
      <c r="A29" s="68"/>
      <c r="B29" s="69"/>
      <c r="C29" s="22"/>
      <c r="D29" s="22"/>
      <c r="E29" s="22"/>
      <c r="F29" s="22"/>
      <c r="G29" s="22"/>
      <c r="H29" s="26">
        <f t="shared" si="9"/>
        <v>0</v>
      </c>
      <c r="I29" s="26"/>
      <c r="J29" s="26">
        <f t="shared" si="10"/>
        <v>0</v>
      </c>
      <c r="K29" s="26">
        <v>0</v>
      </c>
      <c r="L29" s="32">
        <f t="shared" si="11"/>
        <v>0</v>
      </c>
      <c r="M29" s="33" t="s">
        <v>43</v>
      </c>
      <c r="N29" s="36" t="s">
        <v>45</v>
      </c>
      <c r="O29" s="6"/>
      <c r="P29" s="6"/>
      <c r="U29" s="6"/>
      <c r="V29" s="6"/>
      <c r="W29" s="6"/>
      <c r="X29" s="6"/>
      <c r="Y29" s="6"/>
    </row>
    <row r="30" spans="1:25" ht="15.75" customHeight="1" x14ac:dyDescent="0.25">
      <c r="A30" s="68"/>
      <c r="B30" s="75"/>
      <c r="C30" s="22"/>
      <c r="D30" s="22"/>
      <c r="E30" s="22"/>
      <c r="F30" s="22"/>
      <c r="G30" s="22"/>
      <c r="H30" s="26">
        <f t="shared" si="9"/>
        <v>0</v>
      </c>
      <c r="I30" s="26"/>
      <c r="J30" s="26">
        <f t="shared" si="10"/>
        <v>0</v>
      </c>
      <c r="K30" s="26">
        <v>0</v>
      </c>
      <c r="L30" s="32">
        <f t="shared" si="11"/>
        <v>0</v>
      </c>
      <c r="M30" s="33" t="s">
        <v>43</v>
      </c>
      <c r="N30" s="36" t="s">
        <v>45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x14ac:dyDescent="0.25">
      <c r="A31" s="15"/>
      <c r="B31" s="11" t="s">
        <v>75</v>
      </c>
      <c r="C31" s="15"/>
      <c r="D31" s="15"/>
      <c r="E31" s="15"/>
      <c r="F31" s="15"/>
      <c r="G31" s="15"/>
      <c r="H31" s="4"/>
      <c r="I31" s="4"/>
      <c r="J31" s="4"/>
      <c r="K31" s="15"/>
      <c r="L31" s="213"/>
      <c r="M31" s="94"/>
      <c r="N31" s="94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7.25" customHeight="1" x14ac:dyDescent="0.25">
      <c r="A32" s="95"/>
      <c r="B32" s="75"/>
      <c r="C32" s="22"/>
      <c r="D32" s="22"/>
      <c r="E32" s="22"/>
      <c r="F32" s="22"/>
      <c r="G32" s="22"/>
      <c r="H32" s="26">
        <f t="shared" ref="H32:H35" si="12">SUM(C32:G32)</f>
        <v>0</v>
      </c>
      <c r="I32" s="26"/>
      <c r="J32" s="26">
        <f t="shared" ref="J32:J35" si="13">H32-I32</f>
        <v>0</v>
      </c>
      <c r="K32" s="22">
        <v>0</v>
      </c>
      <c r="L32" s="32">
        <f t="shared" ref="L32:L36" si="14">H32-K32</f>
        <v>0</v>
      </c>
      <c r="M32" s="33" t="s">
        <v>43</v>
      </c>
      <c r="N32" s="36" t="s">
        <v>45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7.25" customHeight="1" x14ac:dyDescent="0.25">
      <c r="A33" s="95"/>
      <c r="B33" s="75"/>
      <c r="C33" s="22"/>
      <c r="D33" s="22"/>
      <c r="E33" s="22"/>
      <c r="F33" s="22"/>
      <c r="G33" s="22"/>
      <c r="H33" s="26">
        <f t="shared" si="12"/>
        <v>0</v>
      </c>
      <c r="I33" s="26"/>
      <c r="J33" s="26">
        <f t="shared" si="13"/>
        <v>0</v>
      </c>
      <c r="K33" s="22">
        <v>0</v>
      </c>
      <c r="L33" s="32">
        <f t="shared" si="14"/>
        <v>0</v>
      </c>
      <c r="M33" s="33" t="s">
        <v>43</v>
      </c>
      <c r="N33" s="36" t="s">
        <v>45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7.25" customHeight="1" x14ac:dyDescent="0.25">
      <c r="A34" s="95"/>
      <c r="B34" s="75"/>
      <c r="C34" s="22"/>
      <c r="D34" s="22"/>
      <c r="E34" s="22"/>
      <c r="F34" s="22"/>
      <c r="G34" s="22"/>
      <c r="H34" s="26">
        <f t="shared" si="12"/>
        <v>0</v>
      </c>
      <c r="I34" s="26"/>
      <c r="J34" s="26">
        <f t="shared" si="13"/>
        <v>0</v>
      </c>
      <c r="K34" s="22">
        <v>0</v>
      </c>
      <c r="L34" s="32">
        <f t="shared" si="14"/>
        <v>0</v>
      </c>
      <c r="M34" s="33" t="s">
        <v>43</v>
      </c>
      <c r="N34" s="36" t="s">
        <v>45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7.25" customHeight="1" x14ac:dyDescent="0.25">
      <c r="A35" s="95"/>
      <c r="B35" s="214"/>
      <c r="C35" s="40"/>
      <c r="D35" s="40"/>
      <c r="E35" s="40"/>
      <c r="F35" s="40"/>
      <c r="G35" s="40"/>
      <c r="H35" s="26">
        <f t="shared" si="12"/>
        <v>0</v>
      </c>
      <c r="I35" s="42"/>
      <c r="J35" s="42">
        <f t="shared" si="13"/>
        <v>0</v>
      </c>
      <c r="K35" s="40">
        <v>0</v>
      </c>
      <c r="L35" s="207">
        <f t="shared" si="14"/>
        <v>0</v>
      </c>
      <c r="M35" s="156" t="s">
        <v>43</v>
      </c>
      <c r="N35" s="36" t="s">
        <v>45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 x14ac:dyDescent="0.25">
      <c r="A36" s="179"/>
      <c r="B36" s="181" t="s">
        <v>61</v>
      </c>
      <c r="C36" s="182">
        <f t="shared" ref="C36:K36" si="15">+SUM(C11,C24)</f>
        <v>0</v>
      </c>
      <c r="D36" s="182">
        <f t="shared" si="15"/>
        <v>0</v>
      </c>
      <c r="E36" s="182">
        <f t="shared" si="15"/>
        <v>0</v>
      </c>
      <c r="F36" s="182">
        <f t="shared" si="15"/>
        <v>0</v>
      </c>
      <c r="G36" s="182">
        <f t="shared" si="15"/>
        <v>0</v>
      </c>
      <c r="H36" s="182">
        <f t="shared" si="15"/>
        <v>0</v>
      </c>
      <c r="I36" s="182">
        <f t="shared" si="15"/>
        <v>0</v>
      </c>
      <c r="J36" s="182">
        <f t="shared" si="15"/>
        <v>0</v>
      </c>
      <c r="K36" s="183">
        <f t="shared" si="15"/>
        <v>0</v>
      </c>
      <c r="L36" s="215">
        <f t="shared" si="14"/>
        <v>0</v>
      </c>
      <c r="M36" s="216"/>
      <c r="N36" s="161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 x14ac:dyDescent="0.25">
      <c r="A37" s="33"/>
      <c r="B37" s="217" t="s">
        <v>15</v>
      </c>
      <c r="C37" s="191">
        <v>0</v>
      </c>
      <c r="D37" s="191">
        <v>0</v>
      </c>
      <c r="E37" s="195">
        <v>0</v>
      </c>
      <c r="F37" s="191">
        <v>0</v>
      </c>
      <c r="G37" s="191">
        <v>0</v>
      </c>
      <c r="H37" s="191">
        <v>0</v>
      </c>
      <c r="I37" s="100"/>
      <c r="J37" s="100"/>
      <c r="K37" s="100"/>
      <c r="L37" s="101"/>
      <c r="M37" s="101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 x14ac:dyDescent="0.25">
      <c r="A38" s="100"/>
      <c r="B38" s="31" t="s">
        <v>16</v>
      </c>
      <c r="C38" s="33">
        <f t="shared" ref="C38:H38" si="16">C36-C37</f>
        <v>0</v>
      </c>
      <c r="D38" s="33">
        <f t="shared" si="16"/>
        <v>0</v>
      </c>
      <c r="E38" s="33">
        <f t="shared" si="16"/>
        <v>0</v>
      </c>
      <c r="F38" s="33">
        <f t="shared" si="16"/>
        <v>0</v>
      </c>
      <c r="G38" s="33">
        <f t="shared" si="16"/>
        <v>0</v>
      </c>
      <c r="H38" s="33">
        <f t="shared" si="16"/>
        <v>0</v>
      </c>
      <c r="I38" s="100"/>
      <c r="J38" s="100"/>
      <c r="K38" s="6"/>
      <c r="L38" s="100"/>
      <c r="M38" s="100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 x14ac:dyDescent="0.25">
      <c r="F39" s="100"/>
    </row>
    <row r="40" spans="1:25" ht="15.75" customHeight="1" x14ac:dyDescent="0.25">
      <c r="F40" s="100"/>
      <c r="W40" s="6" t="s">
        <v>91</v>
      </c>
    </row>
    <row r="41" spans="1:25" ht="15.75" customHeight="1" x14ac:dyDescent="0.25">
      <c r="F41" s="100"/>
    </row>
    <row r="42" spans="1:25" ht="15.75" customHeight="1" x14ac:dyDescent="0.25">
      <c r="F42" s="100"/>
    </row>
    <row r="43" spans="1:25" ht="15.75" customHeight="1" x14ac:dyDescent="0.25">
      <c r="F43" s="100"/>
    </row>
    <row r="44" spans="1:25" ht="15.75" customHeight="1" x14ac:dyDescent="0.25">
      <c r="F44" s="100"/>
    </row>
    <row r="45" spans="1:25" ht="15.75" customHeight="1" x14ac:dyDescent="0.25">
      <c r="F45" s="100"/>
    </row>
    <row r="46" spans="1:25" ht="15.75" customHeight="1" x14ac:dyDescent="0.25">
      <c r="F46" s="100"/>
    </row>
    <row r="47" spans="1:25" ht="15.75" customHeight="1" x14ac:dyDescent="0.25">
      <c r="F47" s="100"/>
    </row>
    <row r="48" spans="1:25" ht="15.75" customHeight="1" x14ac:dyDescent="0.25">
      <c r="F48" s="100"/>
    </row>
    <row r="49" spans="6:6" ht="15.75" customHeight="1" x14ac:dyDescent="0.25">
      <c r="F49" s="100"/>
    </row>
    <row r="50" spans="6:6" ht="15.75" customHeight="1" x14ac:dyDescent="0.25">
      <c r="F50" s="100"/>
    </row>
    <row r="51" spans="6:6" ht="15.75" customHeight="1" x14ac:dyDescent="0.25">
      <c r="F51" s="100"/>
    </row>
    <row r="52" spans="6:6" ht="15.75" customHeight="1" x14ac:dyDescent="0.25">
      <c r="F52" s="100"/>
    </row>
    <row r="53" spans="6:6" ht="15.75" customHeight="1" x14ac:dyDescent="0.25">
      <c r="F53" s="100"/>
    </row>
    <row r="54" spans="6:6" ht="15.75" customHeight="1" x14ac:dyDescent="0.25">
      <c r="F54" s="100"/>
    </row>
    <row r="55" spans="6:6" ht="15.75" customHeight="1" x14ac:dyDescent="0.25">
      <c r="F55" s="100"/>
    </row>
    <row r="56" spans="6:6" ht="15.75" customHeight="1" x14ac:dyDescent="0.25">
      <c r="F56" s="100"/>
    </row>
    <row r="57" spans="6:6" ht="15.75" customHeight="1" x14ac:dyDescent="0.25">
      <c r="F57" s="100"/>
    </row>
    <row r="58" spans="6:6" ht="15.75" customHeight="1" x14ac:dyDescent="0.25">
      <c r="F58" s="100"/>
    </row>
    <row r="59" spans="6:6" ht="15.75" customHeight="1" x14ac:dyDescent="0.25">
      <c r="F59" s="100"/>
    </row>
    <row r="60" spans="6:6" ht="15.75" customHeight="1" x14ac:dyDescent="0.25">
      <c r="F60" s="100"/>
    </row>
    <row r="61" spans="6:6" ht="15.75" customHeight="1" x14ac:dyDescent="0.25">
      <c r="F61" s="100"/>
    </row>
    <row r="62" spans="6:6" ht="15.75" customHeight="1" x14ac:dyDescent="0.25">
      <c r="F62" s="100"/>
    </row>
    <row r="63" spans="6:6" ht="15.75" customHeight="1" x14ac:dyDescent="0.25">
      <c r="F63" s="100"/>
    </row>
    <row r="64" spans="6:6" ht="15.75" customHeight="1" x14ac:dyDescent="0.25">
      <c r="F64" s="100"/>
    </row>
    <row r="65" spans="6:6" ht="15.75" customHeight="1" x14ac:dyDescent="0.25">
      <c r="F65" s="100"/>
    </row>
    <row r="66" spans="6:6" ht="15.75" customHeight="1" x14ac:dyDescent="0.25">
      <c r="F66" s="100"/>
    </row>
    <row r="67" spans="6:6" ht="15.75" customHeight="1" x14ac:dyDescent="0.25">
      <c r="F67" s="100"/>
    </row>
    <row r="68" spans="6:6" ht="15.75" customHeight="1" x14ac:dyDescent="0.25">
      <c r="F68" s="100"/>
    </row>
    <row r="69" spans="6:6" ht="15.75" customHeight="1" x14ac:dyDescent="0.25">
      <c r="F69" s="100"/>
    </row>
    <row r="70" spans="6:6" ht="15.75" customHeight="1" x14ac:dyDescent="0.25">
      <c r="F70" s="100"/>
    </row>
    <row r="71" spans="6:6" ht="15.75" customHeight="1" x14ac:dyDescent="0.25">
      <c r="F71" s="100"/>
    </row>
    <row r="72" spans="6:6" ht="15.75" customHeight="1" x14ac:dyDescent="0.25">
      <c r="F72" s="100"/>
    </row>
    <row r="73" spans="6:6" ht="15.75" customHeight="1" x14ac:dyDescent="0.25">
      <c r="F73" s="100"/>
    </row>
    <row r="74" spans="6:6" ht="15.75" customHeight="1" x14ac:dyDescent="0.25">
      <c r="F74" s="100"/>
    </row>
    <row r="75" spans="6:6" ht="15.75" customHeight="1" x14ac:dyDescent="0.25">
      <c r="F75" s="100"/>
    </row>
    <row r="76" spans="6:6" ht="15.75" customHeight="1" x14ac:dyDescent="0.25">
      <c r="F76" s="100"/>
    </row>
    <row r="77" spans="6:6" ht="15.75" customHeight="1" x14ac:dyDescent="0.25">
      <c r="F77" s="100"/>
    </row>
    <row r="78" spans="6:6" ht="15.75" customHeight="1" x14ac:dyDescent="0.25">
      <c r="F78" s="100"/>
    </row>
    <row r="79" spans="6:6" ht="15.75" customHeight="1" x14ac:dyDescent="0.25">
      <c r="F79" s="100"/>
    </row>
    <row r="80" spans="6:6" ht="15.75" customHeight="1" x14ac:dyDescent="0.25">
      <c r="F80" s="100"/>
    </row>
    <row r="81" spans="6:6" ht="15.75" customHeight="1" x14ac:dyDescent="0.25">
      <c r="F81" s="100"/>
    </row>
    <row r="82" spans="6:6" ht="15.75" customHeight="1" x14ac:dyDescent="0.25">
      <c r="F82" s="100"/>
    </row>
    <row r="83" spans="6:6" ht="15.75" customHeight="1" x14ac:dyDescent="0.25">
      <c r="F83" s="100"/>
    </row>
    <row r="84" spans="6:6" ht="15.75" customHeight="1" x14ac:dyDescent="0.25">
      <c r="F84" s="100"/>
    </row>
    <row r="85" spans="6:6" ht="15.75" customHeight="1" x14ac:dyDescent="0.25">
      <c r="F85" s="100"/>
    </row>
    <row r="86" spans="6:6" ht="15.75" customHeight="1" x14ac:dyDescent="0.25">
      <c r="F86" s="100"/>
    </row>
    <row r="87" spans="6:6" ht="15.75" customHeight="1" x14ac:dyDescent="0.25">
      <c r="F87" s="100"/>
    </row>
    <row r="88" spans="6:6" ht="15.75" customHeight="1" x14ac:dyDescent="0.25">
      <c r="F88" s="100"/>
    </row>
    <row r="89" spans="6:6" ht="15.75" customHeight="1" x14ac:dyDescent="0.25">
      <c r="F89" s="100"/>
    </row>
    <row r="90" spans="6:6" ht="15.75" customHeight="1" x14ac:dyDescent="0.25">
      <c r="F90" s="100"/>
    </row>
    <row r="91" spans="6:6" ht="15.75" customHeight="1" x14ac:dyDescent="0.25">
      <c r="F91" s="100"/>
    </row>
    <row r="92" spans="6:6" ht="15.75" customHeight="1" x14ac:dyDescent="0.25">
      <c r="F92" s="100"/>
    </row>
    <row r="93" spans="6:6" ht="15.75" customHeight="1" x14ac:dyDescent="0.25">
      <c r="F93" s="100"/>
    </row>
    <row r="94" spans="6:6" ht="15.75" customHeight="1" x14ac:dyDescent="0.25">
      <c r="F94" s="100"/>
    </row>
    <row r="95" spans="6:6" ht="15.75" customHeight="1" x14ac:dyDescent="0.25">
      <c r="F95" s="100"/>
    </row>
    <row r="96" spans="6:6" ht="15.75" customHeight="1" x14ac:dyDescent="0.25">
      <c r="F96" s="100"/>
    </row>
    <row r="97" spans="6:6" ht="15.75" customHeight="1" x14ac:dyDescent="0.25">
      <c r="F97" s="100"/>
    </row>
    <row r="98" spans="6:6" ht="15.75" customHeight="1" x14ac:dyDescent="0.25">
      <c r="F98" s="100"/>
    </row>
    <row r="99" spans="6:6" ht="15.75" customHeight="1" x14ac:dyDescent="0.25">
      <c r="F99" s="100"/>
    </row>
    <row r="100" spans="6:6" ht="15.75" customHeight="1" x14ac:dyDescent="0.25">
      <c r="F100" s="100"/>
    </row>
    <row r="101" spans="6:6" ht="15.75" customHeight="1" x14ac:dyDescent="0.25">
      <c r="F101" s="100"/>
    </row>
    <row r="102" spans="6:6" ht="15.75" customHeight="1" x14ac:dyDescent="0.25">
      <c r="F102" s="100"/>
    </row>
    <row r="103" spans="6:6" ht="15.75" customHeight="1" x14ac:dyDescent="0.25">
      <c r="F103" s="100"/>
    </row>
    <row r="104" spans="6:6" ht="15.75" customHeight="1" x14ac:dyDescent="0.25">
      <c r="F104" s="100"/>
    </row>
    <row r="105" spans="6:6" ht="15.75" customHeight="1" x14ac:dyDescent="0.25">
      <c r="F105" s="100"/>
    </row>
    <row r="106" spans="6:6" ht="15.75" customHeight="1" x14ac:dyDescent="0.25">
      <c r="F106" s="100"/>
    </row>
    <row r="107" spans="6:6" ht="15.75" customHeight="1" x14ac:dyDescent="0.25">
      <c r="F107" s="100"/>
    </row>
    <row r="108" spans="6:6" ht="15.75" customHeight="1" x14ac:dyDescent="0.25">
      <c r="F108" s="100"/>
    </row>
    <row r="109" spans="6:6" ht="15.75" customHeight="1" x14ac:dyDescent="0.25">
      <c r="F109" s="100"/>
    </row>
    <row r="110" spans="6:6" ht="15.75" customHeight="1" x14ac:dyDescent="0.25">
      <c r="F110" s="100"/>
    </row>
    <row r="111" spans="6:6" ht="15.75" customHeight="1" x14ac:dyDescent="0.25">
      <c r="F111" s="100"/>
    </row>
    <row r="112" spans="6:6" ht="15.75" customHeight="1" x14ac:dyDescent="0.25">
      <c r="F112" s="100"/>
    </row>
    <row r="113" spans="6:6" ht="15.75" customHeight="1" x14ac:dyDescent="0.25">
      <c r="F113" s="100"/>
    </row>
    <row r="114" spans="6:6" ht="15.75" customHeight="1" x14ac:dyDescent="0.25">
      <c r="F114" s="100"/>
    </row>
    <row r="115" spans="6:6" ht="15.75" customHeight="1" x14ac:dyDescent="0.25">
      <c r="F115" s="100"/>
    </row>
    <row r="116" spans="6:6" ht="15.75" customHeight="1" x14ac:dyDescent="0.25">
      <c r="F116" s="100"/>
    </row>
    <row r="117" spans="6:6" ht="15.75" customHeight="1" x14ac:dyDescent="0.25">
      <c r="F117" s="100"/>
    </row>
    <row r="118" spans="6:6" ht="15.75" customHeight="1" x14ac:dyDescent="0.25">
      <c r="F118" s="100"/>
    </row>
    <row r="119" spans="6:6" ht="15.75" customHeight="1" x14ac:dyDescent="0.25">
      <c r="F119" s="100"/>
    </row>
    <row r="120" spans="6:6" ht="15.75" customHeight="1" x14ac:dyDescent="0.25">
      <c r="F120" s="100"/>
    </row>
    <row r="121" spans="6:6" ht="15.75" customHeight="1" x14ac:dyDescent="0.25">
      <c r="F121" s="100"/>
    </row>
    <row r="122" spans="6:6" ht="15.75" customHeight="1" x14ac:dyDescent="0.25">
      <c r="F122" s="100"/>
    </row>
    <row r="123" spans="6:6" ht="15.75" customHeight="1" x14ac:dyDescent="0.25">
      <c r="F123" s="100"/>
    </row>
    <row r="124" spans="6:6" ht="15.75" customHeight="1" x14ac:dyDescent="0.25">
      <c r="F124" s="100"/>
    </row>
    <row r="125" spans="6:6" ht="15.75" customHeight="1" x14ac:dyDescent="0.25">
      <c r="F125" s="100"/>
    </row>
    <row r="126" spans="6:6" ht="15.75" customHeight="1" x14ac:dyDescent="0.25">
      <c r="F126" s="100"/>
    </row>
    <row r="127" spans="6:6" ht="15.75" customHeight="1" x14ac:dyDescent="0.25">
      <c r="F127" s="100"/>
    </row>
    <row r="128" spans="6:6" ht="15.75" customHeight="1" x14ac:dyDescent="0.25">
      <c r="F128" s="100"/>
    </row>
    <row r="129" spans="6:6" ht="15.75" customHeight="1" x14ac:dyDescent="0.25">
      <c r="F129" s="100"/>
    </row>
    <row r="130" spans="6:6" ht="15.75" customHeight="1" x14ac:dyDescent="0.25">
      <c r="F130" s="100"/>
    </row>
    <row r="131" spans="6:6" ht="15.75" customHeight="1" x14ac:dyDescent="0.25">
      <c r="F131" s="100"/>
    </row>
    <row r="132" spans="6:6" ht="15.75" customHeight="1" x14ac:dyDescent="0.25">
      <c r="F132" s="100"/>
    </row>
    <row r="133" spans="6:6" ht="15.75" customHeight="1" x14ac:dyDescent="0.25">
      <c r="F133" s="100"/>
    </row>
    <row r="134" spans="6:6" ht="15.75" customHeight="1" x14ac:dyDescent="0.25">
      <c r="F134" s="100"/>
    </row>
    <row r="135" spans="6:6" ht="15.75" customHeight="1" x14ac:dyDescent="0.25">
      <c r="F135" s="100"/>
    </row>
    <row r="136" spans="6:6" ht="15.75" customHeight="1" x14ac:dyDescent="0.25">
      <c r="F136" s="100"/>
    </row>
    <row r="137" spans="6:6" ht="15.75" customHeight="1" x14ac:dyDescent="0.25">
      <c r="F137" s="100"/>
    </row>
    <row r="138" spans="6:6" ht="15.75" customHeight="1" x14ac:dyDescent="0.25">
      <c r="F138" s="100"/>
    </row>
    <row r="139" spans="6:6" ht="15.75" customHeight="1" x14ac:dyDescent="0.25">
      <c r="F139" s="100"/>
    </row>
    <row r="140" spans="6:6" ht="15.75" customHeight="1" x14ac:dyDescent="0.25">
      <c r="F140" s="100"/>
    </row>
    <row r="141" spans="6:6" ht="15.75" customHeight="1" x14ac:dyDescent="0.25">
      <c r="F141" s="100"/>
    </row>
    <row r="142" spans="6:6" ht="15.75" customHeight="1" x14ac:dyDescent="0.25">
      <c r="F142" s="100"/>
    </row>
    <row r="143" spans="6:6" ht="15.75" customHeight="1" x14ac:dyDescent="0.25">
      <c r="F143" s="100"/>
    </row>
    <row r="144" spans="6:6" ht="15.75" customHeight="1" x14ac:dyDescent="0.25">
      <c r="F144" s="100"/>
    </row>
    <row r="145" spans="6:6" ht="15.75" customHeight="1" x14ac:dyDescent="0.25">
      <c r="F145" s="100"/>
    </row>
    <row r="146" spans="6:6" ht="15.75" customHeight="1" x14ac:dyDescent="0.25">
      <c r="F146" s="100"/>
    </row>
    <row r="147" spans="6:6" ht="15.75" customHeight="1" x14ac:dyDescent="0.25">
      <c r="F147" s="100"/>
    </row>
    <row r="148" spans="6:6" ht="15.75" customHeight="1" x14ac:dyDescent="0.25">
      <c r="F148" s="100"/>
    </row>
    <row r="149" spans="6:6" ht="15.75" customHeight="1" x14ac:dyDescent="0.25">
      <c r="F149" s="100"/>
    </row>
    <row r="150" spans="6:6" ht="15.75" customHeight="1" x14ac:dyDescent="0.25">
      <c r="F150" s="100"/>
    </row>
    <row r="151" spans="6:6" ht="15.75" customHeight="1" x14ac:dyDescent="0.25">
      <c r="F151" s="100"/>
    </row>
    <row r="152" spans="6:6" ht="15.75" customHeight="1" x14ac:dyDescent="0.25">
      <c r="F152" s="100"/>
    </row>
    <row r="153" spans="6:6" ht="15.75" customHeight="1" x14ac:dyDescent="0.25">
      <c r="F153" s="100"/>
    </row>
    <row r="154" spans="6:6" ht="15.75" customHeight="1" x14ac:dyDescent="0.25">
      <c r="F154" s="100"/>
    </row>
    <row r="155" spans="6:6" ht="15.75" customHeight="1" x14ac:dyDescent="0.25">
      <c r="F155" s="100"/>
    </row>
    <row r="156" spans="6:6" ht="15.75" customHeight="1" x14ac:dyDescent="0.25">
      <c r="F156" s="100"/>
    </row>
    <row r="157" spans="6:6" ht="15.75" customHeight="1" x14ac:dyDescent="0.25">
      <c r="F157" s="100"/>
    </row>
    <row r="158" spans="6:6" ht="15.75" customHeight="1" x14ac:dyDescent="0.25">
      <c r="F158" s="100"/>
    </row>
    <row r="159" spans="6:6" ht="15.75" customHeight="1" x14ac:dyDescent="0.25">
      <c r="F159" s="100"/>
    </row>
    <row r="160" spans="6:6" ht="15.75" customHeight="1" x14ac:dyDescent="0.25">
      <c r="F160" s="100"/>
    </row>
    <row r="161" spans="6:6" ht="15.75" customHeight="1" x14ac:dyDescent="0.25">
      <c r="F161" s="100"/>
    </row>
    <row r="162" spans="6:6" ht="15.75" customHeight="1" x14ac:dyDescent="0.25">
      <c r="F162" s="100"/>
    </row>
    <row r="163" spans="6:6" ht="15.75" customHeight="1" x14ac:dyDescent="0.25">
      <c r="F163" s="100"/>
    </row>
    <row r="164" spans="6:6" ht="15.75" customHeight="1" x14ac:dyDescent="0.25">
      <c r="F164" s="100"/>
    </row>
    <row r="165" spans="6:6" ht="15.75" customHeight="1" x14ac:dyDescent="0.25">
      <c r="F165" s="100"/>
    </row>
    <row r="166" spans="6:6" ht="15.75" customHeight="1" x14ac:dyDescent="0.25">
      <c r="F166" s="100"/>
    </row>
    <row r="167" spans="6:6" ht="15.75" customHeight="1" x14ac:dyDescent="0.25">
      <c r="F167" s="100"/>
    </row>
    <row r="168" spans="6:6" ht="15.75" customHeight="1" x14ac:dyDescent="0.25">
      <c r="F168" s="100"/>
    </row>
    <row r="169" spans="6:6" ht="15.75" customHeight="1" x14ac:dyDescent="0.25">
      <c r="F169" s="100"/>
    </row>
    <row r="170" spans="6:6" ht="15.75" customHeight="1" x14ac:dyDescent="0.25">
      <c r="F170" s="100"/>
    </row>
    <row r="171" spans="6:6" ht="15.75" customHeight="1" x14ac:dyDescent="0.25">
      <c r="F171" s="100"/>
    </row>
    <row r="172" spans="6:6" ht="15.75" customHeight="1" x14ac:dyDescent="0.25">
      <c r="F172" s="100"/>
    </row>
    <row r="173" spans="6:6" ht="15.75" customHeight="1" x14ac:dyDescent="0.25">
      <c r="F173" s="100"/>
    </row>
    <row r="174" spans="6:6" ht="15.75" customHeight="1" x14ac:dyDescent="0.25">
      <c r="F174" s="100"/>
    </row>
    <row r="175" spans="6:6" ht="15.75" customHeight="1" x14ac:dyDescent="0.25">
      <c r="F175" s="100"/>
    </row>
    <row r="176" spans="6:6" ht="15.75" customHeight="1" x14ac:dyDescent="0.25">
      <c r="F176" s="100"/>
    </row>
    <row r="177" spans="6:6" ht="15.75" customHeight="1" x14ac:dyDescent="0.25">
      <c r="F177" s="100"/>
    </row>
    <row r="178" spans="6:6" ht="15.75" customHeight="1" x14ac:dyDescent="0.25">
      <c r="F178" s="100"/>
    </row>
    <row r="179" spans="6:6" ht="15.75" customHeight="1" x14ac:dyDescent="0.25">
      <c r="F179" s="100"/>
    </row>
    <row r="180" spans="6:6" ht="15.75" customHeight="1" x14ac:dyDescent="0.25">
      <c r="F180" s="100"/>
    </row>
    <row r="181" spans="6:6" ht="15.75" customHeight="1" x14ac:dyDescent="0.25">
      <c r="F181" s="100"/>
    </row>
    <row r="182" spans="6:6" ht="15.75" customHeight="1" x14ac:dyDescent="0.25">
      <c r="F182" s="100"/>
    </row>
    <row r="183" spans="6:6" ht="15.75" customHeight="1" x14ac:dyDescent="0.25">
      <c r="F183" s="100"/>
    </row>
    <row r="184" spans="6:6" ht="15.75" customHeight="1" x14ac:dyDescent="0.25">
      <c r="F184" s="100"/>
    </row>
    <row r="185" spans="6:6" ht="15.75" customHeight="1" x14ac:dyDescent="0.25">
      <c r="F185" s="100"/>
    </row>
    <row r="186" spans="6:6" ht="15.75" customHeight="1" x14ac:dyDescent="0.25">
      <c r="F186" s="100"/>
    </row>
    <row r="187" spans="6:6" ht="15.75" customHeight="1" x14ac:dyDescent="0.25">
      <c r="F187" s="100"/>
    </row>
    <row r="188" spans="6:6" ht="15.75" customHeight="1" x14ac:dyDescent="0.25">
      <c r="F188" s="100"/>
    </row>
    <row r="189" spans="6:6" ht="15.75" customHeight="1" x14ac:dyDescent="0.25">
      <c r="F189" s="100"/>
    </row>
    <row r="190" spans="6:6" ht="15.75" customHeight="1" x14ac:dyDescent="0.25">
      <c r="F190" s="100"/>
    </row>
    <row r="191" spans="6:6" ht="15.75" customHeight="1" x14ac:dyDescent="0.25">
      <c r="F191" s="100"/>
    </row>
    <row r="192" spans="6:6" ht="15.75" customHeight="1" x14ac:dyDescent="0.25">
      <c r="F192" s="100"/>
    </row>
    <row r="193" spans="6:6" ht="15.75" customHeight="1" x14ac:dyDescent="0.25">
      <c r="F193" s="100"/>
    </row>
    <row r="194" spans="6:6" ht="15.75" customHeight="1" x14ac:dyDescent="0.25">
      <c r="F194" s="100"/>
    </row>
    <row r="195" spans="6:6" ht="15.75" customHeight="1" x14ac:dyDescent="0.25">
      <c r="F195" s="100"/>
    </row>
    <row r="196" spans="6:6" ht="15.75" customHeight="1" x14ac:dyDescent="0.25">
      <c r="F196" s="100"/>
    </row>
    <row r="197" spans="6:6" ht="15.75" customHeight="1" x14ac:dyDescent="0.25">
      <c r="F197" s="100"/>
    </row>
    <row r="198" spans="6:6" ht="15.75" customHeight="1" x14ac:dyDescent="0.25">
      <c r="F198" s="100"/>
    </row>
    <row r="199" spans="6:6" ht="15.75" customHeight="1" x14ac:dyDescent="0.25">
      <c r="F199" s="100"/>
    </row>
    <row r="200" spans="6:6" ht="15.75" customHeight="1" x14ac:dyDescent="0.25">
      <c r="F200" s="100"/>
    </row>
    <row r="201" spans="6:6" ht="15.75" customHeight="1" x14ac:dyDescent="0.25">
      <c r="F201" s="100"/>
    </row>
    <row r="202" spans="6:6" ht="15.75" customHeight="1" x14ac:dyDescent="0.25">
      <c r="F202" s="100"/>
    </row>
    <row r="203" spans="6:6" ht="15.75" customHeight="1" x14ac:dyDescent="0.25">
      <c r="F203" s="100"/>
    </row>
    <row r="204" spans="6:6" ht="15.75" customHeight="1" x14ac:dyDescent="0.25">
      <c r="F204" s="100"/>
    </row>
    <row r="205" spans="6:6" ht="15.75" customHeight="1" x14ac:dyDescent="0.25">
      <c r="F205" s="100"/>
    </row>
    <row r="206" spans="6:6" ht="15.75" customHeight="1" x14ac:dyDescent="0.25">
      <c r="F206" s="100"/>
    </row>
    <row r="207" spans="6:6" ht="15.75" customHeight="1" x14ac:dyDescent="0.25">
      <c r="F207" s="100"/>
    </row>
    <row r="208" spans="6:6" ht="15.75" customHeight="1" x14ac:dyDescent="0.25">
      <c r="F208" s="100"/>
    </row>
    <row r="209" spans="6:6" ht="15.75" customHeight="1" x14ac:dyDescent="0.25">
      <c r="F209" s="100"/>
    </row>
    <row r="210" spans="6:6" ht="15.75" customHeight="1" x14ac:dyDescent="0.25">
      <c r="F210" s="100"/>
    </row>
    <row r="211" spans="6:6" ht="15.75" customHeight="1" x14ac:dyDescent="0.25">
      <c r="F211" s="100"/>
    </row>
    <row r="212" spans="6:6" ht="15.75" customHeight="1" x14ac:dyDescent="0.25">
      <c r="F212" s="100"/>
    </row>
    <row r="213" spans="6:6" ht="15.75" customHeight="1" x14ac:dyDescent="0.25">
      <c r="F213" s="100"/>
    </row>
    <row r="214" spans="6:6" ht="15.75" customHeight="1" x14ac:dyDescent="0.25">
      <c r="F214" s="100"/>
    </row>
    <row r="215" spans="6:6" ht="15.75" customHeight="1" x14ac:dyDescent="0.25">
      <c r="F215" s="100"/>
    </row>
    <row r="216" spans="6:6" ht="15.75" customHeight="1" x14ac:dyDescent="0.25">
      <c r="F216" s="100"/>
    </row>
    <row r="217" spans="6:6" ht="15.75" customHeight="1" x14ac:dyDescent="0.25">
      <c r="F217" s="100"/>
    </row>
    <row r="218" spans="6:6" ht="15.75" customHeight="1" x14ac:dyDescent="0.25">
      <c r="F218" s="100"/>
    </row>
    <row r="219" spans="6:6" ht="15.75" customHeight="1" x14ac:dyDescent="0.25">
      <c r="F219" s="100"/>
    </row>
    <row r="220" spans="6:6" ht="15.75" customHeight="1" x14ac:dyDescent="0.25">
      <c r="F220" s="100"/>
    </row>
    <row r="221" spans="6:6" ht="15.75" customHeight="1" x14ac:dyDescent="0.25">
      <c r="F221" s="100"/>
    </row>
    <row r="222" spans="6:6" ht="15.75" customHeight="1" x14ac:dyDescent="0.25">
      <c r="F222" s="100"/>
    </row>
    <row r="223" spans="6:6" ht="15.75" customHeight="1" x14ac:dyDescent="0.25">
      <c r="F223" s="100"/>
    </row>
    <row r="224" spans="6:6" ht="15.75" customHeight="1" x14ac:dyDescent="0.25">
      <c r="F224" s="100"/>
    </row>
    <row r="225" spans="6:6" ht="15.75" customHeight="1" x14ac:dyDescent="0.25">
      <c r="F225" s="100"/>
    </row>
    <row r="226" spans="6:6" ht="15.75" customHeight="1" x14ac:dyDescent="0.25">
      <c r="F226" s="100"/>
    </row>
    <row r="227" spans="6:6" ht="15.75" customHeight="1" x14ac:dyDescent="0.25">
      <c r="F227" s="100"/>
    </row>
    <row r="228" spans="6:6" ht="15.75" customHeight="1" x14ac:dyDescent="0.25">
      <c r="F228" s="100"/>
    </row>
    <row r="229" spans="6:6" ht="15.75" customHeight="1" x14ac:dyDescent="0.25">
      <c r="F229" s="100"/>
    </row>
    <row r="230" spans="6:6" ht="15.75" customHeight="1" x14ac:dyDescent="0.25">
      <c r="F230" s="100"/>
    </row>
    <row r="231" spans="6:6" ht="15.75" customHeight="1" x14ac:dyDescent="0.25">
      <c r="F231" s="100"/>
    </row>
    <row r="232" spans="6:6" ht="15.75" customHeight="1" x14ac:dyDescent="0.25">
      <c r="F232" s="100"/>
    </row>
    <row r="233" spans="6:6" ht="15.75" customHeight="1" x14ac:dyDescent="0.25">
      <c r="F233" s="100"/>
    </row>
    <row r="234" spans="6:6" ht="15.75" customHeight="1" x14ac:dyDescent="0.25">
      <c r="F234" s="100"/>
    </row>
    <row r="235" spans="6:6" ht="15.75" customHeight="1" x14ac:dyDescent="0.25">
      <c r="F235" s="100"/>
    </row>
    <row r="236" spans="6:6" ht="15.75" customHeight="1" x14ac:dyDescent="0.25">
      <c r="F236" s="100"/>
    </row>
    <row r="237" spans="6:6" ht="15.75" customHeight="1" x14ac:dyDescent="0.25">
      <c r="F237" s="100"/>
    </row>
    <row r="238" spans="6:6" ht="15.75" customHeight="1" x14ac:dyDescent="0.25">
      <c r="F238" s="100"/>
    </row>
    <row r="239" spans="6:6" ht="15.75" customHeight="1" x14ac:dyDescent="0.25">
      <c r="F239" s="100"/>
    </row>
    <row r="240" spans="6:6" ht="15.75" customHeight="1" x14ac:dyDescent="0.25">
      <c r="F240" s="100"/>
    </row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1">
    <mergeCell ref="A2:M2"/>
  </mergeCells>
  <conditionalFormatting sqref="L2:L12 L14:L25 L27:L35 C38:J38">
    <cfRule type="cellIs" dxfId="4" priority="1" operator="equal">
      <formula>0</formula>
    </cfRule>
    <cfRule type="cellIs" dxfId="3" priority="2" operator="greaterThan">
      <formula>0</formula>
    </cfRule>
    <cfRule type="cellIs" dxfId="2" priority="3" operator="lessThan">
      <formula>0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99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2578125" defaultRowHeight="15" customHeight="1" x14ac:dyDescent="0.25"/>
  <cols>
    <col min="1" max="1" width="5.85546875" customWidth="1"/>
    <col min="2" max="2" width="35.140625" customWidth="1"/>
    <col min="3" max="3" width="5.140625" customWidth="1"/>
    <col min="4" max="4" width="4.28515625" customWidth="1"/>
    <col min="5" max="5" width="5.28515625" customWidth="1"/>
    <col min="6" max="6" width="4.28515625" customWidth="1"/>
    <col min="7" max="7" width="3.28515625" customWidth="1"/>
    <col min="8" max="8" width="5.140625" customWidth="1"/>
    <col min="9" max="9" width="4.28515625" customWidth="1"/>
    <col min="10" max="10" width="5.28515625" customWidth="1"/>
    <col min="11" max="11" width="4.28515625" customWidth="1"/>
    <col min="12" max="12" width="3.28515625" customWidth="1"/>
    <col min="13" max="13" width="5.140625" customWidth="1"/>
    <col min="14" max="14" width="4.28515625" customWidth="1"/>
    <col min="15" max="15" width="5.28515625" customWidth="1"/>
    <col min="16" max="16" width="4.28515625" customWidth="1"/>
    <col min="17" max="17" width="3.28515625" customWidth="1"/>
    <col min="18" max="18" width="5.140625" customWidth="1"/>
    <col min="19" max="19" width="4.28515625" customWidth="1"/>
    <col min="20" max="20" width="5.28515625" customWidth="1"/>
    <col min="21" max="21" width="4.28515625" customWidth="1"/>
    <col min="22" max="22" width="3.28515625" customWidth="1"/>
    <col min="23" max="23" width="11.28515625" customWidth="1"/>
  </cols>
  <sheetData>
    <row r="1" spans="1:23" ht="15.75" customHeight="1" x14ac:dyDescent="0.25">
      <c r="A1" s="218" t="s">
        <v>1</v>
      </c>
      <c r="B1" s="218" t="s">
        <v>3</v>
      </c>
      <c r="C1" s="276" t="s">
        <v>95</v>
      </c>
      <c r="D1" s="277"/>
      <c r="E1" s="277"/>
      <c r="F1" s="277"/>
      <c r="G1" s="278"/>
      <c r="H1" s="279" t="s">
        <v>96</v>
      </c>
      <c r="I1" s="277"/>
      <c r="J1" s="277"/>
      <c r="K1" s="277"/>
      <c r="L1" s="278"/>
      <c r="M1" s="280" t="s">
        <v>97</v>
      </c>
      <c r="N1" s="277"/>
      <c r="O1" s="277"/>
      <c r="P1" s="277"/>
      <c r="Q1" s="278"/>
      <c r="R1" s="281" t="s">
        <v>98</v>
      </c>
      <c r="S1" s="277"/>
      <c r="T1" s="277"/>
      <c r="U1" s="277"/>
      <c r="V1" s="278"/>
      <c r="W1" s="219" t="s">
        <v>99</v>
      </c>
    </row>
    <row r="2" spans="1:23" ht="15.75" customHeight="1" x14ac:dyDescent="0.25">
      <c r="A2" s="220"/>
      <c r="B2" s="220" t="s">
        <v>100</v>
      </c>
      <c r="C2" s="221" t="s">
        <v>25</v>
      </c>
      <c r="D2" s="221" t="s">
        <v>26</v>
      </c>
      <c r="E2" s="221" t="s">
        <v>27</v>
      </c>
      <c r="F2" s="221" t="s">
        <v>28</v>
      </c>
      <c r="G2" s="221" t="s">
        <v>29</v>
      </c>
      <c r="H2" s="222" t="s">
        <v>25</v>
      </c>
      <c r="I2" s="222" t="s">
        <v>26</v>
      </c>
      <c r="J2" s="222" t="s">
        <v>27</v>
      </c>
      <c r="K2" s="222" t="s">
        <v>28</v>
      </c>
      <c r="L2" s="222" t="s">
        <v>29</v>
      </c>
      <c r="M2" s="223" t="s">
        <v>25</v>
      </c>
      <c r="N2" s="223" t="s">
        <v>26</v>
      </c>
      <c r="O2" s="223" t="s">
        <v>27</v>
      </c>
      <c r="P2" s="223" t="s">
        <v>28</v>
      </c>
      <c r="Q2" s="223" t="s">
        <v>29</v>
      </c>
      <c r="R2" s="224" t="s">
        <v>25</v>
      </c>
      <c r="S2" s="224" t="s">
        <v>26</v>
      </c>
      <c r="T2" s="224" t="s">
        <v>27</v>
      </c>
      <c r="U2" s="224" t="s">
        <v>28</v>
      </c>
      <c r="V2" s="224" t="s">
        <v>29</v>
      </c>
      <c r="W2" s="225"/>
    </row>
    <row r="3" spans="1:23" ht="15.75" customHeight="1" x14ac:dyDescent="0.25">
      <c r="A3" s="226">
        <f>Commercial!A3</f>
        <v>1291</v>
      </c>
      <c r="B3" s="228" t="str">
        <f t="array" ref="B3">IFERROR(INDEX(Commercial!B:B,MATCH(A3,Commercial!A:A,0)),"")</f>
        <v>Raven Mitchell (Commercial)</v>
      </c>
      <c r="C3" s="230">
        <f>IFERROR(SUMIF('COM Winbacks'!$A:$A,$A3,'COM Winbacks'!C:C),0)</f>
        <v>0</v>
      </c>
      <c r="D3" s="231">
        <f>IFERROR(SUMIF('COM Winbacks'!$A:$A,$A3,'COM Winbacks'!D:D),0)</f>
        <v>0</v>
      </c>
      <c r="E3" s="231">
        <f>IFERROR(SUMIF('COM Winbacks'!$A:$A,$A3,'COM Winbacks'!E:E),0)</f>
        <v>0</v>
      </c>
      <c r="F3" s="231">
        <f>IFERROR(SUMIF('COM Winbacks'!$A:$A,$A3,'COM Winbacks'!F:F),0)</f>
        <v>0</v>
      </c>
      <c r="G3" s="232">
        <f>IFERROR(SUMIF('COM Winbacks'!$A:$A,$A3,'COM Winbacks'!G:G),0)</f>
        <v>0</v>
      </c>
      <c r="H3" s="233">
        <f>IFERROR(SUMIF(Residential!$A:$A,$A3,Residential!C:C),0)</f>
        <v>0</v>
      </c>
      <c r="I3" s="231">
        <f>IFERROR(SUMIF(Residential!$A:$A,$A3,Residential!D:D),0)</f>
        <v>0</v>
      </c>
      <c r="J3" s="231">
        <f>IFERROR(SUMIF(Residential!$A:$A,$A3,Residential!E:E),0)</f>
        <v>0</v>
      </c>
      <c r="K3" s="231">
        <f>IFERROR(SUMIF(Residential!$A:$A,$A3,Residential!F:F),0)</f>
        <v>0</v>
      </c>
      <c r="L3" s="232">
        <f>IFERROR(SUMIF(Residential!$A:$A,$A3,Residential!G:G),0)</f>
        <v>0</v>
      </c>
      <c r="M3" s="233">
        <f>IFERROR(SUMIF(Commercial!$A$3:$A$7,$A3,Commercial!E$3:E$7),0)</f>
        <v>1</v>
      </c>
      <c r="N3" s="231">
        <f>IFERROR(SUMIF(Commercial!$A$3:$A$7,$A3,Commercial!K$3:K$7),0)</f>
        <v>0</v>
      </c>
      <c r="O3" s="231">
        <f>IFERROR(SUMIF(Commercial!$A$3:$A$7,$A3,Commercial!Q$3:Q$7),0)</f>
        <v>0</v>
      </c>
      <c r="P3" s="231">
        <f>IFERROR(SUMIF(Commercial!$A$3:$A$7,$A3,Commercial!W$3:W$7),0)</f>
        <v>0</v>
      </c>
      <c r="Q3" s="232">
        <f>IFERROR(SUMIF(Commercial!$A$3:$A$7,$A3,Commercial!AC$3:AC$7),0)</f>
        <v>0</v>
      </c>
      <c r="R3" s="234">
        <f t="shared" ref="R3:V3" si="0">C3+H3+M3</f>
        <v>1</v>
      </c>
      <c r="S3" s="235">
        <f t="shared" si="0"/>
        <v>0</v>
      </c>
      <c r="T3" s="235">
        <f t="shared" si="0"/>
        <v>0</v>
      </c>
      <c r="U3" s="236">
        <f t="shared" si="0"/>
        <v>0</v>
      </c>
      <c r="V3" s="237">
        <f t="shared" si="0"/>
        <v>0</v>
      </c>
      <c r="W3" s="238">
        <f t="shared" ref="W3:W8" si="1">SUM(R3:V3)</f>
        <v>1</v>
      </c>
    </row>
    <row r="4" spans="1:23" ht="15.75" customHeight="1" x14ac:dyDescent="0.25">
      <c r="A4" s="226">
        <f>Commercial!A4</f>
        <v>1175</v>
      </c>
      <c r="B4" s="228" t="str">
        <f t="array" ref="B4">IFERROR(INDEX(Commercial!B:B,MATCH(A4,Commercial!A:A,0)),"")</f>
        <v>Kenticka Tate (Commercial)</v>
      </c>
      <c r="C4" s="230">
        <f>IFERROR(SUMIF('COM Winbacks'!$A:$A,$A4,'COM Winbacks'!C:C),0)</f>
        <v>0</v>
      </c>
      <c r="D4" s="231">
        <f>IFERROR(SUMIF('COM Winbacks'!$A:$A,$A4,'COM Winbacks'!D:D),0)</f>
        <v>0</v>
      </c>
      <c r="E4" s="231">
        <f>IFERROR(SUMIF('COM Winbacks'!$A:$A,$A4,'COM Winbacks'!E:E),0)</f>
        <v>0</v>
      </c>
      <c r="F4" s="231">
        <f>IFERROR(SUMIF('COM Winbacks'!$A:$A,$A4,'COM Winbacks'!F:F),0)</f>
        <v>0</v>
      </c>
      <c r="G4" s="232">
        <f>IFERROR(SUMIF('COM Winbacks'!$A:$A,$A4,'COM Winbacks'!G:G),0)</f>
        <v>0</v>
      </c>
      <c r="H4" s="233">
        <f>IFERROR(SUMIF(Residential!$A:$A,$A4,Residential!C:C),0)</f>
        <v>0</v>
      </c>
      <c r="I4" s="231">
        <f>IFERROR(SUMIF(Residential!$A:$A,$A4,Residential!D:D),0)</f>
        <v>0</v>
      </c>
      <c r="J4" s="231">
        <f>IFERROR(SUMIF(Residential!$A:$A,$A4,Residential!E:E),0)</f>
        <v>0</v>
      </c>
      <c r="K4" s="231">
        <f>IFERROR(SUMIF(Residential!$A:$A,$A4,Residential!F:F),0)</f>
        <v>0</v>
      </c>
      <c r="L4" s="232">
        <f>IFERROR(SUMIF(Residential!$A:$A,$A4,Residential!G:G),0)</f>
        <v>0</v>
      </c>
      <c r="M4" s="233">
        <f>IFERROR(SUMIF(Commercial!$A$3:$A$7,$A4,Commercial!E$3:E$7),0)</f>
        <v>0</v>
      </c>
      <c r="N4" s="231">
        <f>IFERROR(SUMIF(Commercial!$A$3:$A$7,$A4,Commercial!K$3:K$7),0)</f>
        <v>1</v>
      </c>
      <c r="O4" s="231">
        <f>IFERROR(SUMIF(Commercial!$A$3:$A$7,$A4,Commercial!Q$3:Q$7),0)</f>
        <v>0</v>
      </c>
      <c r="P4" s="231">
        <f>IFERROR(SUMIF(Commercial!$A$3:$A$7,$A4,Commercial!W$3:W$7),0)</f>
        <v>0</v>
      </c>
      <c r="Q4" s="232">
        <f>IFERROR(SUMIF(Commercial!$A$3:$A$7,$A4,Commercial!AC$3:AC$7),0)</f>
        <v>0</v>
      </c>
      <c r="R4" s="234">
        <f t="shared" ref="R4:V4" si="2">C4+H4+M4</f>
        <v>0</v>
      </c>
      <c r="S4" s="235">
        <f t="shared" si="2"/>
        <v>1</v>
      </c>
      <c r="T4" s="235">
        <f t="shared" si="2"/>
        <v>0</v>
      </c>
      <c r="U4" s="236">
        <f t="shared" si="2"/>
        <v>0</v>
      </c>
      <c r="V4" s="237">
        <f t="shared" si="2"/>
        <v>0</v>
      </c>
      <c r="W4" s="238">
        <f t="shared" si="1"/>
        <v>1</v>
      </c>
    </row>
    <row r="5" spans="1:23" ht="15.75" customHeight="1" x14ac:dyDescent="0.25">
      <c r="A5" s="226">
        <f>Commercial!A5</f>
        <v>1294</v>
      </c>
      <c r="B5" s="228" t="str">
        <f t="array" ref="B5">IFERROR(INDEX(Commercial!B:B,MATCH(A5,Commercial!A:A,0)),"")</f>
        <v>Brandy Paton (Commercial)</v>
      </c>
      <c r="C5" s="230">
        <f>IFERROR(SUMIF('COM Winbacks'!$A:$A,$A5,'COM Winbacks'!C:C),0)</f>
        <v>0</v>
      </c>
      <c r="D5" s="231">
        <f>IFERROR(SUMIF('COM Winbacks'!$A:$A,$A5,'COM Winbacks'!D:D),0)</f>
        <v>0</v>
      </c>
      <c r="E5" s="231">
        <f>IFERROR(SUMIF('COM Winbacks'!$A:$A,$A5,'COM Winbacks'!E:E),0)</f>
        <v>0</v>
      </c>
      <c r="F5" s="231">
        <f>IFERROR(SUMIF('COM Winbacks'!$A:$A,$A5,'COM Winbacks'!F:F),0)</f>
        <v>0</v>
      </c>
      <c r="G5" s="232">
        <f>IFERROR(SUMIF('COM Winbacks'!$A:$A,$A5,'COM Winbacks'!G:G),0)</f>
        <v>0</v>
      </c>
      <c r="H5" s="233">
        <f>IFERROR(SUMIF(Residential!$A:$A,$A5,Residential!C:C),0)</f>
        <v>0</v>
      </c>
      <c r="I5" s="231">
        <f>IFERROR(SUMIF(Residential!$A:$A,$A5,Residential!D:D),0)</f>
        <v>0</v>
      </c>
      <c r="J5" s="231">
        <f>IFERROR(SUMIF(Residential!$A:$A,$A5,Residential!E:E),0)</f>
        <v>0</v>
      </c>
      <c r="K5" s="231">
        <f>IFERROR(SUMIF(Residential!$A:$A,$A5,Residential!F:F),0)</f>
        <v>0</v>
      </c>
      <c r="L5" s="232">
        <f>IFERROR(SUMIF(Residential!$A:$A,$A5,Residential!G:G),0)</f>
        <v>0</v>
      </c>
      <c r="M5" s="233">
        <f>IFERROR(SUMIF(Commercial!$A$3:$A$7,$A5,Commercial!E$3:E$7),0)</f>
        <v>0</v>
      </c>
      <c r="N5" s="231">
        <f>IFERROR(SUMIF(Commercial!$A$3:$A$7,$A5,Commercial!K$3:K$7),0)</f>
        <v>0</v>
      </c>
      <c r="O5" s="231">
        <f>IFERROR(SUMIF(Commercial!$A$3:$A$7,$A5,Commercial!Q$3:Q$7),0)</f>
        <v>2</v>
      </c>
      <c r="P5" s="231">
        <f>IFERROR(SUMIF(Commercial!$A$3:$A$7,$A5,Commercial!W$3:W$7),0)</f>
        <v>0</v>
      </c>
      <c r="Q5" s="232">
        <f>IFERROR(SUMIF(Commercial!$A$3:$A$7,$A5,Commercial!AC$3:AC$7),0)</f>
        <v>0</v>
      </c>
      <c r="R5" s="234">
        <f t="shared" ref="R5:V5" si="3">C5+H5+M5</f>
        <v>0</v>
      </c>
      <c r="S5" s="235">
        <f t="shared" si="3"/>
        <v>0</v>
      </c>
      <c r="T5" s="235">
        <f t="shared" si="3"/>
        <v>2</v>
      </c>
      <c r="U5" s="236">
        <f t="shared" si="3"/>
        <v>0</v>
      </c>
      <c r="V5" s="237">
        <f t="shared" si="3"/>
        <v>0</v>
      </c>
      <c r="W5" s="238">
        <f t="shared" si="1"/>
        <v>2</v>
      </c>
    </row>
    <row r="6" spans="1:23" ht="15.75" customHeight="1" x14ac:dyDescent="0.25">
      <c r="A6" s="226">
        <f>Commercial!A6</f>
        <v>1280</v>
      </c>
      <c r="B6" s="228" t="str">
        <f t="array" ref="B6">IFERROR(INDEX(Commercial!B:B,MATCH(A6,Commercial!A:A,0)),"")</f>
        <v>Ashlee Franks (Commercial)</v>
      </c>
      <c r="C6" s="230">
        <f>IFERROR(SUMIF('COM Winbacks'!$A:$A,$A6,'COM Winbacks'!C:C),0)</f>
        <v>0</v>
      </c>
      <c r="D6" s="231">
        <f>IFERROR(SUMIF('COM Winbacks'!$A:$A,$A6,'COM Winbacks'!D:D),0)</f>
        <v>0</v>
      </c>
      <c r="E6" s="231">
        <f>IFERROR(SUMIF('COM Winbacks'!$A:$A,$A6,'COM Winbacks'!E:E),0)</f>
        <v>0</v>
      </c>
      <c r="F6" s="231">
        <f>IFERROR(SUMIF('COM Winbacks'!$A:$A,$A6,'COM Winbacks'!F:F),0)</f>
        <v>0</v>
      </c>
      <c r="G6" s="232">
        <f>IFERROR(SUMIF('COM Winbacks'!$A:$A,$A6,'COM Winbacks'!G:G),0)</f>
        <v>0</v>
      </c>
      <c r="H6" s="233">
        <f>IFERROR(SUMIF(Residential!$A:$A,$A6,Residential!C:C),0)</f>
        <v>0</v>
      </c>
      <c r="I6" s="231">
        <f>IFERROR(SUMIF(Residential!$A:$A,$A6,Residential!D:D),0)</f>
        <v>0</v>
      </c>
      <c r="J6" s="231">
        <f>IFERROR(SUMIF(Residential!$A:$A,$A6,Residential!E:E),0)</f>
        <v>0</v>
      </c>
      <c r="K6" s="231">
        <f>IFERROR(SUMIF(Residential!$A:$A,$A6,Residential!F:F),0)</f>
        <v>0</v>
      </c>
      <c r="L6" s="232">
        <f>IFERROR(SUMIF(Residential!$A:$A,$A6,Residential!G:G),0)</f>
        <v>0</v>
      </c>
      <c r="M6" s="233">
        <f>IFERROR(SUMIF(Commercial!$A$3:$A$7,$A6,Commercial!E$3:E$7),0)</f>
        <v>1</v>
      </c>
      <c r="N6" s="231">
        <f>IFERROR(SUMIF(Commercial!$A$3:$A$7,$A6,Commercial!K$3:K$7),0)</f>
        <v>0</v>
      </c>
      <c r="O6" s="231">
        <f>IFERROR(SUMIF(Commercial!$A$3:$A$7,$A6,Commercial!Q$3:Q$7),0)</f>
        <v>3</v>
      </c>
      <c r="P6" s="231">
        <f>IFERROR(SUMIF(Commercial!$A$3:$A$7,$A6,Commercial!W$3:W$7),0)</f>
        <v>0</v>
      </c>
      <c r="Q6" s="232">
        <f>IFERROR(SUMIF(Commercial!$A$3:$A$7,$A6,Commercial!AC$3:AC$7),0)</f>
        <v>0</v>
      </c>
      <c r="R6" s="234">
        <f t="shared" ref="R6:V6" si="4">C6+H6+M6</f>
        <v>1</v>
      </c>
      <c r="S6" s="235">
        <f t="shared" si="4"/>
        <v>0</v>
      </c>
      <c r="T6" s="235">
        <f t="shared" si="4"/>
        <v>3</v>
      </c>
      <c r="U6" s="236">
        <f t="shared" si="4"/>
        <v>0</v>
      </c>
      <c r="V6" s="237">
        <f t="shared" si="4"/>
        <v>0</v>
      </c>
      <c r="W6" s="238">
        <f t="shared" si="1"/>
        <v>4</v>
      </c>
    </row>
    <row r="7" spans="1:23" ht="15.75" customHeight="1" x14ac:dyDescent="0.25">
      <c r="A7" s="226"/>
      <c r="B7" s="228" t="str">
        <f t="array" ref="B7">IFERROR(INDEX(Commercial!B:B,MATCH(A7,Commercial!A:A,0)),"")</f>
        <v/>
      </c>
      <c r="C7" s="230">
        <f>IFERROR(SUMIF('COM Winbacks'!$A:$A,$A7,'COM Winbacks'!C:C),0)</f>
        <v>0</v>
      </c>
      <c r="D7" s="231">
        <f>IFERROR(SUMIF('COM Winbacks'!$A:$A,$A7,'COM Winbacks'!D:D),0)</f>
        <v>0</v>
      </c>
      <c r="E7" s="231">
        <f>IFERROR(SUMIF('COM Winbacks'!$A:$A,$A7,'COM Winbacks'!E:E),0)</f>
        <v>0</v>
      </c>
      <c r="F7" s="231">
        <f>IFERROR(SUMIF('COM Winbacks'!$A:$A,$A7,'COM Winbacks'!F:F),0)</f>
        <v>0</v>
      </c>
      <c r="G7" s="232">
        <f>IFERROR(SUMIF('COM Winbacks'!$A:$A,$A7,'COM Winbacks'!G:G),0)</f>
        <v>0</v>
      </c>
      <c r="H7" s="233">
        <f>IFERROR(SUMIF(Residential!$A:$A,$A7,Residential!C:C),0)</f>
        <v>0</v>
      </c>
      <c r="I7" s="231">
        <f>IFERROR(SUMIF(Residential!$A:$A,$A7,Residential!D:D),0)</f>
        <v>0</v>
      </c>
      <c r="J7" s="231">
        <f>IFERROR(SUMIF(Residential!$A:$A,$A7,Residential!E:E),0)</f>
        <v>0</v>
      </c>
      <c r="K7" s="231">
        <f>IFERROR(SUMIF(Residential!$A:$A,$A7,Residential!F:F),0)</f>
        <v>0</v>
      </c>
      <c r="L7" s="232">
        <f>IFERROR(SUMIF(Residential!$A:$A,$A7,Residential!G:G),0)</f>
        <v>0</v>
      </c>
      <c r="M7" s="233">
        <f>IFERROR(SUMIF(Commercial!$A$3:$A$7,$A7,Commercial!E$3:E$7),0)</f>
        <v>0</v>
      </c>
      <c r="N7" s="231">
        <f>IFERROR(SUMIF(Commercial!$A$3:$A$7,$A7,Commercial!K$3:K$7),0)</f>
        <v>0</v>
      </c>
      <c r="O7" s="231">
        <f>IFERROR(SUMIF(Commercial!$A$3:$A$7,$A7,Commercial!Q$3:Q$7),0)</f>
        <v>0</v>
      </c>
      <c r="P7" s="231">
        <f>IFERROR(SUMIF(Commercial!$A$3:$A$7,$A7,Commercial!W$3:W$7),0)</f>
        <v>0</v>
      </c>
      <c r="Q7" s="232">
        <f>IFERROR(SUMIF(Commercial!$A$3:$A$7,$A7,Commercial!AC$3:AC$7),0)</f>
        <v>0</v>
      </c>
      <c r="R7" s="234">
        <f t="shared" ref="R7:V7" si="5">C7+H7+M7</f>
        <v>0</v>
      </c>
      <c r="S7" s="235">
        <f t="shared" si="5"/>
        <v>0</v>
      </c>
      <c r="T7" s="235">
        <f t="shared" si="5"/>
        <v>0</v>
      </c>
      <c r="U7" s="236">
        <f t="shared" si="5"/>
        <v>0</v>
      </c>
      <c r="V7" s="237">
        <f t="shared" si="5"/>
        <v>0</v>
      </c>
      <c r="W7" s="238">
        <f t="shared" si="1"/>
        <v>0</v>
      </c>
    </row>
    <row r="8" spans="1:23" ht="15.75" customHeight="1" x14ac:dyDescent="0.25">
      <c r="A8" s="226">
        <f>Commercial!A7</f>
        <v>1301</v>
      </c>
      <c r="B8" s="228" t="str">
        <f t="array" ref="B8">IFERROR(INDEX(Commercial!B:B,MATCH(A8,Commercial!A:A,0)),"")</f>
        <v>Albert Williams (Commercial)</v>
      </c>
      <c r="C8" s="230">
        <f>IFERROR(SUMIF('COM Winbacks'!$A:$A,$A8,'COM Winbacks'!C:C),0)</f>
        <v>0</v>
      </c>
      <c r="D8" s="231">
        <f>IFERROR(SUMIF('COM Winbacks'!$A:$A,$A8,'COM Winbacks'!D:D),0)</f>
        <v>0</v>
      </c>
      <c r="E8" s="231">
        <f>IFERROR(SUMIF('COM Winbacks'!$A:$A,$A8,'COM Winbacks'!E:E),0)</f>
        <v>0</v>
      </c>
      <c r="F8" s="231">
        <f>IFERROR(SUMIF('COM Winbacks'!$A:$A,$A8,'COM Winbacks'!F:F),0)</f>
        <v>0</v>
      </c>
      <c r="G8" s="232">
        <f>IFERROR(SUMIF('COM Winbacks'!$A:$A,$A8,'COM Winbacks'!G:G),0)</f>
        <v>0</v>
      </c>
      <c r="H8" s="233">
        <f>IFERROR(SUMIF(Residential!$A:$A,$A8,Residential!C:C),0)</f>
        <v>0</v>
      </c>
      <c r="I8" s="231">
        <f>IFERROR(SUMIF(Residential!$A:$A,$A8,Residential!D:D),0)</f>
        <v>0</v>
      </c>
      <c r="J8" s="231">
        <f>IFERROR(SUMIF(Residential!$A:$A,$A8,Residential!E:E),0)</f>
        <v>0</v>
      </c>
      <c r="K8" s="231">
        <f>IFERROR(SUMIF(Residential!$A:$A,$A8,Residential!F:F),0)</f>
        <v>0</v>
      </c>
      <c r="L8" s="232">
        <f>IFERROR(SUMIF(Residential!$A:$A,$A8,Residential!G:G),0)</f>
        <v>0</v>
      </c>
      <c r="M8" s="233">
        <f>IFERROR(SUMIF(Commercial!$A$3:$A$7,$A8,Commercial!E$3:E$7),0)</f>
        <v>0</v>
      </c>
      <c r="N8" s="231">
        <f>IFERROR(SUMIF(Commercial!$A$3:$A$7,$A8,Commercial!K$3:K$7),0)</f>
        <v>0</v>
      </c>
      <c r="O8" s="231">
        <f>IFERROR(SUMIF(Commercial!$A$3:$A$7,$A8,Commercial!Q$3:Q$7),0)</f>
        <v>0</v>
      </c>
      <c r="P8" s="231">
        <f>IFERROR(SUMIF(Commercial!$A$3:$A$7,$A8,Commercial!W$3:W$7),0)</f>
        <v>0</v>
      </c>
      <c r="Q8" s="232">
        <f>IFERROR(SUMIF(Commercial!$A$3:$A$7,$A8,Commercial!AC$3:AC$7),0)</f>
        <v>0</v>
      </c>
      <c r="R8" s="234">
        <f t="shared" ref="R8:V8" si="6">C8+H8+M8</f>
        <v>0</v>
      </c>
      <c r="S8" s="235">
        <f t="shared" si="6"/>
        <v>0</v>
      </c>
      <c r="T8" s="235">
        <f t="shared" si="6"/>
        <v>0</v>
      </c>
      <c r="U8" s="236">
        <f t="shared" si="6"/>
        <v>0</v>
      </c>
      <c r="V8" s="237">
        <f t="shared" si="6"/>
        <v>0</v>
      </c>
      <c r="W8" s="238">
        <f t="shared" si="1"/>
        <v>0</v>
      </c>
    </row>
    <row r="9" spans="1:23" ht="15.75" customHeight="1" x14ac:dyDescent="0.25">
      <c r="A9" s="226"/>
      <c r="B9" s="228"/>
      <c r="C9" s="230"/>
      <c r="D9" s="231"/>
      <c r="E9" s="231"/>
      <c r="F9" s="231"/>
      <c r="G9" s="232"/>
      <c r="H9" s="233"/>
      <c r="I9" s="231"/>
      <c r="J9" s="231"/>
      <c r="K9" s="231"/>
      <c r="L9" s="232"/>
      <c r="M9" s="233"/>
      <c r="N9" s="231"/>
      <c r="O9" s="231"/>
      <c r="P9" s="231"/>
      <c r="Q9" s="232"/>
      <c r="R9" s="234"/>
      <c r="S9" s="235"/>
      <c r="T9" s="235"/>
      <c r="U9" s="236"/>
      <c r="V9" s="237"/>
      <c r="W9" s="238"/>
    </row>
    <row r="10" spans="1:23" ht="15.75" customHeight="1" x14ac:dyDescent="0.25">
      <c r="A10" s="239"/>
      <c r="B10" s="240" t="s">
        <v>101</v>
      </c>
      <c r="C10" s="241"/>
      <c r="D10" s="242"/>
      <c r="E10" s="242"/>
      <c r="F10" s="242"/>
      <c r="G10" s="243"/>
      <c r="H10" s="244"/>
      <c r="I10" s="242"/>
      <c r="J10" s="242"/>
      <c r="K10" s="242"/>
      <c r="L10" s="243"/>
      <c r="M10" s="244"/>
      <c r="N10" s="242"/>
      <c r="O10" s="242"/>
      <c r="P10" s="242"/>
      <c r="Q10" s="243"/>
      <c r="R10" s="241"/>
      <c r="S10" s="242"/>
      <c r="T10" s="242"/>
      <c r="U10" s="243"/>
      <c r="V10" s="245"/>
      <c r="W10" s="246">
        <f>SUM(W3:W9)</f>
        <v>8</v>
      </c>
    </row>
    <row r="11" spans="1:23" ht="15.75" customHeight="1" x14ac:dyDescent="0.25">
      <c r="A11" s="226"/>
      <c r="B11" s="228" t="str">
        <f t="array" ref="B11">IFERROR(INDEX(Commercial!B:B,MATCH(A11,Commercial!A:A,0)),"")</f>
        <v/>
      </c>
      <c r="C11" s="230">
        <f>IFERROR(SUMIF('COM Winbacks'!$A:$A,$A11,'COM Winbacks'!C:C),0)</f>
        <v>0</v>
      </c>
      <c r="D11" s="231">
        <f>IFERROR(SUMIF('COM Winbacks'!$A:$A,$A11,'COM Winbacks'!D:D),0)</f>
        <v>0</v>
      </c>
      <c r="E11" s="231">
        <f>IFERROR(SUMIF('COM Winbacks'!$A:$A,$A11,'COM Winbacks'!E:E),0)</f>
        <v>0</v>
      </c>
      <c r="F11" s="231">
        <f>IFERROR(SUMIF('COM Winbacks'!$A:$A,$A11,'COM Winbacks'!F:F),0)</f>
        <v>0</v>
      </c>
      <c r="G11" s="232">
        <f>IFERROR(SUMIF('COM Winbacks'!$A:$A,$A11,'COM Winbacks'!G:G),0)</f>
        <v>0</v>
      </c>
      <c r="H11" s="233">
        <f>IFERROR(SUMIF(Residential!$A:$A,$A11,Residential!C:C),0)</f>
        <v>0</v>
      </c>
      <c r="I11" s="231">
        <f>IFERROR(SUMIF(Residential!$A:$A,$A11,Residential!D:D),0)</f>
        <v>0</v>
      </c>
      <c r="J11" s="231">
        <f>IFERROR(SUMIF(Residential!$A:$A,$A11,Residential!E:E),0)</f>
        <v>0</v>
      </c>
      <c r="K11" s="231">
        <f>IFERROR(SUMIF(Residential!$A:$A,$A11,Residential!F:F),0)</f>
        <v>0</v>
      </c>
      <c r="L11" s="232">
        <f>IFERROR(SUMIF(Residential!$A:$A,$A11,Residential!G:G),0)</f>
        <v>0</v>
      </c>
      <c r="M11" s="233">
        <f>IFERROR(SUMIF(Commercial!$A$8:$A$10,$A11,Commercial!E$8:E$10),0)</f>
        <v>0</v>
      </c>
      <c r="N11" s="231">
        <f>IFERROR(SUMIF(Commercial!$A$8:$A$10,$A11,Commercial!K$8:K$10),0)</f>
        <v>0</v>
      </c>
      <c r="O11" s="231">
        <f>IFERROR(SUMIF(Commercial!$A$8:$A$10,$A11,Commercial!Q$8:Q$10),0)</f>
        <v>0</v>
      </c>
      <c r="P11" s="231">
        <f>IFERROR(SUMIF(Commercial!$A$8:$A$10,$A11,Commercial!W$8:W$10),0)</f>
        <v>0</v>
      </c>
      <c r="Q11" s="232">
        <f>IFERROR(SUMIF(Commercial!$A$8:$A$10,$A11,Commercial!AC$8:AC$10),0)</f>
        <v>0</v>
      </c>
      <c r="R11" s="234">
        <f t="shared" ref="R11:V11" si="7">C11+H11+M11</f>
        <v>0</v>
      </c>
      <c r="S11" s="235">
        <f t="shared" si="7"/>
        <v>0</v>
      </c>
      <c r="T11" s="235">
        <f t="shared" si="7"/>
        <v>0</v>
      </c>
      <c r="U11" s="236">
        <f t="shared" si="7"/>
        <v>0</v>
      </c>
      <c r="V11" s="237">
        <f t="shared" si="7"/>
        <v>0</v>
      </c>
      <c r="W11" s="238">
        <f t="shared" ref="W11:W14" si="8">SUM(R11:V11)</f>
        <v>0</v>
      </c>
    </row>
    <row r="12" spans="1:23" ht="15.75" customHeight="1" x14ac:dyDescent="0.25">
      <c r="A12" s="226">
        <f>Commercial!A8</f>
        <v>1151</v>
      </c>
      <c r="B12" s="228" t="str">
        <f t="array" ref="B12">IFERROR(INDEX(Commercial!B:B,MATCH(A12,Commercial!A:A,0)),"")</f>
        <v>CJ Jackson (Manager/Closer)</v>
      </c>
      <c r="C12" s="230">
        <f>IFERROR(SUMIF('COM Winbacks'!$A:$A,$A12,'COM Winbacks'!C:C),0)</f>
        <v>0</v>
      </c>
      <c r="D12" s="231">
        <f>IFERROR(SUMIF('COM Winbacks'!$A:$A,$A12,'COM Winbacks'!D:D),0)</f>
        <v>0</v>
      </c>
      <c r="E12" s="231">
        <f>IFERROR(SUMIF('COM Winbacks'!$A:$A,$A12,'COM Winbacks'!E:E),0)</f>
        <v>0</v>
      </c>
      <c r="F12" s="231">
        <f>IFERROR(SUMIF('COM Winbacks'!$A:$A,$A12,'COM Winbacks'!F:F),0)</f>
        <v>0</v>
      </c>
      <c r="G12" s="232">
        <f>IFERROR(SUMIF('COM Winbacks'!$A:$A,$A12,'COM Winbacks'!G:G),0)</f>
        <v>0</v>
      </c>
      <c r="H12" s="233">
        <f>IFERROR(SUMIF(Residential!$A:$A,$A12,Residential!C:C),0)</f>
        <v>0</v>
      </c>
      <c r="I12" s="231">
        <f>IFERROR(SUMIF(Residential!$A:$A,$A12,Residential!D:D),0)</f>
        <v>0</v>
      </c>
      <c r="J12" s="231">
        <f>IFERROR(SUMIF(Residential!$A:$A,$A12,Residential!E:E),0)</f>
        <v>0</v>
      </c>
      <c r="K12" s="231">
        <f>IFERROR(SUMIF(Residential!$A:$A,$A12,Residential!F:F),0)</f>
        <v>0</v>
      </c>
      <c r="L12" s="232">
        <f>IFERROR(SUMIF(Residential!$A:$A,$A12,Residential!G:G),0)</f>
        <v>0</v>
      </c>
      <c r="M12" s="233">
        <f>IFERROR(SUMIF(Commercial!$A$8:$A$10,$A12,Commercial!E$8:E$10),0)</f>
        <v>0</v>
      </c>
      <c r="N12" s="231">
        <f>IFERROR(SUMIF(Commercial!$A$8:$A$10,$A12,Commercial!K$8:K$10),0)</f>
        <v>0</v>
      </c>
      <c r="O12" s="231">
        <f>IFERROR(SUMIF(Commercial!$A$8:$A$10,$A12,Commercial!Q$8:Q$10),0)</f>
        <v>0</v>
      </c>
      <c r="P12" s="231">
        <f>IFERROR(SUMIF(Commercial!$A$8:$A$10,$A12,Commercial!W$8:W$10),0)</f>
        <v>0</v>
      </c>
      <c r="Q12" s="232">
        <f>IFERROR(SUMIF(Commercial!$A$8:$A$10,$A12,Commercial!AC$8:AC$10),0)</f>
        <v>0</v>
      </c>
      <c r="R12" s="234">
        <f t="shared" ref="R12:V12" si="9">C12+H12+M12</f>
        <v>0</v>
      </c>
      <c r="S12" s="235">
        <f t="shared" si="9"/>
        <v>0</v>
      </c>
      <c r="T12" s="235">
        <f t="shared" si="9"/>
        <v>0</v>
      </c>
      <c r="U12" s="236">
        <f t="shared" si="9"/>
        <v>0</v>
      </c>
      <c r="V12" s="237">
        <f t="shared" si="9"/>
        <v>0</v>
      </c>
      <c r="W12" s="238">
        <f t="shared" si="8"/>
        <v>0</v>
      </c>
    </row>
    <row r="13" spans="1:23" ht="15.75" customHeight="1" x14ac:dyDescent="0.25">
      <c r="A13" s="226">
        <f>Commercial!A9</f>
        <v>1300</v>
      </c>
      <c r="B13" s="228" t="str">
        <f t="array" ref="B13">IFERROR(INDEX(Commercial!B:B,MATCH(A13,Commercial!A:A,0)),"")</f>
        <v>Neil Singhal (Commercial)</v>
      </c>
      <c r="C13" s="230">
        <f>IFERROR(SUMIF('COM Winbacks'!$A:$A,$A13,'COM Winbacks'!C:C),0)</f>
        <v>1</v>
      </c>
      <c r="D13" s="231">
        <f>IFERROR(SUMIF('COM Winbacks'!$A:$A,$A13,'COM Winbacks'!D:D),0)</f>
        <v>0</v>
      </c>
      <c r="E13" s="231">
        <f>IFERROR(SUMIF('COM Winbacks'!$A:$A,$A13,'COM Winbacks'!E:E),0)</f>
        <v>0</v>
      </c>
      <c r="F13" s="231">
        <f>IFERROR(SUMIF('COM Winbacks'!$A:$A,$A13,'COM Winbacks'!F:F),0)</f>
        <v>0</v>
      </c>
      <c r="G13" s="232">
        <f>IFERROR(SUMIF('COM Winbacks'!$A:$A,$A13,'COM Winbacks'!G:G),0)</f>
        <v>0</v>
      </c>
      <c r="H13" s="233">
        <f>IFERROR(SUMIF(Residential!$A:$A,$A13,Residential!C:C),0)</f>
        <v>0</v>
      </c>
      <c r="I13" s="231">
        <f>IFERROR(SUMIF(Residential!$A:$A,$A13,Residential!D:D),0)</f>
        <v>0</v>
      </c>
      <c r="J13" s="231">
        <f>IFERROR(SUMIF(Residential!$A:$A,$A13,Residential!E:E),0)</f>
        <v>0</v>
      </c>
      <c r="K13" s="231">
        <f>IFERROR(SUMIF(Residential!$A:$A,$A13,Residential!F:F),0)</f>
        <v>0</v>
      </c>
      <c r="L13" s="232">
        <f>IFERROR(SUMIF(Residential!$A:$A,$A13,Residential!G:G),0)</f>
        <v>0</v>
      </c>
      <c r="M13" s="233">
        <f>IFERROR(SUMIF(Commercial!$A$8:$A$10,$A13,Commercial!E$8:E$10),0)</f>
        <v>0</v>
      </c>
      <c r="N13" s="231">
        <f>IFERROR(SUMIF(Commercial!$A$8:$A$10,$A13,Commercial!K$8:K$10),0)</f>
        <v>1</v>
      </c>
      <c r="O13" s="231">
        <f>IFERROR(SUMIF(Commercial!$A$8:$A$10,$A13,Commercial!Q$8:Q$10),0)</f>
        <v>0</v>
      </c>
      <c r="P13" s="231">
        <f>IFERROR(SUMIF(Commercial!$A$8:$A$10,$A13,Commercial!W$8:W$10),0)</f>
        <v>0</v>
      </c>
      <c r="Q13" s="232">
        <f>IFERROR(SUMIF(Commercial!$A$8:$A$10,$A13,Commercial!AC$8:AC$10),0)</f>
        <v>0</v>
      </c>
      <c r="R13" s="234">
        <f t="shared" ref="R13:V13" si="10">C13+H13+M13</f>
        <v>1</v>
      </c>
      <c r="S13" s="235">
        <f t="shared" si="10"/>
        <v>1</v>
      </c>
      <c r="T13" s="235">
        <f t="shared" si="10"/>
        <v>0</v>
      </c>
      <c r="U13" s="236">
        <f t="shared" si="10"/>
        <v>0</v>
      </c>
      <c r="V13" s="237">
        <f t="shared" si="10"/>
        <v>0</v>
      </c>
      <c r="W13" s="238">
        <f t="shared" si="8"/>
        <v>2</v>
      </c>
    </row>
    <row r="14" spans="1:23" ht="15.75" customHeight="1" x14ac:dyDescent="0.25">
      <c r="A14" s="247"/>
      <c r="B14" s="248" t="s">
        <v>23</v>
      </c>
      <c r="C14" s="249">
        <f t="shared" ref="C14:V14" si="11">SUM(C3:C13)</f>
        <v>1</v>
      </c>
      <c r="D14" s="250">
        <f t="shared" si="11"/>
        <v>0</v>
      </c>
      <c r="E14" s="250">
        <f t="shared" si="11"/>
        <v>0</v>
      </c>
      <c r="F14" s="250">
        <f t="shared" si="11"/>
        <v>0</v>
      </c>
      <c r="G14" s="251">
        <f t="shared" si="11"/>
        <v>0</v>
      </c>
      <c r="H14" s="252">
        <f t="shared" si="11"/>
        <v>0</v>
      </c>
      <c r="I14" s="250">
        <f t="shared" si="11"/>
        <v>0</v>
      </c>
      <c r="J14" s="250">
        <f t="shared" si="11"/>
        <v>0</v>
      </c>
      <c r="K14" s="250">
        <f t="shared" si="11"/>
        <v>0</v>
      </c>
      <c r="L14" s="251">
        <f t="shared" si="11"/>
        <v>0</v>
      </c>
      <c r="M14" s="252">
        <f t="shared" si="11"/>
        <v>2</v>
      </c>
      <c r="N14" s="250">
        <f t="shared" si="11"/>
        <v>2</v>
      </c>
      <c r="O14" s="250">
        <f t="shared" si="11"/>
        <v>5</v>
      </c>
      <c r="P14" s="250">
        <f t="shared" si="11"/>
        <v>0</v>
      </c>
      <c r="Q14" s="251">
        <f t="shared" si="11"/>
        <v>0</v>
      </c>
      <c r="R14" s="249">
        <f t="shared" si="11"/>
        <v>3</v>
      </c>
      <c r="S14" s="250">
        <f t="shared" si="11"/>
        <v>2</v>
      </c>
      <c r="T14" s="250">
        <f t="shared" si="11"/>
        <v>5</v>
      </c>
      <c r="U14" s="251">
        <f t="shared" si="11"/>
        <v>0</v>
      </c>
      <c r="V14" s="253">
        <f t="shared" si="11"/>
        <v>0</v>
      </c>
      <c r="W14" s="246">
        <f t="shared" si="8"/>
        <v>10</v>
      </c>
    </row>
    <row r="15" spans="1:23" ht="15.75" customHeight="1" x14ac:dyDescent="0.25"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</row>
    <row r="16" spans="1:23" ht="15.75" customHeight="1" x14ac:dyDescent="0.25"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</row>
    <row r="17" spans="3:22" ht="15.75" customHeight="1" x14ac:dyDescent="0.25"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</row>
    <row r="18" spans="3:22" ht="15.75" customHeight="1" x14ac:dyDescent="0.25"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</row>
    <row r="19" spans="3:22" ht="15.75" customHeight="1" x14ac:dyDescent="0.25"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</row>
    <row r="20" spans="3:22" ht="15.75" customHeight="1" x14ac:dyDescent="0.25"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</row>
    <row r="21" spans="3:22" ht="15.75" customHeight="1" x14ac:dyDescent="0.25"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</row>
    <row r="22" spans="3:22" ht="15.75" customHeight="1" x14ac:dyDescent="0.25"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</row>
    <row r="23" spans="3:22" ht="15.75" customHeight="1" x14ac:dyDescent="0.25"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</row>
    <row r="24" spans="3:22" ht="15.75" customHeight="1" x14ac:dyDescent="0.25"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</row>
    <row r="25" spans="3:22" ht="15.75" customHeight="1" x14ac:dyDescent="0.25"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</row>
    <row r="26" spans="3:22" ht="15.75" customHeight="1" x14ac:dyDescent="0.25"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</row>
    <row r="27" spans="3:22" ht="15.75" customHeight="1" x14ac:dyDescent="0.25"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</row>
    <row r="28" spans="3:22" ht="15.75" customHeight="1" x14ac:dyDescent="0.25"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</row>
    <row r="29" spans="3:22" ht="15.75" customHeight="1" x14ac:dyDescent="0.25"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</row>
    <row r="30" spans="3:22" ht="15.75" customHeight="1" x14ac:dyDescent="0.25"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</row>
    <row r="31" spans="3:22" ht="15.75" customHeight="1" x14ac:dyDescent="0.25"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</row>
    <row r="32" spans="3:22" ht="15.75" customHeight="1" x14ac:dyDescent="0.25"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</row>
    <row r="33" spans="3:22" ht="15.75" customHeight="1" x14ac:dyDescent="0.25"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</row>
    <row r="34" spans="3:22" ht="15.75" customHeight="1" x14ac:dyDescent="0.25"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</row>
    <row r="35" spans="3:22" ht="15.75" customHeight="1" x14ac:dyDescent="0.25"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</row>
    <row r="36" spans="3:22" ht="15.75" customHeight="1" x14ac:dyDescent="0.25"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</row>
    <row r="37" spans="3:22" ht="15.75" customHeight="1" x14ac:dyDescent="0.25"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</row>
    <row r="38" spans="3:22" ht="15.75" customHeight="1" x14ac:dyDescent="0.25"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</row>
    <row r="39" spans="3:22" ht="15.75" customHeight="1" x14ac:dyDescent="0.25"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</row>
    <row r="40" spans="3:22" ht="15.75" customHeight="1" x14ac:dyDescent="0.25"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</row>
    <row r="41" spans="3:22" ht="15.75" customHeight="1" x14ac:dyDescent="0.25"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</row>
    <row r="42" spans="3:22" ht="15.75" customHeight="1" x14ac:dyDescent="0.25"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</row>
    <row r="43" spans="3:22" ht="15.75" customHeight="1" x14ac:dyDescent="0.25"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</row>
    <row r="44" spans="3:22" ht="15.75" customHeight="1" x14ac:dyDescent="0.25"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</row>
    <row r="45" spans="3:22" ht="15.75" customHeight="1" x14ac:dyDescent="0.25"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</row>
    <row r="46" spans="3:22" ht="15.75" customHeight="1" x14ac:dyDescent="0.25"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</row>
    <row r="47" spans="3:22" ht="15.75" customHeight="1" x14ac:dyDescent="0.25"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</row>
    <row r="48" spans="3:22" ht="15.75" customHeight="1" x14ac:dyDescent="0.25"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</row>
    <row r="49" spans="3:22" ht="15.75" customHeight="1" x14ac:dyDescent="0.25"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</row>
    <row r="50" spans="3:22" ht="15.75" customHeight="1" x14ac:dyDescent="0.25"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</row>
    <row r="51" spans="3:22" ht="15.75" customHeight="1" x14ac:dyDescent="0.25"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</row>
    <row r="52" spans="3:22" ht="15.75" customHeight="1" x14ac:dyDescent="0.25"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 spans="3:22" ht="15.75" customHeight="1" x14ac:dyDescent="0.25"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 spans="3:22" ht="15.75" customHeight="1" x14ac:dyDescent="0.25"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 spans="3:22" ht="15.75" customHeight="1" x14ac:dyDescent="0.25"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 spans="3:22" ht="15.75" customHeight="1" x14ac:dyDescent="0.25"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</row>
    <row r="57" spans="3:22" ht="15.75" customHeight="1" x14ac:dyDescent="0.25"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</row>
    <row r="58" spans="3:22" ht="15.75" customHeight="1" x14ac:dyDescent="0.25"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</row>
    <row r="59" spans="3:22" ht="15.75" customHeight="1" x14ac:dyDescent="0.25"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</row>
    <row r="60" spans="3:22" ht="15.75" customHeight="1" x14ac:dyDescent="0.25"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</row>
    <row r="61" spans="3:22" ht="15.75" customHeight="1" x14ac:dyDescent="0.25"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</row>
    <row r="62" spans="3:22" ht="15.75" customHeight="1" x14ac:dyDescent="0.25"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</row>
    <row r="63" spans="3:22" ht="15.75" customHeight="1" x14ac:dyDescent="0.25"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</row>
    <row r="64" spans="3:22" ht="15.75" customHeight="1" x14ac:dyDescent="0.25"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</row>
    <row r="65" spans="3:22" ht="15.75" customHeight="1" x14ac:dyDescent="0.25"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</row>
    <row r="66" spans="3:22" ht="15.75" customHeight="1" x14ac:dyDescent="0.25"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</row>
    <row r="67" spans="3:22" ht="15.75" customHeight="1" x14ac:dyDescent="0.25"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</row>
    <row r="68" spans="3:22" ht="15.75" customHeight="1" x14ac:dyDescent="0.25"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</row>
    <row r="69" spans="3:22" ht="15.75" customHeight="1" x14ac:dyDescent="0.25"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</row>
    <row r="70" spans="3:22" ht="15.75" customHeight="1" x14ac:dyDescent="0.25"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</row>
    <row r="71" spans="3:22" ht="15.75" customHeight="1" x14ac:dyDescent="0.25"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</row>
    <row r="72" spans="3:22" ht="15.75" customHeight="1" x14ac:dyDescent="0.25"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</row>
    <row r="73" spans="3:22" ht="15.75" customHeight="1" x14ac:dyDescent="0.25"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</row>
    <row r="74" spans="3:22" ht="15.75" customHeight="1" x14ac:dyDescent="0.25"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</row>
    <row r="75" spans="3:22" ht="15.75" customHeight="1" x14ac:dyDescent="0.25"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</row>
    <row r="76" spans="3:22" ht="15.75" customHeight="1" x14ac:dyDescent="0.25"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</row>
    <row r="77" spans="3:22" ht="15.75" customHeight="1" x14ac:dyDescent="0.25"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</row>
    <row r="78" spans="3:22" ht="15.75" customHeight="1" x14ac:dyDescent="0.25"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</row>
    <row r="79" spans="3:22" ht="15.75" customHeight="1" x14ac:dyDescent="0.25"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</row>
    <row r="80" spans="3:22" ht="15.75" customHeight="1" x14ac:dyDescent="0.25"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</row>
    <row r="81" spans="3:22" ht="15.75" customHeight="1" x14ac:dyDescent="0.25"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</row>
    <row r="82" spans="3:22" ht="15.75" customHeight="1" x14ac:dyDescent="0.25"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</row>
    <row r="83" spans="3:22" ht="15.75" customHeight="1" x14ac:dyDescent="0.25"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</row>
    <row r="84" spans="3:22" ht="15.75" customHeight="1" x14ac:dyDescent="0.25"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</row>
    <row r="85" spans="3:22" ht="15.75" customHeight="1" x14ac:dyDescent="0.25"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</row>
    <row r="86" spans="3:22" ht="15.75" customHeight="1" x14ac:dyDescent="0.25"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</row>
    <row r="87" spans="3:22" ht="15.75" customHeight="1" x14ac:dyDescent="0.25"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</row>
    <row r="88" spans="3:22" ht="15.75" customHeight="1" x14ac:dyDescent="0.25"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</row>
    <row r="89" spans="3:22" ht="15.75" customHeight="1" x14ac:dyDescent="0.25"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</row>
    <row r="90" spans="3:22" ht="15.75" customHeight="1" x14ac:dyDescent="0.25"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</row>
    <row r="91" spans="3:22" ht="15.75" customHeight="1" x14ac:dyDescent="0.25"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</row>
    <row r="92" spans="3:22" ht="15.75" customHeight="1" x14ac:dyDescent="0.25"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</row>
    <row r="93" spans="3:22" ht="15.75" customHeight="1" x14ac:dyDescent="0.25"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</row>
    <row r="94" spans="3:22" ht="15.75" customHeight="1" x14ac:dyDescent="0.25"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</row>
    <row r="95" spans="3:22" ht="15.75" customHeight="1" x14ac:dyDescent="0.25"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</row>
    <row r="96" spans="3:22" ht="15.75" customHeight="1" x14ac:dyDescent="0.25"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</row>
    <row r="97" spans="3:22" ht="15.75" customHeight="1" x14ac:dyDescent="0.25"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</row>
    <row r="98" spans="3:22" ht="15.75" customHeight="1" x14ac:dyDescent="0.25"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</row>
    <row r="99" spans="3:22" ht="15.75" customHeight="1" x14ac:dyDescent="0.25"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</row>
    <row r="100" spans="3:22" ht="15.75" customHeight="1" x14ac:dyDescent="0.25"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</row>
    <row r="101" spans="3:22" ht="15.75" customHeight="1" x14ac:dyDescent="0.25"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</row>
    <row r="102" spans="3:22" ht="15.75" customHeight="1" x14ac:dyDescent="0.25"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</row>
    <row r="103" spans="3:22" ht="15.75" customHeight="1" x14ac:dyDescent="0.25"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</row>
    <row r="104" spans="3:22" ht="15.75" customHeight="1" x14ac:dyDescent="0.25"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</row>
    <row r="105" spans="3:22" ht="15.75" customHeight="1" x14ac:dyDescent="0.25"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</row>
    <row r="106" spans="3:22" ht="15.75" customHeight="1" x14ac:dyDescent="0.25"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</row>
    <row r="107" spans="3:22" ht="15.75" customHeight="1" x14ac:dyDescent="0.25"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</row>
    <row r="108" spans="3:22" ht="15.75" customHeight="1" x14ac:dyDescent="0.25"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</row>
    <row r="109" spans="3:22" ht="15.75" customHeight="1" x14ac:dyDescent="0.25"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</row>
    <row r="110" spans="3:22" ht="15.75" customHeight="1" x14ac:dyDescent="0.25"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</row>
    <row r="111" spans="3:22" ht="15.75" customHeight="1" x14ac:dyDescent="0.25"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</row>
    <row r="112" spans="3:22" ht="15.75" customHeight="1" x14ac:dyDescent="0.25"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</row>
    <row r="113" spans="3:22" ht="15.75" customHeight="1" x14ac:dyDescent="0.25"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</row>
    <row r="114" spans="3:22" ht="15.75" customHeight="1" x14ac:dyDescent="0.25"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</row>
    <row r="115" spans="3:22" ht="15.75" customHeight="1" x14ac:dyDescent="0.25"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</row>
    <row r="116" spans="3:22" ht="15.75" customHeight="1" x14ac:dyDescent="0.25"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</row>
    <row r="117" spans="3:22" ht="15.75" customHeight="1" x14ac:dyDescent="0.25"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</row>
    <row r="118" spans="3:22" ht="15.75" customHeight="1" x14ac:dyDescent="0.25"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</row>
    <row r="119" spans="3:22" ht="15.75" customHeight="1" x14ac:dyDescent="0.25"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</row>
    <row r="120" spans="3:22" ht="15.75" customHeight="1" x14ac:dyDescent="0.25"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</row>
    <row r="121" spans="3:22" ht="15.75" customHeight="1" x14ac:dyDescent="0.25"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</row>
    <row r="122" spans="3:22" ht="15.75" customHeight="1" x14ac:dyDescent="0.25"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</row>
    <row r="123" spans="3:22" ht="15.75" customHeight="1" x14ac:dyDescent="0.25"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</row>
    <row r="124" spans="3:22" ht="15.75" customHeight="1" x14ac:dyDescent="0.25"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</row>
    <row r="125" spans="3:22" ht="15.75" customHeight="1" x14ac:dyDescent="0.25"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</row>
    <row r="126" spans="3:22" ht="15.75" customHeight="1" x14ac:dyDescent="0.25"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</row>
    <row r="127" spans="3:22" ht="15.75" customHeight="1" x14ac:dyDescent="0.25"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</row>
    <row r="128" spans="3:22" ht="15.75" customHeight="1" x14ac:dyDescent="0.25"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</row>
    <row r="129" spans="3:22" ht="15.75" customHeight="1" x14ac:dyDescent="0.25"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</row>
    <row r="130" spans="3:22" ht="15.75" customHeight="1" x14ac:dyDescent="0.25"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</row>
    <row r="131" spans="3:22" ht="15.75" customHeight="1" x14ac:dyDescent="0.25"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</row>
    <row r="132" spans="3:22" ht="15.75" customHeight="1" x14ac:dyDescent="0.25"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</row>
    <row r="133" spans="3:22" ht="15.75" customHeight="1" x14ac:dyDescent="0.25"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</row>
    <row r="134" spans="3:22" ht="15.75" customHeight="1" x14ac:dyDescent="0.25"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</row>
    <row r="135" spans="3:22" ht="15.75" customHeight="1" x14ac:dyDescent="0.25"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</row>
    <row r="136" spans="3:22" ht="15.75" customHeight="1" x14ac:dyDescent="0.25"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</row>
    <row r="137" spans="3:22" ht="15.75" customHeight="1" x14ac:dyDescent="0.25"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</row>
    <row r="138" spans="3:22" ht="15.75" customHeight="1" x14ac:dyDescent="0.25"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</row>
    <row r="139" spans="3:22" ht="15.75" customHeight="1" x14ac:dyDescent="0.25"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</row>
    <row r="140" spans="3:22" ht="15.75" customHeight="1" x14ac:dyDescent="0.25"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</row>
    <row r="141" spans="3:22" ht="15.75" customHeight="1" x14ac:dyDescent="0.25"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</row>
    <row r="142" spans="3:22" ht="15.75" customHeight="1" x14ac:dyDescent="0.25"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</row>
    <row r="143" spans="3:22" ht="15.75" customHeight="1" x14ac:dyDescent="0.25"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</row>
    <row r="144" spans="3:22" ht="15.75" customHeight="1" x14ac:dyDescent="0.25"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</row>
    <row r="145" spans="3:22" ht="15.75" customHeight="1" x14ac:dyDescent="0.25"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</row>
    <row r="146" spans="3:22" ht="15.75" customHeight="1" x14ac:dyDescent="0.25"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</row>
    <row r="147" spans="3:22" ht="15.75" customHeight="1" x14ac:dyDescent="0.25"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</row>
    <row r="148" spans="3:22" ht="15.75" customHeight="1" x14ac:dyDescent="0.25"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</row>
    <row r="149" spans="3:22" ht="15.75" customHeight="1" x14ac:dyDescent="0.25"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</row>
    <row r="150" spans="3:22" ht="15.75" customHeight="1" x14ac:dyDescent="0.25"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</row>
    <row r="151" spans="3:22" ht="15.75" customHeight="1" x14ac:dyDescent="0.25"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</row>
    <row r="152" spans="3:22" ht="15.75" customHeight="1" x14ac:dyDescent="0.25"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</row>
    <row r="153" spans="3:22" ht="15.75" customHeight="1" x14ac:dyDescent="0.25"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</row>
    <row r="154" spans="3:22" ht="15.75" customHeight="1" x14ac:dyDescent="0.25"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</row>
    <row r="155" spans="3:22" ht="15.75" customHeight="1" x14ac:dyDescent="0.25"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</row>
    <row r="156" spans="3:22" ht="15.75" customHeight="1" x14ac:dyDescent="0.25"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</row>
    <row r="157" spans="3:22" ht="15.75" customHeight="1" x14ac:dyDescent="0.25"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</row>
    <row r="158" spans="3:22" ht="15.75" customHeight="1" x14ac:dyDescent="0.25"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</row>
    <row r="159" spans="3:22" ht="15.75" customHeight="1" x14ac:dyDescent="0.25"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</row>
    <row r="160" spans="3:22" ht="15.75" customHeight="1" x14ac:dyDescent="0.25"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</row>
    <row r="161" spans="3:22" ht="15.75" customHeight="1" x14ac:dyDescent="0.25"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</row>
    <row r="162" spans="3:22" ht="15.75" customHeight="1" x14ac:dyDescent="0.25"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</row>
    <row r="163" spans="3:22" ht="15.75" customHeight="1" x14ac:dyDescent="0.25"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</row>
    <row r="164" spans="3:22" ht="15.75" customHeight="1" x14ac:dyDescent="0.25"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</row>
    <row r="165" spans="3:22" ht="15.75" customHeight="1" x14ac:dyDescent="0.25"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</row>
    <row r="166" spans="3:22" ht="15.75" customHeight="1" x14ac:dyDescent="0.25"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</row>
    <row r="167" spans="3:22" ht="15.75" customHeight="1" x14ac:dyDescent="0.25"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</row>
    <row r="168" spans="3:22" ht="15.75" customHeight="1" x14ac:dyDescent="0.25"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</row>
    <row r="169" spans="3:22" ht="15.75" customHeight="1" x14ac:dyDescent="0.25"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</row>
    <row r="170" spans="3:22" ht="15.75" customHeight="1" x14ac:dyDescent="0.25"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</row>
    <row r="171" spans="3:22" ht="15.75" customHeight="1" x14ac:dyDescent="0.25"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</row>
    <row r="172" spans="3:22" ht="15.75" customHeight="1" x14ac:dyDescent="0.25"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</row>
    <row r="173" spans="3:22" ht="15.75" customHeight="1" x14ac:dyDescent="0.25"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</row>
    <row r="174" spans="3:22" ht="15.75" customHeight="1" x14ac:dyDescent="0.25"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</row>
    <row r="175" spans="3:22" ht="15.75" customHeight="1" x14ac:dyDescent="0.25"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</row>
    <row r="176" spans="3:22" ht="15.75" customHeight="1" x14ac:dyDescent="0.25"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</row>
    <row r="177" spans="3:22" ht="15.75" customHeight="1" x14ac:dyDescent="0.25"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</row>
    <row r="178" spans="3:22" ht="15.75" customHeight="1" x14ac:dyDescent="0.25"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</row>
    <row r="179" spans="3:22" ht="15.75" customHeight="1" x14ac:dyDescent="0.25"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</row>
    <row r="180" spans="3:22" ht="15.75" customHeight="1" x14ac:dyDescent="0.25"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</row>
    <row r="181" spans="3:22" ht="15.75" customHeight="1" x14ac:dyDescent="0.25"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</row>
    <row r="182" spans="3:22" ht="15.75" customHeight="1" x14ac:dyDescent="0.25"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</row>
    <row r="183" spans="3:22" ht="15.75" customHeight="1" x14ac:dyDescent="0.25"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</row>
    <row r="184" spans="3:22" ht="15.75" customHeight="1" x14ac:dyDescent="0.25"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</row>
    <row r="185" spans="3:22" ht="15.75" customHeight="1" x14ac:dyDescent="0.25"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</row>
    <row r="186" spans="3:22" ht="15.75" customHeight="1" x14ac:dyDescent="0.25"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</row>
    <row r="187" spans="3:22" ht="15.75" customHeight="1" x14ac:dyDescent="0.25"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</row>
    <row r="188" spans="3:22" ht="15.75" customHeight="1" x14ac:dyDescent="0.25"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</row>
    <row r="189" spans="3:22" ht="15.75" customHeight="1" x14ac:dyDescent="0.25"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</row>
    <row r="190" spans="3:22" ht="15.75" customHeight="1" x14ac:dyDescent="0.25"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</row>
    <row r="191" spans="3:22" ht="15.75" customHeight="1" x14ac:dyDescent="0.25"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</row>
    <row r="192" spans="3:22" ht="15.75" customHeight="1" x14ac:dyDescent="0.25"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</row>
    <row r="193" spans="3:22" ht="15.75" customHeight="1" x14ac:dyDescent="0.25"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</row>
    <row r="194" spans="3:22" ht="15.75" customHeight="1" x14ac:dyDescent="0.25"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</row>
    <row r="195" spans="3:22" ht="15.75" customHeight="1" x14ac:dyDescent="0.25"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</row>
    <row r="196" spans="3:22" ht="15.75" customHeight="1" x14ac:dyDescent="0.25"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</row>
    <row r="197" spans="3:22" ht="15.75" customHeight="1" x14ac:dyDescent="0.25"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</row>
    <row r="198" spans="3:22" ht="15.75" customHeight="1" x14ac:dyDescent="0.25"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</row>
    <row r="199" spans="3:22" ht="15.75" customHeight="1" x14ac:dyDescent="0.25"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</row>
    <row r="200" spans="3:22" ht="15.75" customHeight="1" x14ac:dyDescent="0.25"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</row>
    <row r="201" spans="3:22" ht="15.75" customHeight="1" x14ac:dyDescent="0.25"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</row>
    <row r="202" spans="3:22" ht="15.75" customHeight="1" x14ac:dyDescent="0.25"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</row>
    <row r="203" spans="3:22" ht="15.75" customHeight="1" x14ac:dyDescent="0.25"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</row>
    <row r="204" spans="3:22" ht="15.75" customHeight="1" x14ac:dyDescent="0.25"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</row>
    <row r="205" spans="3:22" ht="15.75" customHeight="1" x14ac:dyDescent="0.25"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</row>
    <row r="206" spans="3:22" ht="15.75" customHeight="1" x14ac:dyDescent="0.25"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</row>
    <row r="207" spans="3:22" ht="15.75" customHeight="1" x14ac:dyDescent="0.25"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</row>
    <row r="208" spans="3:22" ht="15.75" customHeight="1" x14ac:dyDescent="0.25"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</row>
    <row r="209" spans="3:22" ht="15.75" customHeight="1" x14ac:dyDescent="0.25"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</row>
    <row r="210" spans="3:22" ht="15.75" customHeight="1" x14ac:dyDescent="0.25"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</row>
    <row r="211" spans="3:22" ht="15.75" customHeight="1" x14ac:dyDescent="0.25"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</row>
    <row r="212" spans="3:22" ht="15.75" customHeight="1" x14ac:dyDescent="0.25"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</row>
    <row r="213" spans="3:22" ht="15.75" customHeight="1" x14ac:dyDescent="0.25"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</row>
    <row r="214" spans="3:22" ht="15.75" customHeight="1" x14ac:dyDescent="0.25"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</row>
    <row r="215" spans="3:22" ht="15.75" customHeight="1" x14ac:dyDescent="0.25"/>
    <row r="216" spans="3:22" ht="15.75" customHeight="1" x14ac:dyDescent="0.25"/>
    <row r="217" spans="3:22" ht="15.75" customHeight="1" x14ac:dyDescent="0.25"/>
    <row r="218" spans="3:22" ht="15.75" customHeight="1" x14ac:dyDescent="0.25"/>
    <row r="219" spans="3:22" ht="15.75" customHeight="1" x14ac:dyDescent="0.25"/>
    <row r="220" spans="3:22" ht="15.75" customHeight="1" x14ac:dyDescent="0.25"/>
    <row r="221" spans="3:22" ht="15.75" customHeight="1" x14ac:dyDescent="0.25"/>
    <row r="222" spans="3:22" ht="15.75" customHeight="1" x14ac:dyDescent="0.25"/>
    <row r="223" spans="3:22" ht="15.75" customHeight="1" x14ac:dyDescent="0.25"/>
    <row r="224" spans="3:2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4">
    <mergeCell ref="C1:G1"/>
    <mergeCell ref="H1:L1"/>
    <mergeCell ref="M1:Q1"/>
    <mergeCell ref="R1:V1"/>
  </mergeCells>
  <conditionalFormatting sqref="C3:Q13">
    <cfRule type="cellIs" dxfId="1" priority="1" operator="greaterThan">
      <formula>0</formula>
    </cfRule>
    <cfRule type="cellIs" dxfId="0" priority="2" operator="equal">
      <formula>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Commercial</vt:lpstr>
      <vt:lpstr>Agents Hrs</vt:lpstr>
      <vt:lpstr>Commercial Agent-Day</vt:lpstr>
      <vt:lpstr>COM Winbacks</vt:lpstr>
      <vt:lpstr>Residential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Ford</dc:creator>
  <cp:lastModifiedBy>Cristhian Mondragon</cp:lastModifiedBy>
  <dcterms:created xsi:type="dcterms:W3CDTF">2019-04-02T20:53:37Z</dcterms:created>
  <dcterms:modified xsi:type="dcterms:W3CDTF">2026-10-15T13:59:55Z</dcterms:modified>
</cp:coreProperties>
</file>