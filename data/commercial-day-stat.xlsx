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YUh6eCIqC+VzH/PEkUrm57FnD0dYLQ6QG2AGF+OQG10="/>
    </ext>
  </extLst>
</workbook>
</file>

<file path=xl/sharedStrings.xml><?xml version="1.0" encoding="utf-8"?>
<sst xmlns="http://schemas.openxmlformats.org/spreadsheetml/2006/main" count="417" uniqueCount="93">
  <si>
    <t>Rep #</t>
  </si>
  <si>
    <t>Eligo Energy Hours Commercial</t>
  </si>
  <si>
    <t>Rep Name</t>
  </si>
  <si>
    <t>Commercial — Sales &amp; Fronts by Agent, by Day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</si>
  <si>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</si>
  <si>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</si>
  <si>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</si>
  <si>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</si>
  <si>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</si>
  <si>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</si>
  <si>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</si>
  <si>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</si>
  <si>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</si>
  <si>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</si>
  <si>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</si>
  <si>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</si>
  <si>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</si>
  <si>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</si>
  <si>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FRONTS</t>
  </si>
  <si>
    <t>IN HOUSE AGENTS</t>
  </si>
  <si>
    <t>Name</t>
  </si>
  <si>
    <t>Hrs</t>
  </si>
  <si>
    <t xml:space="preserve">Thursday </t>
  </si>
  <si>
    <t>TOTAL</t>
  </si>
  <si>
    <t>SALES (CLOSES)</t>
  </si>
  <si>
    <t>Mon</t>
  </si>
  <si>
    <t>Tue</t>
  </si>
  <si>
    <t>Neil Singhal (Commercial)</t>
  </si>
  <si>
    <t>Wed</t>
  </si>
  <si>
    <t>Thu</t>
  </si>
  <si>
    <t>Fri</t>
  </si>
  <si>
    <t>Front Total</t>
  </si>
  <si>
    <t xml:space="preserve">Brandy Paton </t>
  </si>
  <si>
    <t>830-1230</t>
  </si>
  <si>
    <t>Sales Total</t>
  </si>
  <si>
    <t>Grand Total (Fronts + Sales)</t>
  </si>
  <si>
    <t>Raven Mitchell</t>
  </si>
  <si>
    <t>ELIGO</t>
  </si>
  <si>
    <t>CJ</t>
  </si>
  <si>
    <t>TOTAL RESI</t>
  </si>
  <si>
    <t>Kenticka Tate (Remote)(Commercial)</t>
  </si>
  <si>
    <t>830-5</t>
  </si>
  <si>
    <t>Total Hrs</t>
  </si>
  <si>
    <t>SPH</t>
  </si>
  <si>
    <t>MWH Total</t>
  </si>
  <si>
    <t>Raven Mitchell (Commercial)</t>
  </si>
  <si>
    <t>Commercial Agents</t>
  </si>
  <si>
    <t xml:space="preserve">Neil Singhal </t>
  </si>
  <si>
    <t>830-445</t>
  </si>
  <si>
    <t>Front</t>
  </si>
  <si>
    <t>Sales</t>
  </si>
  <si>
    <t>Resi</t>
  </si>
  <si>
    <t>MGW</t>
  </si>
  <si>
    <t>Albert Williams (Commercial)</t>
  </si>
  <si>
    <t>TOR</t>
  </si>
  <si>
    <t>Ashlee Franks</t>
  </si>
  <si>
    <t>Ian Mills</t>
  </si>
  <si>
    <t>1000-1115-1130-1145-5</t>
  </si>
  <si>
    <t>Total</t>
  </si>
  <si>
    <t>Angie Castro</t>
  </si>
  <si>
    <t>900-1045-1100-5</t>
  </si>
  <si>
    <t>HOURS</t>
  </si>
  <si>
    <t>Night Shift</t>
  </si>
  <si>
    <t>Remote Agents</t>
  </si>
  <si>
    <t>TRAINING (in house)</t>
  </si>
  <si>
    <t>Trainees</t>
  </si>
  <si>
    <t>Admin Staff</t>
  </si>
  <si>
    <t>Night Reps</t>
  </si>
  <si>
    <t xml:space="preserve">DEALS </t>
  </si>
  <si>
    <t>TOTAL DEALS</t>
  </si>
  <si>
    <t>Jakarta Hunter</t>
  </si>
  <si>
    <t>Kenticka Tate (Commercial)</t>
  </si>
  <si>
    <t>Luis Buitrago</t>
  </si>
  <si>
    <t>Brandy Paton (Commercial)</t>
  </si>
  <si>
    <t>Abigail Gambino</t>
  </si>
  <si>
    <t>Ashlee Franks (Commercial)</t>
  </si>
  <si>
    <t>Allen Alberts</t>
  </si>
  <si>
    <t>CJ Jackson (Manager/Closer)</t>
  </si>
  <si>
    <t>Kenticka Tate (Remote)</t>
  </si>
  <si>
    <t>Brandy Paton</t>
  </si>
  <si>
    <t xml:space="preserve"> </t>
  </si>
  <si>
    <t>Shelby Lewis</t>
  </si>
  <si>
    <t>Neil Singhal</t>
  </si>
  <si>
    <t>Albert Williams</t>
  </si>
  <si>
    <t>CJ Jackson (Manager)</t>
  </si>
  <si>
    <t>COM Winbacks</t>
  </si>
  <si>
    <t>Residential</t>
  </si>
  <si>
    <t>Commercial</t>
  </si>
  <si>
    <t>DAILY TOTALS</t>
  </si>
  <si>
    <t>Grand Total</t>
  </si>
  <si>
    <t>FRONTERS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</si>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</sst>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"/>
    <numFmt numFmtId="165" formatCode="m\-d"/>
  </numFmts>
  <fonts count="11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b/>
      <u/>
      <sz val="11.0"/>
      <color rgb="FF000000"/>
      <name val="Calibri"/>
    </font>
    <font>
      <b/>
      <sz val="13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b/>
      <sz val="11.0"/>
      <color rgb="FFFFFFFF"/>
      <name val="Calibri"/>
    </font>
    <font>
      <i/>
      <sz val="9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ck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/>
      <right/>
      <top/>
      <bottom/>
    </border>
    <border>
      <left style="thick">
        <color rgb="FF000000"/>
      </left>
      <top style="thick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0" fillId="0" fontId="3" numFmtId="0" xfId="0" applyFont="1"/>
    <xf borderId="1" fillId="3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2" fillId="3" fontId="2" numFmtId="0" xfId="0" applyAlignment="1" applyBorder="1" applyFill="1" applyFont="1">
      <alignment horizontal="left"/>
    </xf>
    <xf borderId="0" fillId="0" fontId="4" numFmtId="0" xfId="0" applyAlignment="1" applyFont="1">
      <alignment horizontal="left" vertical="center"/>
    </xf>
    <xf borderId="0" fillId="0" fontId="5" numFmtId="0" xfId="0" applyFont="1"/>
    <xf borderId="3" fillId="3" fontId="5" numFmtId="0" xfId="0" applyAlignment="1" applyBorder="1" applyFill="1" applyFont="1">
      <alignment horizontal="center"/>
    </xf>
    <xf borderId="4" fillId="0" fontId="6" numFmtId="0" xfId="0" applyBorder="1" applyFont="1"/>
    <xf borderId="0" fillId="0" fontId="5" numFmtId="0" xfId="0" applyAlignment="1" applyFont="1">
      <alignment horizontal="center" vertical="center"/>
    </xf>
    <xf borderId="5" fillId="0" fontId="6" numFmtId="0" xfId="0" applyBorder="1" applyFont="1"/>
    <xf borderId="6" fillId="3" fontId="5" numFmtId="0" xfId="0" applyAlignment="1" applyBorder="1" applyFill="1" applyFont="1">
      <alignment horizontal="center"/>
    </xf>
    <xf borderId="6" fillId="0" fontId="7" numFmtId="0" xfId="0" applyAlignment="1" applyBorder="1" applyFont="1">
      <alignment horizontal="center"/>
    </xf>
    <xf borderId="7" fillId="3" fontId="2" numFmtId="0" xfId="0" applyAlignment="1" applyBorder="1" applyFill="1" applyFont="1">
      <alignment horizontal="center"/>
    </xf>
    <xf borderId="8" fillId="3" fontId="2" numFmtId="0" xfId="0" applyAlignment="1" applyBorder="1" applyFill="1" applyFont="1">
      <alignment horizontal="center" vertical="center"/>
    </xf>
    <xf borderId="8" fillId="3" fontId="5" numFmtId="0" xfId="0" applyAlignment="1" applyBorder="1" applyFill="1" applyFont="1">
      <alignment horizontal="center" shrinkToFit="0" vertical="center" wrapText="1"/>
    </xf>
    <xf borderId="9" fillId="0" fontId="6" numFmtId="0" xfId="0" applyBorder="1" applyFont="1"/>
    <xf borderId="10" fillId="0" fontId="6" numFmtId="0" xfId="0" applyBorder="1" applyFont="1"/>
    <xf borderId="11" fillId="4" fontId="7" numFmtId="2" xfId="0" applyAlignment="1" applyBorder="1" applyFill="1" applyFont="1" applyNumberFormat="1">
      <alignment horizontal="center"/>
    </xf>
    <xf borderId="12" fillId="0" fontId="6" numFmtId="0" xfId="0" applyBorder="1" applyFont="1"/>
    <xf borderId="13" fillId="0" fontId="6" numFmtId="0" xfId="0" applyBorder="1" applyFont="1"/>
    <xf borderId="1" fillId="2" fontId="5" numFmtId="0" xfId="0" applyAlignment="1" applyBorder="1" applyFill="1" applyFont="1">
      <alignment horizontal="center"/>
    </xf>
    <xf borderId="14" fillId="0" fontId="6" numFmtId="0" xfId="0" applyBorder="1" applyFont="1"/>
    <xf borderId="1" fillId="2" fontId="2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shrinkToFit="0" wrapText="1"/>
    </xf>
    <xf borderId="15" fillId="0" fontId="6" numFmtId="0" xfId="0" applyBorder="1" applyFont="1"/>
    <xf borderId="16" fillId="0" fontId="5" numFmtId="0" xfId="0" applyAlignment="1" applyBorder="1" applyFont="1">
      <alignment shrinkToFit="0" wrapText="1"/>
    </xf>
    <xf borderId="17" fillId="0" fontId="6" numFmtId="0" xfId="0" applyBorder="1" applyFont="1"/>
    <xf borderId="1" fillId="5" fontId="5" numFmtId="0" xfId="0" applyAlignment="1" applyBorder="1" applyFill="1" applyFont="1">
      <alignment horizontal="center"/>
    </xf>
    <xf borderId="18" fillId="3" fontId="5" numFmtId="0" xfId="0" applyAlignment="1" applyBorder="1" applyFill="1" applyFont="1">
      <alignment horizontal="center"/>
    </xf>
    <xf borderId="19" fillId="2" fontId="2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shrinkToFit="0" wrapText="1"/>
    </xf>
    <xf borderId="20" fillId="3" fontId="2" numFmtId="0" xfId="0" applyAlignment="1" applyBorder="1" applyFill="1" applyFont="1">
      <alignment horizontal="center"/>
    </xf>
    <xf borderId="2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/>
    </xf>
    <xf borderId="19" fillId="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center"/>
    </xf>
    <xf borderId="22" fillId="3" fontId="2" numFmtId="0" xfId="0" applyAlignment="1" applyBorder="1" applyFill="1" applyFont="1">
      <alignment horizontal="center"/>
    </xf>
    <xf borderId="23" fillId="0" fontId="6" numFmtId="0" xfId="0" applyBorder="1" applyFont="1"/>
    <xf borderId="1" fillId="5" fontId="5" numFmtId="0" xfId="0" applyAlignment="1" applyBorder="1" applyFill="1" applyFont="1">
      <alignment horizontal="center" vertical="center"/>
    </xf>
    <xf borderId="24" fillId="0" fontId="6" numFmtId="0" xfId="0" applyBorder="1" applyFont="1"/>
    <xf borderId="1" fillId="0" fontId="5" numFmtId="0" xfId="0" applyBorder="1" applyFont="1"/>
    <xf borderId="1" fillId="0" fontId="5" numFmtId="0" xfId="0" applyAlignment="1" applyBorder="1" applyFont="1">
      <alignment shrinkToFit="0" wrapText="1"/>
    </xf>
    <xf borderId="25" fillId="5" fontId="5" numFmtId="0" xfId="0" applyAlignment="1" applyBorder="1" applyFill="1" applyFont="1">
      <alignment horizontal="center"/>
    </xf>
    <xf borderId="26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1" fillId="0" fontId="2" numFmtId="0" xfId="0" applyAlignment="1" applyBorder="1" applyFont="1">
      <alignment horizontal="center"/>
    </xf>
    <xf borderId="21" fillId="0" fontId="1" numFmtId="2" xfId="0" applyAlignment="1" applyBorder="1" applyFont="1" applyNumberFormat="1">
      <alignment horizontal="center"/>
    </xf>
    <xf borderId="27" fillId="6" fontId="2" numFmtId="0" xfId="0" applyAlignment="1" applyBorder="1" applyFill="1" applyFont="1">
      <alignment horizontal="center"/>
    </xf>
    <xf borderId="21" fillId="0" fontId="5" numFmtId="0" xfId="0" applyAlignment="1" applyBorder="1" applyFont="1">
      <alignment shrinkToFit="0" wrapText="1"/>
    </xf>
    <xf borderId="1" fillId="3" fontId="2" numFmtId="2" xfId="0" applyAlignment="1" applyBorder="1" applyFill="1" applyFont="1" applyNumberFormat="1">
      <alignment horizontal="center"/>
    </xf>
    <xf borderId="1" fillId="0" fontId="5" numFmtId="164" xfId="0" applyAlignment="1" applyBorder="1" applyFont="1" applyNumberFormat="1">
      <alignment horizontal="left" vertical="center"/>
    </xf>
    <xf borderId="19" fillId="3" fontId="5" numFmtId="0" xfId="0" applyBorder="1" applyFill="1" applyFont="1"/>
    <xf borderId="28" fillId="3" fontId="2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29" fillId="2" fontId="2" numFmtId="0" xfId="0" applyAlignment="1" applyBorder="1" applyFill="1" applyFont="1">
      <alignment horizontal="center"/>
    </xf>
    <xf borderId="30" fillId="3" fontId="2" numFmtId="0" xfId="0" applyAlignment="1" applyBorder="1" applyFill="1" applyFont="1">
      <alignment horizontal="center" shrinkToFit="0" vertical="center" wrapText="1"/>
    </xf>
    <xf borderId="1" fillId="0" fontId="5" numFmtId="165" xfId="0" applyAlignment="1" applyBorder="1" applyFont="1" applyNumberFormat="1">
      <alignment horizontal="left" vertical="center"/>
    </xf>
    <xf borderId="31" fillId="3" fontId="2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/>
    </xf>
    <xf borderId="8" fillId="0" fontId="5" numFmtId="0" xfId="0" applyAlignment="1" applyBorder="1" applyFont="1">
      <alignment horizontal="center" shrinkToFit="0" wrapText="1"/>
    </xf>
    <xf borderId="32" fillId="0" fontId="2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shrinkToFit="0" wrapText="1"/>
    </xf>
    <xf borderId="33" fillId="6" fontId="2" numFmtId="0" xfId="0" applyAlignment="1" applyBorder="1" applyFill="1" applyFont="1">
      <alignment horizontal="center" shrinkToFit="0" vertical="center" wrapText="1"/>
    </xf>
    <xf borderId="34" fillId="5" fontId="2" numFmtId="0" xfId="0" applyAlignment="1" applyBorder="1" applyFill="1" applyFont="1">
      <alignment horizontal="center"/>
    </xf>
    <xf borderId="1" fillId="2" fontId="5" numFmtId="2" xfId="0" applyAlignment="1" applyBorder="1" applyFill="1" applyFont="1" applyNumberFormat="1">
      <alignment horizontal="center"/>
    </xf>
    <xf borderId="6" fillId="7" fontId="7" numFmtId="0" xfId="0" applyAlignment="1" applyBorder="1" applyFill="1" applyFont="1">
      <alignment horizontal="center"/>
    </xf>
    <xf borderId="26" fillId="3" fontId="2" numFmtId="0" xfId="0" applyAlignment="1" applyBorder="1" applyFill="1" applyFont="1">
      <alignment horizontal="center" shrinkToFit="0" vertical="center" wrapText="1"/>
    </xf>
    <xf borderId="1" fillId="7" fontId="7" numFmtId="20" xfId="0" applyAlignment="1" applyBorder="1" applyFill="1" applyFont="1" applyNumberFormat="1">
      <alignment horizontal="left" vertical="center"/>
    </xf>
    <xf borderId="8" fillId="0" fontId="5" numFmtId="0" xfId="0" applyAlignment="1" applyBorder="1" applyFont="1">
      <alignment shrinkToFit="0" wrapText="1"/>
    </xf>
    <xf borderId="35" fillId="7" fontId="7" numFmtId="0" xfId="0" applyAlignment="1" applyBorder="1" applyFill="1" applyFont="1">
      <alignment horizontal="center"/>
    </xf>
    <xf borderId="25" fillId="7" fontId="7" numFmtId="20" xfId="0" applyAlignment="1" applyBorder="1" applyFill="1" applyFont="1" applyNumberFormat="1">
      <alignment horizontal="left"/>
    </xf>
    <xf borderId="36" fillId="5" fontId="2" numFmtId="0" xfId="0" applyAlignment="1" applyBorder="1" applyFill="1" applyFont="1">
      <alignment horizontal="center" vertical="center"/>
    </xf>
    <xf borderId="37" fillId="3" fontId="2" numFmtId="0" xfId="0" applyAlignment="1" applyBorder="1" applyFill="1" applyFont="1">
      <alignment horizontal="left"/>
    </xf>
    <xf borderId="37" fillId="2" fontId="5" numFmtId="0" xfId="0" applyAlignment="1" applyBorder="1" applyFill="1" applyFont="1">
      <alignment horizontal="center"/>
    </xf>
    <xf borderId="37" fillId="7" fontId="7" numFmtId="20" xfId="0" applyAlignment="1" applyBorder="1" applyFill="1" applyFont="1" applyNumberFormat="1">
      <alignment horizontal="left"/>
    </xf>
    <xf borderId="37" fillId="2" fontId="2" numFmtId="0" xfId="0" applyAlignment="1" applyBorder="1" applyFill="1" applyFont="1">
      <alignment horizontal="center"/>
    </xf>
    <xf borderId="25" fillId="7" fontId="1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vertical="center"/>
    </xf>
    <xf borderId="8" fillId="4" fontId="7" numFmtId="2" xfId="0" applyAlignment="1" applyBorder="1" applyFill="1" applyFont="1" applyNumberFormat="1">
      <alignment horizontal="center"/>
    </xf>
    <xf borderId="1" fillId="5" fontId="1" numFmtId="0" xfId="0" applyAlignment="1" applyBorder="1" applyFill="1" applyFont="1">
      <alignment horizontal="center" vertical="center"/>
    </xf>
    <xf borderId="1" fillId="0" fontId="1" numFmtId="20" xfId="0" applyAlignment="1" applyBorder="1" applyFont="1" applyNumberFormat="1">
      <alignment horizontal="left" vertical="center"/>
    </xf>
    <xf borderId="21" fillId="0" fontId="1" numFmtId="20" xfId="0" applyAlignment="1" applyBorder="1" applyFont="1" applyNumberFormat="1">
      <alignment horizontal="left"/>
    </xf>
    <xf borderId="38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 shrinkToFit="0" vertical="center" wrapText="1"/>
    </xf>
    <xf borderId="1" fillId="0" fontId="1" numFmtId="2" xfId="0" applyAlignment="1" applyBorder="1" applyFont="1" applyNumberFormat="1">
      <alignment horizontal="center"/>
    </xf>
    <xf borderId="0" fillId="0" fontId="5" numFmtId="0" xfId="0" applyAlignment="1" applyFont="1">
      <alignment vertical="center"/>
    </xf>
    <xf borderId="21" fillId="0" fontId="1" numFmtId="0" xfId="0" applyAlignment="1" applyBorder="1" applyFont="1">
      <alignment horizontal="left" vertical="center"/>
    </xf>
    <xf borderId="1" fillId="0" fontId="1" numFmtId="20" xfId="0" applyAlignment="1" applyBorder="1" applyFont="1" applyNumberFormat="1">
      <alignment horizontal="left"/>
    </xf>
    <xf borderId="39" fillId="0" fontId="5" numFmtId="0" xfId="0" applyAlignment="1" applyBorder="1" applyFont="1">
      <alignment horizontal="center" shrinkToFit="0" wrapText="1"/>
    </xf>
    <xf borderId="21" fillId="0" fontId="1" numFmtId="20" xfId="0" applyAlignment="1" applyBorder="1" applyFont="1" applyNumberFormat="1">
      <alignment horizontal="left" vertical="center"/>
    </xf>
    <xf borderId="1" fillId="3" fontId="2" numFmtId="0" xfId="0" applyAlignment="1" applyBorder="1" applyFill="1" applyFont="1">
      <alignment horizontal="left"/>
    </xf>
    <xf borderId="1" fillId="0" fontId="5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vertical="center"/>
    </xf>
    <xf borderId="1" fillId="0" fontId="5" numFmtId="2" xfId="0" applyAlignment="1" applyBorder="1" applyFont="1" applyNumberFormat="1">
      <alignment horizontal="center" shrinkToFit="0" wrapText="1"/>
    </xf>
    <xf borderId="40" fillId="0" fontId="5" numFmtId="0" xfId="0" applyAlignment="1" applyBorder="1" applyFont="1">
      <alignment horizontal="center" shrinkToFit="0" wrapText="1"/>
    </xf>
    <xf borderId="25" fillId="2" fontId="5" numFmtId="0" xfId="0" applyAlignment="1" applyBorder="1" applyFill="1" applyFont="1">
      <alignment horizontal="center"/>
    </xf>
    <xf borderId="8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/>
    </xf>
    <xf borderId="41" fillId="0" fontId="1" numFmtId="20" xfId="0" applyAlignment="1" applyBorder="1" applyFont="1" applyNumberFormat="1">
      <alignment horizontal="left"/>
    </xf>
    <xf borderId="21" fillId="0" fontId="1" numFmtId="0" xfId="0" applyAlignment="1" applyBorder="1" applyFont="1">
      <alignment horizontal="center"/>
    </xf>
    <xf borderId="1" fillId="3" fontId="5" numFmtId="0" xfId="0" applyAlignment="1" applyBorder="1" applyFill="1" applyFont="1">
      <alignment horizontal="center"/>
    </xf>
    <xf borderId="6" fillId="0" fontId="1" numFmtId="2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6" fillId="0" fontId="1" numFmtId="0" xfId="0" applyBorder="1" applyFont="1"/>
    <xf borderId="42" fillId="0" fontId="1" numFmtId="0" xfId="0" applyAlignment="1" applyBorder="1" applyFont="1">
      <alignment horizontal="center"/>
    </xf>
    <xf borderId="40" fillId="5" fontId="5" numFmtId="0" xfId="0" applyAlignment="1" applyBorder="1" applyFill="1" applyFont="1">
      <alignment horizontal="center"/>
    </xf>
    <xf borderId="39" fillId="5" fontId="5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/>
    </xf>
    <xf borderId="12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33" fillId="6" fontId="2" numFmtId="0" xfId="0" applyAlignment="1" applyBorder="1" applyFill="1" applyFont="1">
      <alignment horizontal="center"/>
    </xf>
    <xf borderId="26" fillId="5" fontId="5" numFmtId="0" xfId="0" applyAlignment="1" applyBorder="1" applyFill="1" applyFont="1">
      <alignment horizontal="center" vertical="center"/>
    </xf>
    <xf borderId="1" fillId="0" fontId="5" numFmtId="2" xfId="0" applyAlignment="1" applyBorder="1" applyFont="1" applyNumberFormat="1">
      <alignment horizontal="center"/>
    </xf>
    <xf borderId="8" fillId="0" fontId="5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vertical="center"/>
    </xf>
    <xf borderId="40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/>
    </xf>
    <xf borderId="39" fillId="0" fontId="1" numFmtId="0" xfId="0" applyAlignment="1" applyBorder="1" applyFont="1">
      <alignment horizontal="left"/>
    </xf>
    <xf borderId="8" fillId="0" fontId="5" numFmtId="0" xfId="0" applyBorder="1" applyFont="1"/>
    <xf borderId="39" fillId="0" fontId="5" numFmtId="0" xfId="0" applyBorder="1" applyFont="1"/>
    <xf borderId="1" fillId="0" fontId="5" numFmtId="0" xfId="0" applyAlignment="1" applyBorder="1" applyFont="1">
      <alignment readingOrder="0"/>
    </xf>
    <xf borderId="2" fillId="5" fontId="5" numFmtId="0" xfId="0" applyAlignment="1" applyBorder="1" applyFill="1" applyFont="1">
      <alignment horizontal="center"/>
    </xf>
    <xf borderId="39" fillId="0" fontId="2" numFmtId="0" xfId="0" applyAlignment="1" applyBorder="1" applyFont="1">
      <alignment horizontal="center"/>
    </xf>
    <xf borderId="32" fillId="2" fontId="2" numFmtId="0" xfId="0" applyAlignment="1" applyBorder="1" applyFill="1" applyFont="1">
      <alignment horizontal="center"/>
    </xf>
    <xf borderId="34" fillId="2" fontId="2" numFmtId="0" xfId="0" applyAlignment="1" applyBorder="1" applyFill="1" applyFont="1">
      <alignment horizontal="center"/>
    </xf>
    <xf borderId="34" fillId="3" fontId="2" numFmtId="0" xfId="0" applyAlignment="1" applyBorder="1" applyFill="1" applyFont="1">
      <alignment horizontal="center"/>
    </xf>
    <xf borderId="36" fillId="2" fontId="2" numFmtId="0" xfId="0" applyAlignment="1" applyBorder="1" applyFill="1" applyFont="1">
      <alignment horizontal="center"/>
    </xf>
    <xf borderId="32" fillId="5" fontId="5" numFmtId="0" xfId="0" applyAlignment="1" applyBorder="1" applyFill="1" applyFont="1">
      <alignment horizontal="center" vertical="center"/>
    </xf>
    <xf borderId="34" fillId="0" fontId="5" numFmtId="0" xfId="0" applyAlignment="1" applyBorder="1" applyFont="1">
      <alignment horizontal="center"/>
    </xf>
    <xf borderId="33" fillId="0" fontId="5" numFmtId="0" xfId="0" applyBorder="1" applyFont="1"/>
    <xf borderId="25" fillId="5" fontId="5" numFmtId="0" xfId="0" applyAlignment="1" applyBorder="1" applyFill="1" applyFont="1">
      <alignment horizontal="center" vertical="center"/>
    </xf>
    <xf borderId="12" fillId="0" fontId="5" numFmtId="0" xfId="0" applyBorder="1" applyFont="1"/>
    <xf borderId="21" fillId="0" fontId="5" numFmtId="0" xfId="0" applyAlignment="1" applyBorder="1" applyFont="1">
      <alignment horizontal="center"/>
    </xf>
    <xf borderId="43" fillId="0" fontId="2" numFmtId="0" xfId="0" applyAlignment="1" applyBorder="1" applyFont="1">
      <alignment horizontal="center" shrinkToFit="0" wrapText="1"/>
    </xf>
    <xf borderId="44" fillId="0" fontId="2" numFmtId="0" xfId="0" applyAlignment="1" applyBorder="1" applyFont="1">
      <alignment horizontal="center" readingOrder="0" shrinkToFit="0" wrapText="1"/>
    </xf>
    <xf borderId="45" fillId="5" fontId="2" numFmtId="0" xfId="0" applyAlignment="1" applyBorder="1" applyFill="1" applyFont="1">
      <alignment horizontal="center"/>
    </xf>
    <xf borderId="46" fillId="0" fontId="5" numFmtId="2" xfId="0" applyAlignment="1" applyBorder="1" applyFont="1" applyNumberFormat="1">
      <alignment horizontal="center" shrinkToFit="0" wrapText="1"/>
    </xf>
    <xf borderId="47" fillId="5" fontId="2" numFmtId="0" xfId="0" applyAlignment="1" applyBorder="1" applyFill="1" applyFont="1">
      <alignment horizontal="center"/>
    </xf>
    <xf borderId="48" fillId="5" fontId="2" numFmtId="0" xfId="0" applyAlignment="1" applyBorder="1" applyFill="1" applyFont="1">
      <alignment horizontal="center"/>
    </xf>
    <xf borderId="48" fillId="2" fontId="2" numFmtId="0" xfId="0" applyAlignment="1" applyBorder="1" applyFill="1" applyFont="1">
      <alignment horizontal="center"/>
    </xf>
    <xf borderId="45" fillId="2" fontId="2" numFmtId="0" xfId="0" applyAlignment="1" applyBorder="1" applyFill="1" applyFont="1">
      <alignment horizontal="center"/>
    </xf>
    <xf borderId="47" fillId="2" fontId="2" numFmtId="0" xfId="0" applyAlignment="1" applyBorder="1" applyFill="1" applyFont="1">
      <alignment horizontal="center"/>
    </xf>
    <xf borderId="48" fillId="5" fontId="5" numFmtId="0" xfId="0" applyAlignment="1" applyBorder="1" applyFill="1" applyFont="1">
      <alignment horizontal="center" vertical="center"/>
    </xf>
    <xf borderId="46" fillId="0" fontId="5" numFmtId="0" xfId="0" applyAlignment="1" applyBorder="1" applyFont="1">
      <alignment horizontal="center"/>
    </xf>
    <xf borderId="37" fillId="7" fontId="5" numFmtId="0" xfId="0" applyAlignment="1" applyBorder="1" applyFill="1" applyFont="1">
      <alignment horizontal="center"/>
    </xf>
    <xf borderId="49" fillId="0" fontId="2" numFmtId="0" xfId="0" applyAlignment="1" applyBorder="1" applyFont="1">
      <alignment horizontal="center"/>
    </xf>
    <xf borderId="50" fillId="5" fontId="2" numFmtId="0" xfId="0" applyAlignment="1" applyBorder="1" applyFill="1" applyFont="1">
      <alignment horizontal="center"/>
    </xf>
    <xf borderId="51" fillId="0" fontId="2" numFmtId="0" xfId="0" applyAlignment="1" applyBorder="1" applyFont="1">
      <alignment horizontal="center"/>
    </xf>
    <xf borderId="52" fillId="6" fontId="2" numFmtId="0" xfId="0" applyAlignment="1" applyBorder="1" applyFill="1" applyFont="1">
      <alignment horizontal="center"/>
    </xf>
    <xf borderId="53" fillId="5" fontId="5" numFmtId="0" xfId="0" applyAlignment="1" applyBorder="1" applyFill="1" applyFont="1">
      <alignment horizontal="center" vertical="center"/>
    </xf>
    <xf borderId="1" fillId="7" fontId="5" numFmtId="0" xfId="0" applyAlignment="1" applyBorder="1" applyFill="1" applyFont="1">
      <alignment horizontal="center"/>
    </xf>
    <xf borderId="46" fillId="0" fontId="5" numFmtId="2" xfId="0" applyAlignment="1" applyBorder="1" applyFont="1" applyNumberFormat="1">
      <alignment horizontal="center"/>
    </xf>
    <xf borderId="54" fillId="0" fontId="5" numFmtId="0" xfId="0" applyAlignment="1" applyBorder="1" applyFont="1">
      <alignment horizontal="center"/>
    </xf>
    <xf borderId="46" fillId="0" fontId="5" numFmtId="0" xfId="0" applyBorder="1" applyFont="1"/>
    <xf borderId="55" fillId="3" fontId="2" numFmtId="0" xfId="0" applyAlignment="1" applyBorder="1" applyFill="1" applyFont="1">
      <alignment horizontal="left"/>
    </xf>
    <xf borderId="56" fillId="3" fontId="2" numFmtId="0" xfId="0" applyAlignment="1" applyBorder="1" applyFill="1" applyFont="1">
      <alignment horizontal="center"/>
    </xf>
    <xf borderId="37" fillId="3" fontId="2" numFmtId="0" xfId="0" applyAlignment="1" applyBorder="1" applyFill="1" applyFont="1">
      <alignment horizontal="center"/>
    </xf>
    <xf borderId="57" fillId="3" fontId="2" numFmtId="0" xfId="0" applyAlignment="1" applyBorder="1" applyFill="1" applyFont="1">
      <alignment horizontal="center"/>
    </xf>
    <xf borderId="21" fillId="0" fontId="1" numFmtId="0" xfId="0" applyAlignment="1" applyBorder="1" applyFont="1">
      <alignment horizontal="left" shrinkToFit="0" vertical="center" wrapText="1"/>
    </xf>
    <xf borderId="2" fillId="3" fontId="5" numFmtId="0" xfId="0" applyAlignment="1" applyBorder="1" applyFill="1" applyFont="1">
      <alignment horizontal="center"/>
    </xf>
    <xf borderId="57" fillId="2" fontId="5" numFmtId="0" xfId="0" applyAlignment="1" applyBorder="1" applyFill="1" applyFont="1">
      <alignment horizontal="center"/>
    </xf>
    <xf borderId="56" fillId="2" fontId="5" numFmtId="0" xfId="0" applyAlignment="1" applyBorder="1" applyFill="1" applyFont="1">
      <alignment horizontal="center"/>
    </xf>
    <xf borderId="6" fillId="2" fontId="2" numFmtId="0" xfId="0" applyAlignment="1" applyBorder="1" applyFill="1" applyFont="1">
      <alignment horizontal="center"/>
    </xf>
    <xf borderId="32" fillId="0" fontId="5" numFmtId="0" xfId="0" applyAlignment="1" applyBorder="1" applyFont="1">
      <alignment horizontal="center"/>
    </xf>
    <xf borderId="58" fillId="2" fontId="2" numFmtId="0" xfId="0" applyAlignment="1" applyBorder="1" applyFill="1" applyFont="1">
      <alignment horizontal="center"/>
    </xf>
    <xf borderId="36" fillId="0" fontId="5" numFmtId="0" xfId="0" applyBorder="1" applyFont="1"/>
    <xf borderId="55" fillId="2" fontId="2" numFmtId="0" xfId="0" applyAlignment="1" applyBorder="1" applyFill="1" applyFont="1">
      <alignment horizontal="center"/>
    </xf>
    <xf borderId="41" fillId="0" fontId="5" numFmtId="0" xfId="0" applyAlignment="1" applyBorder="1" applyFont="1">
      <alignment horizontal="left"/>
    </xf>
    <xf borderId="59" fillId="2" fontId="5" numFmtId="0" xfId="0" applyAlignment="1" applyBorder="1" applyFill="1" applyFont="1">
      <alignment horizontal="center"/>
    </xf>
    <xf borderId="41" fillId="0" fontId="5" numFmtId="0" xfId="0" applyAlignment="1" applyBorder="1" applyFont="1">
      <alignment horizontal="center"/>
    </xf>
    <xf borderId="58" fillId="2" fontId="5" numFmtId="0" xfId="0" applyAlignment="1" applyBorder="1" applyFill="1" applyFont="1">
      <alignment horizontal="center"/>
    </xf>
    <xf borderId="37" fillId="5" fontId="5" numFmtId="0" xfId="0" applyAlignment="1" applyBorder="1" applyFill="1" applyFont="1">
      <alignment horizontal="center"/>
    </xf>
    <xf borderId="37" fillId="2" fontId="5" numFmtId="2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/>
    </xf>
    <xf borderId="39" fillId="2" fontId="2" numFmtId="0" xfId="0" applyAlignment="1" applyBorder="1" applyFill="1" applyFont="1">
      <alignment horizontal="center"/>
    </xf>
    <xf borderId="40" fillId="2" fontId="2" numFmtId="0" xfId="0" applyAlignment="1" applyBorder="1" applyFill="1" applyFont="1">
      <alignment horizontal="center"/>
    </xf>
    <xf borderId="26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33" fillId="2" fontId="2" numFmtId="0" xfId="0" applyAlignment="1" applyBorder="1" applyFill="1" applyFont="1">
      <alignment horizontal="center"/>
    </xf>
    <xf borderId="1" fillId="2" fontId="2" numFmtId="2" xfId="0" applyAlignment="1" applyBorder="1" applyFill="1" applyFont="1" applyNumberFormat="1">
      <alignment horizontal="center"/>
    </xf>
    <xf borderId="16" fillId="0" fontId="5" numFmtId="0" xfId="0" applyAlignment="1" applyBorder="1" applyFont="1">
      <alignment vertical="center"/>
    </xf>
    <xf borderId="60" fillId="0" fontId="5" numFmtId="0" xfId="0" applyAlignment="1" applyBorder="1" applyFont="1">
      <alignment horizontal="center" vertical="center"/>
    </xf>
    <xf borderId="21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2" fillId="5" fontId="5" numFmtId="0" xfId="0" applyAlignment="1" applyBorder="1" applyFill="1" applyFont="1">
      <alignment horizontal="center"/>
    </xf>
    <xf borderId="63" fillId="5" fontId="5" numFmtId="0" xfId="0" applyAlignment="1" applyBorder="1" applyFill="1" applyFont="1">
      <alignment horizontal="center"/>
    </xf>
    <xf borderId="21" fillId="0" fontId="5" numFmtId="2" xfId="0" applyAlignment="1" applyBorder="1" applyFont="1" applyNumberFormat="1">
      <alignment horizontal="center"/>
    </xf>
    <xf borderId="21" fillId="0" fontId="5" numFmtId="0" xfId="0" applyBorder="1" applyFont="1"/>
    <xf borderId="64" fillId="0" fontId="2" numFmtId="0" xfId="0" applyAlignment="1" applyBorder="1" applyFont="1">
      <alignment horizontal="center" shrinkToFit="0" wrapText="1"/>
    </xf>
    <xf borderId="32" fillId="0" fontId="2" numFmtId="2" xfId="0" applyAlignment="1" applyBorder="1" applyFont="1" applyNumberFormat="1">
      <alignment horizontal="center" shrinkToFit="0" wrapText="1"/>
    </xf>
    <xf borderId="32" fillId="0" fontId="2" numFmtId="20" xfId="0" applyAlignment="1" applyBorder="1" applyFont="1" applyNumberFormat="1">
      <alignment horizontal="center" shrinkToFit="0" wrapText="1"/>
    </xf>
    <xf borderId="32" fillId="0" fontId="2" numFmtId="2" xfId="0" applyAlignment="1" applyBorder="1" applyFont="1" applyNumberFormat="1">
      <alignment horizontal="center" readingOrder="0" shrinkToFit="0" wrapText="1"/>
    </xf>
    <xf borderId="32" fillId="0" fontId="5" numFmtId="2" xfId="0" applyAlignment="1" applyBorder="1" applyFont="1" applyNumberFormat="1">
      <alignment horizontal="center"/>
    </xf>
    <xf borderId="55" fillId="2" fontId="2" numFmtId="0" xfId="0" applyAlignment="1" applyBorder="1" applyFill="1" applyFont="1">
      <alignment horizontal="center" vertical="center"/>
    </xf>
    <xf borderId="56" fillId="2" fontId="2" numFmtId="0" xfId="0" applyAlignment="1" applyBorder="1" applyFill="1" applyFont="1">
      <alignment horizontal="center" vertical="center"/>
    </xf>
    <xf borderId="37" fillId="2" fontId="2" numFmtId="0" xfId="0" applyAlignment="1" applyBorder="1" applyFill="1" applyFont="1">
      <alignment horizontal="center" vertical="center"/>
    </xf>
    <xf borderId="57" fillId="2" fontId="2" numFmtId="0" xfId="0" applyAlignment="1" applyBorder="1" applyFill="1" applyFont="1">
      <alignment horizontal="center" vertical="center"/>
    </xf>
    <xf borderId="33" fillId="2" fontId="5" numFmtId="0" xfId="0" applyAlignment="1" applyBorder="1" applyFill="1" applyFont="1">
      <alignment horizontal="center"/>
    </xf>
    <xf borderId="26" fillId="2" fontId="5" numFmtId="0" xfId="0" applyAlignment="1" applyBorder="1" applyFill="1" applyFont="1">
      <alignment horizontal="center"/>
    </xf>
    <xf borderId="65" fillId="2" fontId="5" numFmtId="2" xfId="0" applyAlignment="1" applyBorder="1" applyFill="1" applyFont="1" applyNumberFormat="1">
      <alignment horizontal="center"/>
    </xf>
    <xf borderId="65" fillId="2" fontId="5" numFmtId="0" xfId="0" applyAlignment="1" applyBorder="1" applyFill="1" applyFont="1">
      <alignment horizontal="center"/>
    </xf>
    <xf borderId="8" fillId="0" fontId="1" numFmtId="0" xfId="0" applyAlignment="1" applyBorder="1" applyFont="1">
      <alignment horizontal="left" shrinkToFit="0" vertical="center" wrapText="1"/>
    </xf>
    <xf borderId="39" fillId="0" fontId="1" numFmtId="0" xfId="0" applyAlignment="1" applyBorder="1" applyFont="1">
      <alignment horizontal="center" shrinkToFit="0" vertical="center" wrapText="1"/>
    </xf>
    <xf borderId="40" fillId="0" fontId="1" numFmtId="0" xfId="0" applyAlignment="1" applyBorder="1" applyFont="1">
      <alignment horizontal="center" shrinkToFit="0" vertical="center" wrapText="1"/>
    </xf>
    <xf borderId="33" fillId="6" fontId="5" numFmtId="0" xfId="0" applyAlignment="1" applyBorder="1" applyFill="1" applyFont="1">
      <alignment horizontal="center"/>
    </xf>
    <xf borderId="16" fillId="0" fontId="1" numFmtId="0" xfId="0" applyAlignment="1" applyBorder="1" applyFont="1">
      <alignment horizontal="left" shrinkToFit="0" vertical="center" wrapText="1"/>
    </xf>
    <xf borderId="60" fillId="0" fontId="1" numFmtId="0" xfId="0" applyAlignment="1" applyBorder="1" applyFont="1">
      <alignment horizontal="center" shrinkToFit="0" vertical="center" wrapText="1"/>
    </xf>
    <xf borderId="21" fillId="0" fontId="1" numFmtId="0" xfId="0" applyAlignment="1" applyBorder="1" applyFont="1">
      <alignment horizontal="center" shrinkToFit="0" vertical="center" wrapText="1"/>
    </xf>
    <xf borderId="61" fillId="0" fontId="1" numFmtId="0" xfId="0" applyAlignment="1" applyBorder="1" applyFont="1">
      <alignment horizontal="center" shrinkToFit="0" vertical="center" wrapText="1"/>
    </xf>
    <xf borderId="38" fillId="0" fontId="2" numFmtId="0" xfId="0" applyAlignment="1" applyBorder="1" applyFont="1">
      <alignment horizontal="center"/>
    </xf>
    <xf borderId="66" fillId="2" fontId="2" numFmtId="0" xfId="0" applyAlignment="1" applyBorder="1" applyFill="1" applyFont="1">
      <alignment horizontal="center"/>
    </xf>
    <xf borderId="67" fillId="2" fontId="2" numFmtId="0" xfId="0" applyAlignment="1" applyBorder="1" applyFill="1" applyFont="1">
      <alignment horizontal="center"/>
    </xf>
    <xf borderId="28" fillId="2" fontId="2" numFmtId="0" xfId="0" applyAlignment="1" applyBorder="1" applyFill="1" applyFont="1">
      <alignment horizontal="center"/>
    </xf>
    <xf borderId="68" fillId="2" fontId="2" numFmtId="0" xfId="0" applyAlignment="1" applyBorder="1" applyFill="1" applyFont="1">
      <alignment horizontal="center"/>
    </xf>
    <xf borderId="26" fillId="2" fontId="5" numFmtId="0" xfId="0" applyAlignment="1" applyBorder="1" applyFill="1" applyFont="1">
      <alignment horizontal="center" vertical="center"/>
    </xf>
    <xf borderId="1" fillId="2" fontId="5" numFmtId="0" xfId="0" applyBorder="1" applyFill="1" applyFont="1"/>
    <xf borderId="69" fillId="0" fontId="5" numFmtId="0" xfId="0" applyAlignment="1" applyBorder="1" applyFont="1">
      <alignment horizontal="left"/>
    </xf>
    <xf borderId="70" fillId="0" fontId="5" numFmtId="0" xfId="0" applyAlignment="1" applyBorder="1" applyFont="1">
      <alignment horizontal="center"/>
    </xf>
    <xf borderId="71" fillId="0" fontId="5" numFmtId="0" xfId="0" applyAlignment="1" applyBorder="1" applyFont="1">
      <alignment horizontal="center"/>
    </xf>
    <xf borderId="57" fillId="5" fontId="5" numFmtId="0" xfId="0" applyAlignment="1" applyBorder="1" applyFill="1" applyFont="1">
      <alignment horizontal="center"/>
    </xf>
    <xf borderId="56" fillId="5" fontId="5" numFmtId="0" xfId="0" applyAlignment="1" applyBorder="1" applyFill="1" applyFont="1">
      <alignment horizontal="center"/>
    </xf>
    <xf borderId="72" fillId="0" fontId="5" numFmtId="0" xfId="0" applyAlignment="1" applyBorder="1" applyFont="1">
      <alignment horizontal="center"/>
    </xf>
    <xf borderId="0" fillId="0" fontId="5" numFmtId="2" xfId="0" applyAlignment="1" applyFont="1" applyNumberFormat="1">
      <alignment horizontal="center"/>
    </xf>
    <xf borderId="8" fillId="0" fontId="5" numFmtId="0" xfId="0" applyAlignment="1" applyBorder="1" applyFont="1">
      <alignment horizontal="left"/>
    </xf>
    <xf borderId="73" fillId="0" fontId="5" numFmtId="0" xfId="0" applyAlignment="1" applyBorder="1" applyFont="1">
      <alignment horizontal="center"/>
    </xf>
    <xf borderId="74" fillId="0" fontId="5" numFmtId="0" xfId="0" applyAlignment="1" applyBorder="1" applyFont="1">
      <alignment horizontal="center"/>
    </xf>
    <xf borderId="75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76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19" fillId="8" fontId="9" numFmtId="0" xfId="0" applyBorder="1" applyFill="1" applyFont="1"/>
    <xf borderId="78" fillId="8" fontId="9" numFmtId="0" xfId="0" applyAlignment="1" applyBorder="1" applyFill="1" applyFont="1">
      <alignment horizontal="center"/>
    </xf>
    <xf borderId="79" fillId="0" fontId="6" numFmtId="0" xfId="0" applyBorder="1" applyFont="1"/>
    <xf borderId="80" fillId="0" fontId="6" numFmtId="0" xfId="0" applyBorder="1" applyFont="1"/>
    <xf borderId="78" fillId="9" fontId="9" numFmtId="0" xfId="0" applyAlignment="1" applyBorder="1" applyFill="1" applyFont="1">
      <alignment horizontal="center"/>
    </xf>
    <xf borderId="78" fillId="10" fontId="9" numFmtId="0" xfId="0" applyAlignment="1" applyBorder="1" applyFill="1" applyFont="1">
      <alignment horizontal="center"/>
    </xf>
    <xf borderId="78" fillId="11" fontId="9" numFmtId="0" xfId="0" applyAlignment="1" applyBorder="1" applyFill="1" applyFont="1">
      <alignment horizontal="center"/>
    </xf>
    <xf borderId="6" fillId="10" fontId="9" numFmtId="0" xfId="0" applyAlignment="1" applyBorder="1" applyFill="1" applyFont="1">
      <alignment horizontal="center"/>
    </xf>
    <xf borderId="19" fillId="12" fontId="9" numFmtId="0" xfId="0" applyAlignment="1" applyBorder="1" applyFill="1" applyFont="1">
      <alignment horizontal="center"/>
    </xf>
    <xf borderId="19" fillId="8" fontId="9" numFmtId="0" xfId="0" applyAlignment="1" applyBorder="1" applyFill="1" applyFont="1">
      <alignment horizontal="center"/>
    </xf>
    <xf borderId="19" fillId="9" fontId="9" numFmtId="0" xfId="0" applyAlignment="1" applyBorder="1" applyFill="1" applyFont="1">
      <alignment horizontal="center"/>
    </xf>
    <xf borderId="19" fillId="10" fontId="9" numFmtId="0" xfId="0" applyAlignment="1" applyBorder="1" applyFill="1" applyFont="1">
      <alignment horizontal="center"/>
    </xf>
    <xf borderId="19" fillId="11" fontId="9" numFmtId="0" xfId="0" applyAlignment="1" applyBorder="1" applyFill="1" applyFont="1">
      <alignment horizontal="center"/>
    </xf>
    <xf borderId="6" fillId="10" fontId="2" numFmtId="0" xfId="0" applyAlignment="1" applyBorder="1" applyFill="1" applyFont="1">
      <alignment horizontal="center"/>
    </xf>
    <xf borderId="81" fillId="0" fontId="5" numFmtId="0" xfId="0" applyBorder="1" applyFont="1"/>
    <xf borderId="82" fillId="0" fontId="5" numFmtId="0" xfId="0" applyBorder="1" applyFont="1"/>
    <xf borderId="83" fillId="0" fontId="5" numFmtId="0" xfId="0" applyAlignment="1" applyBorder="1" applyFont="1">
      <alignment horizontal="center"/>
    </xf>
    <xf borderId="81" fillId="0" fontId="5" numFmtId="0" xfId="0" applyAlignment="1" applyBorder="1" applyFont="1">
      <alignment horizontal="center"/>
    </xf>
    <xf borderId="82" fillId="0" fontId="5" numFmtId="0" xfId="0" applyAlignment="1" applyBorder="1" applyFont="1">
      <alignment horizontal="center"/>
    </xf>
    <xf borderId="84" fillId="0" fontId="5" numFmtId="0" xfId="0" applyAlignment="1" applyBorder="1" applyFont="1">
      <alignment horizontal="center"/>
    </xf>
    <xf borderId="34" fillId="0" fontId="5" numFmtId="0" xfId="0" applyAlignment="1" applyBorder="1" applyFont="1">
      <alignment horizontal="center" vertical="center"/>
    </xf>
    <xf borderId="34" fillId="0" fontId="2" numFmtId="0" xfId="0" applyAlignment="1" applyBorder="1" applyFont="1">
      <alignment horizontal="center" vertical="center"/>
    </xf>
    <xf borderId="0" fillId="0" fontId="10" numFmtId="0" xfId="0" applyAlignment="1" applyFont="1">
      <alignment horizontal="left" vertical="center"/>
    </xf>
    <xf borderId="83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85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67" fillId="10" fontId="2" numFmtId="0" xfId="0" applyAlignment="1" applyBorder="1" applyFill="1" applyFont="1">
      <alignment horizontal="center"/>
    </xf>
    <xf borderId="81" fillId="12" fontId="5" numFmtId="0" xfId="0" applyBorder="1" applyFill="1" applyFont="1"/>
    <xf borderId="85" fillId="12" fontId="9" numFmtId="0" xfId="0" applyAlignment="1" applyBorder="1" applyFill="1" applyFont="1">
      <alignment horizontal="center"/>
    </xf>
    <xf borderId="83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5" fillId="12" fontId="5" numFmtId="0" xfId="0" applyAlignment="1" applyBorder="1" applyFill="1" applyFont="1">
      <alignment horizontal="center"/>
    </xf>
    <xf borderId="86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87" fillId="0" fontId="2" numFmtId="0" xfId="0" applyAlignment="1" applyBorder="1" applyFont="1">
      <alignment horizontal="center"/>
    </xf>
    <xf borderId="81" fillId="9" fontId="2" numFmtId="0" xfId="0" applyBorder="1" applyFill="1" applyFont="1"/>
    <xf borderId="85" fillId="9" fontId="2" numFmtId="0" xfId="0" applyBorder="1" applyFill="1" applyFont="1"/>
    <xf borderId="83" fillId="9" fontId="2" numFmtId="0" xfId="0" applyAlignment="1" applyBorder="1" applyFill="1" applyFont="1">
      <alignment horizontal="center"/>
    </xf>
    <xf borderId="81" fillId="9" fontId="2" numFmtId="0" xfId="0" applyAlignment="1" applyBorder="1" applyFill="1" applyFont="1">
      <alignment horizontal="center"/>
    </xf>
    <xf borderId="85" fillId="9" fontId="2" numFmtId="0" xfId="0" applyAlignment="1" applyBorder="1" applyFill="1" applyFont="1">
      <alignment horizontal="center"/>
    </xf>
    <xf borderId="86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4" t="s">
        <v>0</v>
      </c>
      <c r="B1" s="6" t="s">
        <v>2</v>
      </c>
      <c r="C1" s="9" t="s">
        <v>4</v>
      </c>
      <c r="D1" s="10"/>
      <c r="E1" s="10"/>
      <c r="F1" s="10"/>
      <c r="G1" s="10"/>
      <c r="H1" s="12"/>
      <c r="I1" s="13"/>
      <c r="J1" s="15" t="s">
        <v>5</v>
      </c>
      <c r="K1" s="24"/>
      <c r="L1" s="24"/>
      <c r="M1" s="24"/>
      <c r="N1" s="27"/>
      <c r="O1" s="31"/>
      <c r="P1" s="34" t="s">
        <v>6</v>
      </c>
      <c r="Q1" s="24"/>
      <c r="R1" s="24"/>
      <c r="S1" s="24"/>
      <c r="T1" s="27"/>
      <c r="U1" s="43"/>
      <c r="V1" s="46" t="s">
        <v>7</v>
      </c>
      <c r="W1" s="47"/>
      <c r="X1" s="47"/>
      <c r="Y1" s="47"/>
      <c r="Z1" s="49"/>
      <c r="AA1" s="43"/>
      <c r="AB1" s="34" t="s">
        <v>8</v>
      </c>
      <c r="AC1" s="24"/>
      <c r="AD1" s="24"/>
      <c r="AE1" s="24"/>
      <c r="AF1" s="27"/>
      <c r="AG1" s="53" t="s">
        <v>11</v>
      </c>
      <c r="AH1" s="4" t="s">
        <v>12</v>
      </c>
      <c r="AI1" s="54" t="s">
        <v>39</v>
      </c>
      <c r="AJ1" s="54" t="s">
        <v>13</v>
      </c>
      <c r="AK1" s="57" t="s">
        <v>14</v>
      </c>
      <c r="AL1" s="53" t="s">
        <v>15</v>
      </c>
      <c r="AM1" s="4" t="s">
        <v>42</v>
      </c>
      <c r="AN1" s="59" t="s">
        <v>43</v>
      </c>
      <c r="AO1" s="4" t="s">
        <v>44</v>
      </c>
      <c r="AP1" s="4" t="s">
        <v>16</v>
      </c>
      <c r="AQ1" s="4" t="s">
        <v>17</v>
      </c>
      <c r="AR1" s="61"/>
      <c r="AS1" s="61"/>
    </row>
    <row r="2" ht="15.0" customHeight="1">
      <c r="A2" s="62"/>
      <c r="B2" s="63" t="s">
        <v>46</v>
      </c>
      <c r="C2" s="64" t="s">
        <v>21</v>
      </c>
      <c r="D2" s="65" t="s">
        <v>49</v>
      </c>
      <c r="E2" s="65" t="s">
        <v>50</v>
      </c>
      <c r="F2" s="65" t="s">
        <v>51</v>
      </c>
      <c r="G2" s="65" t="s">
        <v>43</v>
      </c>
      <c r="H2" s="67" t="s">
        <v>52</v>
      </c>
      <c r="I2" s="64" t="s">
        <v>21</v>
      </c>
      <c r="J2" s="65" t="s">
        <v>49</v>
      </c>
      <c r="K2" s="65" t="s">
        <v>50</v>
      </c>
      <c r="L2" s="65" t="s">
        <v>51</v>
      </c>
      <c r="M2" s="65" t="s">
        <v>43</v>
      </c>
      <c r="N2" s="67" t="s">
        <v>52</v>
      </c>
      <c r="O2" s="64" t="s">
        <v>21</v>
      </c>
      <c r="P2" s="65" t="s">
        <v>49</v>
      </c>
      <c r="Q2" s="65" t="s">
        <v>50</v>
      </c>
      <c r="R2" s="65" t="s">
        <v>51</v>
      </c>
      <c r="S2" s="65" t="s">
        <v>43</v>
      </c>
      <c r="T2" s="67" t="s">
        <v>52</v>
      </c>
      <c r="U2" s="64" t="s">
        <v>21</v>
      </c>
      <c r="V2" s="65" t="s">
        <v>49</v>
      </c>
      <c r="W2" s="65" t="s">
        <v>50</v>
      </c>
      <c r="X2" s="65" t="s">
        <v>51</v>
      </c>
      <c r="Y2" s="65" t="s">
        <v>43</v>
      </c>
      <c r="Z2" s="67" t="s">
        <v>52</v>
      </c>
      <c r="AA2" s="64" t="s">
        <v>21</v>
      </c>
      <c r="AB2" s="65" t="s">
        <v>49</v>
      </c>
      <c r="AC2" s="65" t="s">
        <v>50</v>
      </c>
      <c r="AD2" s="65" t="s">
        <v>51</v>
      </c>
      <c r="AE2" s="65" t="s">
        <v>43</v>
      </c>
      <c r="AF2" s="67" t="s">
        <v>52</v>
      </c>
      <c r="AG2" s="62"/>
      <c r="AH2" s="62"/>
      <c r="AI2" s="62"/>
      <c r="AJ2" s="62"/>
      <c r="AK2" s="72"/>
      <c r="AL2" s="62"/>
      <c r="AM2" s="23"/>
      <c r="AN2" s="74"/>
      <c r="AO2" s="23"/>
      <c r="AP2" s="76"/>
      <c r="AQ2" s="23"/>
    </row>
    <row r="3" ht="15.75" customHeight="1">
      <c r="A3" s="26">
        <v>1291.0</v>
      </c>
      <c r="B3" s="78" t="s">
        <v>45</v>
      </c>
      <c r="C3" s="99">
        <f t="array" ref="C3">_xlfn.XLOOKUP(A3,'Agents Hrs'!A:A,'Agents Hrs'!D:D,0,0)</f>
        <v>8</v>
      </c>
      <c r="D3" s="102">
        <v>0.0</v>
      </c>
      <c r="E3" s="102">
        <v>1.0</v>
      </c>
      <c r="F3" s="102">
        <v>0.0</v>
      </c>
      <c r="G3" s="104">
        <f t="shared" ref="G3:G9" si="1">IFERROR(E3/C3, 0)</f>
        <v>0.125</v>
      </c>
      <c r="H3" s="105"/>
      <c r="I3" s="99" t="str">
        <f t="array" ref="I3">_xlfn.XLOOKUP(A3,'Agents Hrs'!A:A,'Agents Hrs'!F:F,0,0)</f>
        <v/>
      </c>
      <c r="J3" s="26"/>
      <c r="K3" s="26"/>
      <c r="L3" s="26"/>
      <c r="M3" s="104">
        <f t="shared" ref="M3:M11" si="2">IFERROR(K3/I3, 0)</f>
        <v>0</v>
      </c>
      <c r="N3" s="105"/>
      <c r="O3" s="45"/>
      <c r="P3" s="26"/>
      <c r="Q3" s="30"/>
      <c r="R3" s="30"/>
      <c r="S3" s="104"/>
      <c r="T3" s="105"/>
      <c r="U3" s="99" t="str">
        <f t="array" ref="U3">_xlfn.XLOOKUP(A3,'Agents Hrs'!A:A,'Agents Hrs'!J:J,0,0)</f>
        <v/>
      </c>
      <c r="V3" s="30"/>
      <c r="W3" s="30"/>
      <c r="X3" s="30"/>
      <c r="Y3" s="104">
        <f t="shared" ref="Y3:Y9" si="3">IFERROR(W3/U3, 0)</f>
        <v>0</v>
      </c>
      <c r="Z3" s="118"/>
      <c r="AA3" s="119" t="str">
        <f t="array" ref="AA3">_xlfn.XLOOKUP(A3,'Agents Hrs'!A:A,'Agents Hrs'!L:L,0,0)</f>
        <v/>
      </c>
      <c r="AB3" s="120"/>
      <c r="AC3" s="120"/>
      <c r="AD3" s="120"/>
      <c r="AE3" s="104">
        <f t="shared" ref="AE3:AE9" si="4">IFERROR(AC3/AA3, 0)</f>
        <v>0</v>
      </c>
      <c r="AF3" s="118"/>
      <c r="AG3" s="121">
        <f t="shared" ref="AG3:AG9" si="5">SUM(E3,K3,Q3,W3,AC3)</f>
        <v>1</v>
      </c>
      <c r="AH3" s="40"/>
      <c r="AI3" s="122">
        <f t="shared" ref="AI3:AI9" si="6">SUM(F3,L3,R3,X3,AD3)</f>
        <v>0</v>
      </c>
      <c r="AJ3" s="122">
        <f t="shared" ref="AJ3:AJ9" si="7">AG3-AH3</f>
        <v>1</v>
      </c>
      <c r="AK3" s="123">
        <v>11.0</v>
      </c>
      <c r="AL3" s="124">
        <f t="shared" ref="AL3:AL9" si="8">AG3-AK3</f>
        <v>-10</v>
      </c>
      <c r="AM3" s="45">
        <f t="shared" ref="AM3:AM9" si="9">SUM(C3,I3,O3,U3,AA3)</f>
        <v>8</v>
      </c>
      <c r="AN3" s="125">
        <f t="shared" ref="AN3:AN9" si="10">IFERROR(AG3/AM3, 0)</f>
        <v>0.125</v>
      </c>
      <c r="AO3" s="45">
        <f t="shared" ref="AO3:AO9" si="11">SUM(H3,N3,T3,Z3,AF3)</f>
        <v>0</v>
      </c>
      <c r="AP3" s="45" t="s">
        <v>37</v>
      </c>
      <c r="AQ3" s="50" t="s">
        <v>38</v>
      </c>
    </row>
    <row r="4" ht="15.75" customHeight="1">
      <c r="A4" s="26">
        <v>1175.0</v>
      </c>
      <c r="B4" s="28" t="s">
        <v>71</v>
      </c>
      <c r="C4" s="99">
        <f t="array" ref="C4">_xlfn.XLOOKUP(A4,'Agents Hrs'!A:A,'Agents Hrs'!D:D,0,0)</f>
        <v>8</v>
      </c>
      <c r="D4" s="102">
        <v>0.0</v>
      </c>
      <c r="E4" s="102">
        <v>0.0</v>
      </c>
      <c r="F4" s="102">
        <v>0.0</v>
      </c>
      <c r="G4" s="104">
        <f t="shared" si="1"/>
        <v>0</v>
      </c>
      <c r="H4" s="105"/>
      <c r="I4" s="99" t="str">
        <f t="array" ref="I4">_xlfn.XLOOKUP(A4,'Agents Hrs'!A:A,'Agents Hrs'!F:F,0,0)</f>
        <v/>
      </c>
      <c r="J4" s="26"/>
      <c r="K4" s="26"/>
      <c r="L4" s="26"/>
      <c r="M4" s="104">
        <f t="shared" si="2"/>
        <v>0</v>
      </c>
      <c r="N4" s="105"/>
      <c r="O4" s="37"/>
      <c r="P4" s="26"/>
      <c r="Q4" s="30"/>
      <c r="R4" s="30"/>
      <c r="S4" s="104"/>
      <c r="T4" s="105"/>
      <c r="U4" s="99" t="str">
        <f t="array" ref="U4">_xlfn.XLOOKUP(A4,'Agents Hrs'!A:A,'Agents Hrs'!J:J,0,0)</f>
        <v/>
      </c>
      <c r="V4" s="30"/>
      <c r="W4" s="30"/>
      <c r="X4" s="30"/>
      <c r="Y4" s="104">
        <f t="shared" si="3"/>
        <v>0</v>
      </c>
      <c r="Z4" s="118"/>
      <c r="AA4" s="119" t="str">
        <f t="array" ref="AA4">_xlfn.XLOOKUP(A4,'Agents Hrs'!A:A,'Agents Hrs'!L:L,0,0)</f>
        <v/>
      </c>
      <c r="AB4" s="120"/>
      <c r="AC4" s="120"/>
      <c r="AD4" s="120"/>
      <c r="AE4" s="104">
        <f t="shared" si="4"/>
        <v>0</v>
      </c>
      <c r="AF4" s="118"/>
      <c r="AG4" s="121">
        <f t="shared" si="5"/>
        <v>0</v>
      </c>
      <c r="AH4" s="40"/>
      <c r="AI4" s="122">
        <f t="shared" si="6"/>
        <v>0</v>
      </c>
      <c r="AJ4" s="122">
        <f t="shared" si="7"/>
        <v>0</v>
      </c>
      <c r="AK4" s="123">
        <v>2.0</v>
      </c>
      <c r="AL4" s="124">
        <f t="shared" si="8"/>
        <v>-2</v>
      </c>
      <c r="AM4" s="45">
        <f t="shared" si="9"/>
        <v>8</v>
      </c>
      <c r="AN4" s="125">
        <f t="shared" si="10"/>
        <v>0</v>
      </c>
      <c r="AO4" s="45">
        <f t="shared" si="11"/>
        <v>0</v>
      </c>
      <c r="AP4" s="45" t="s">
        <v>37</v>
      </c>
      <c r="AQ4" s="50" t="s">
        <v>38</v>
      </c>
    </row>
    <row r="5" ht="15.75" customHeight="1">
      <c r="A5" s="26">
        <v>1294.0</v>
      </c>
      <c r="B5" s="28" t="s">
        <v>73</v>
      </c>
      <c r="C5" s="99">
        <f t="array" ref="C5">_xlfn.XLOOKUP(A5,'Agents Hrs'!A:A,'Agents Hrs'!D:D,0,0)</f>
        <v>3</v>
      </c>
      <c r="D5" s="102">
        <v>0.0</v>
      </c>
      <c r="E5" s="102">
        <v>0.0</v>
      </c>
      <c r="F5" s="102">
        <v>0.0</v>
      </c>
      <c r="G5" s="104">
        <f t="shared" si="1"/>
        <v>0</v>
      </c>
      <c r="H5" s="105"/>
      <c r="I5" s="99" t="str">
        <f t="array" ref="I5">_xlfn.XLOOKUP(A5,'Agents Hrs'!A:A,'Agents Hrs'!F:F,0,0)</f>
        <v/>
      </c>
      <c r="J5" s="26"/>
      <c r="K5" s="26"/>
      <c r="L5" s="26"/>
      <c r="M5" s="104">
        <f t="shared" si="2"/>
        <v>0</v>
      </c>
      <c r="N5" s="105"/>
      <c r="O5" s="99"/>
      <c r="P5" s="26"/>
      <c r="Q5" s="30"/>
      <c r="R5" s="30"/>
      <c r="S5" s="104"/>
      <c r="T5" s="105"/>
      <c r="U5" s="99" t="str">
        <f t="array" ref="U5">_xlfn.XLOOKUP(A5,'Agents Hrs'!A:A,'Agents Hrs'!J:J,0,0)</f>
        <v/>
      </c>
      <c r="V5" s="30"/>
      <c r="W5" s="30"/>
      <c r="X5" s="30"/>
      <c r="Y5" s="104">
        <f t="shared" si="3"/>
        <v>0</v>
      </c>
      <c r="Z5" s="118"/>
      <c r="AA5" s="119" t="str">
        <f t="array" ref="AA5">_xlfn.XLOOKUP(A5,'Agents Hrs'!A:A,'Agents Hrs'!L:L,0,0)</f>
        <v/>
      </c>
      <c r="AB5" s="120"/>
      <c r="AC5" s="120"/>
      <c r="AD5" s="120"/>
      <c r="AE5" s="104">
        <f t="shared" si="4"/>
        <v>0</v>
      </c>
      <c r="AF5" s="118"/>
      <c r="AG5" s="121">
        <f t="shared" si="5"/>
        <v>0</v>
      </c>
      <c r="AH5" s="40"/>
      <c r="AI5" s="122">
        <f t="shared" si="6"/>
        <v>0</v>
      </c>
      <c r="AJ5" s="122">
        <f t="shared" si="7"/>
        <v>0</v>
      </c>
      <c r="AK5" s="123">
        <v>1.0</v>
      </c>
      <c r="AL5" s="124">
        <f t="shared" si="8"/>
        <v>-1</v>
      </c>
      <c r="AM5" s="45">
        <f t="shared" si="9"/>
        <v>3</v>
      </c>
      <c r="AN5" s="125">
        <f t="shared" si="10"/>
        <v>0</v>
      </c>
      <c r="AO5" s="45">
        <f t="shared" si="11"/>
        <v>0</v>
      </c>
      <c r="AP5" s="45" t="s">
        <v>37</v>
      </c>
      <c r="AQ5" s="50" t="s">
        <v>38</v>
      </c>
    </row>
    <row r="6" ht="15.75" customHeight="1">
      <c r="A6" s="26">
        <v>1280.0</v>
      </c>
      <c r="B6" s="28" t="s">
        <v>75</v>
      </c>
      <c r="C6" s="99">
        <f t="array" ref="C6">_xlfn.XLOOKUP(A6,'Agents Hrs'!A:A,'Agents Hrs'!D:D,0,0)</f>
        <v>8</v>
      </c>
      <c r="D6" s="102">
        <v>1.0</v>
      </c>
      <c r="E6" s="102">
        <v>1.0</v>
      </c>
      <c r="F6" s="102">
        <v>0.0</v>
      </c>
      <c r="G6" s="104">
        <f t="shared" si="1"/>
        <v>0.125</v>
      </c>
      <c r="H6" s="105"/>
      <c r="I6" s="99" t="str">
        <f t="array" ref="I6">_xlfn.XLOOKUP(A6,'Agents Hrs'!A:A,'Agents Hrs'!F:F,0,0)</f>
        <v/>
      </c>
      <c r="J6" s="26"/>
      <c r="K6" s="26"/>
      <c r="L6" s="26"/>
      <c r="M6" s="104">
        <f t="shared" si="2"/>
        <v>0</v>
      </c>
      <c r="N6" s="105"/>
      <c r="O6" s="45"/>
      <c r="P6" s="26"/>
      <c r="Q6" s="30"/>
      <c r="R6" s="30"/>
      <c r="S6" s="104"/>
      <c r="T6" s="105"/>
      <c r="U6" s="99" t="str">
        <f t="array" ref="U6">_xlfn.XLOOKUP(A6,'Agents Hrs'!A:A,'Agents Hrs'!J:J,0,0)</f>
        <v/>
      </c>
      <c r="V6" s="30"/>
      <c r="W6" s="30"/>
      <c r="X6" s="30"/>
      <c r="Y6" s="104">
        <f t="shared" si="3"/>
        <v>0</v>
      </c>
      <c r="Z6" s="118"/>
      <c r="AA6" s="119" t="str">
        <f t="array" ref="AA6">_xlfn.XLOOKUP(A6,'Agents Hrs'!A:A,'Agents Hrs'!L:L,0,0)</f>
        <v/>
      </c>
      <c r="AB6" s="120"/>
      <c r="AC6" s="120"/>
      <c r="AD6" s="120"/>
      <c r="AE6" s="104">
        <f t="shared" si="4"/>
        <v>0</v>
      </c>
      <c r="AF6" s="118"/>
      <c r="AG6" s="121">
        <f t="shared" si="5"/>
        <v>1</v>
      </c>
      <c r="AH6" s="40"/>
      <c r="AI6" s="122">
        <f t="shared" si="6"/>
        <v>0</v>
      </c>
      <c r="AJ6" s="122">
        <f t="shared" si="7"/>
        <v>1</v>
      </c>
      <c r="AK6" s="123">
        <v>2.0</v>
      </c>
      <c r="AL6" s="124">
        <f t="shared" si="8"/>
        <v>-1</v>
      </c>
      <c r="AM6" s="45">
        <f t="shared" si="9"/>
        <v>8</v>
      </c>
      <c r="AN6" s="125">
        <f t="shared" si="10"/>
        <v>0.125</v>
      </c>
      <c r="AO6" s="45">
        <f t="shared" si="11"/>
        <v>0</v>
      </c>
      <c r="AP6" s="45" t="s">
        <v>37</v>
      </c>
      <c r="AQ6" s="50" t="s">
        <v>38</v>
      </c>
    </row>
    <row r="7" ht="15.75" customHeight="1">
      <c r="A7" s="26">
        <v>1301.0</v>
      </c>
      <c r="B7" s="28" t="s">
        <v>53</v>
      </c>
      <c r="C7" s="99">
        <f t="array" ref="C7">_xlfn.XLOOKUP(A7,'Agents Hrs'!A:A,'Agents Hrs'!D:D,0,0)</f>
        <v>0</v>
      </c>
      <c r="D7" s="102">
        <v>0.0</v>
      </c>
      <c r="E7" s="102">
        <v>0.0</v>
      </c>
      <c r="F7" s="102">
        <v>0.0</v>
      </c>
      <c r="G7" s="104">
        <f t="shared" si="1"/>
        <v>0</v>
      </c>
      <c r="H7" s="105"/>
      <c r="I7" s="99" t="str">
        <f t="array" ref="I7">_xlfn.XLOOKUP(A7,'Agents Hrs'!A:A,'Agents Hrs'!F:F,0,0)</f>
        <v/>
      </c>
      <c r="J7" s="26"/>
      <c r="K7" s="26"/>
      <c r="L7" s="26"/>
      <c r="M7" s="104">
        <f t="shared" si="2"/>
        <v>0</v>
      </c>
      <c r="N7" s="105"/>
      <c r="O7" s="45"/>
      <c r="P7" s="26"/>
      <c r="Q7" s="30"/>
      <c r="R7" s="30"/>
      <c r="S7" s="104"/>
      <c r="T7" s="105"/>
      <c r="U7" s="99" t="str">
        <f t="array" ref="U7">_xlfn.XLOOKUP(A7,'Agents Hrs'!A:A,'Agents Hrs'!J:J,0,0)</f>
        <v/>
      </c>
      <c r="V7" s="30"/>
      <c r="W7" s="30"/>
      <c r="X7" s="30"/>
      <c r="Y7" s="104">
        <f t="shared" si="3"/>
        <v>0</v>
      </c>
      <c r="Z7" s="118"/>
      <c r="AA7" s="119" t="str">
        <f t="array" ref="AA7">_xlfn.XLOOKUP(A7,'Agents Hrs'!A:A,'Agents Hrs'!L:L,0,0)</f>
        <v/>
      </c>
      <c r="AB7" s="120"/>
      <c r="AC7" s="120"/>
      <c r="AD7" s="120"/>
      <c r="AE7" s="104">
        <f t="shared" si="4"/>
        <v>0</v>
      </c>
      <c r="AF7" s="118"/>
      <c r="AG7" s="121">
        <f t="shared" si="5"/>
        <v>0</v>
      </c>
      <c r="AH7" s="40"/>
      <c r="AI7" s="122">
        <f t="shared" si="6"/>
        <v>0</v>
      </c>
      <c r="AJ7" s="122">
        <f t="shared" si="7"/>
        <v>0</v>
      </c>
      <c r="AK7" s="123">
        <v>2.0</v>
      </c>
      <c r="AL7" s="124">
        <f t="shared" si="8"/>
        <v>-2</v>
      </c>
      <c r="AM7" s="45">
        <f t="shared" si="9"/>
        <v>0</v>
      </c>
      <c r="AN7" s="125">
        <f t="shared" si="10"/>
        <v>0</v>
      </c>
      <c r="AO7" s="45">
        <f t="shared" si="11"/>
        <v>0</v>
      </c>
      <c r="AP7" s="45" t="s">
        <v>37</v>
      </c>
      <c r="AQ7" s="50" t="s">
        <v>38</v>
      </c>
    </row>
    <row r="8" ht="15.75" customHeight="1">
      <c r="A8" s="87">
        <v>1151.0</v>
      </c>
      <c r="B8" s="126" t="s">
        <v>77</v>
      </c>
      <c r="C8" s="99">
        <f t="array" ref="C8">_xlfn.XLOOKUP(A8,'Agents Hrs'!A:A,'Agents Hrs'!D:D,0,0)</f>
        <v>0</v>
      </c>
      <c r="D8" s="127">
        <v>0.0</v>
      </c>
      <c r="E8" s="127">
        <v>0.0</v>
      </c>
      <c r="F8" s="127">
        <v>0.0</v>
      </c>
      <c r="G8" s="104">
        <f t="shared" si="1"/>
        <v>0</v>
      </c>
      <c r="H8" s="128"/>
      <c r="I8" s="99">
        <f t="array" ref="I8">_xlfn.XLOOKUP(A8,'Agents Hrs'!A:A,'Agents Hrs'!F:F,0,0)</f>
        <v>0</v>
      </c>
      <c r="J8" s="37"/>
      <c r="K8" s="37"/>
      <c r="L8" s="37"/>
      <c r="M8" s="104">
        <f t="shared" si="2"/>
        <v>0</v>
      </c>
      <c r="N8" s="128"/>
      <c r="O8" s="99"/>
      <c r="P8" s="37"/>
      <c r="Q8" s="30"/>
      <c r="R8" s="30"/>
      <c r="S8" s="104"/>
      <c r="T8" s="128"/>
      <c r="U8" s="99">
        <f t="array" ref="U8">_xlfn.XLOOKUP(A8,'Agents Hrs'!A:A,'Agents Hrs'!J:J,0,0)</f>
        <v>0</v>
      </c>
      <c r="V8" s="30"/>
      <c r="W8" s="30"/>
      <c r="X8" s="30"/>
      <c r="Y8" s="104">
        <f t="shared" si="3"/>
        <v>0</v>
      </c>
      <c r="Z8" s="118"/>
      <c r="AA8" s="119">
        <f t="array" ref="AA8">_xlfn.XLOOKUP(A8,'Agents Hrs'!A:A,'Agents Hrs'!L:L,0,0)</f>
        <v>0</v>
      </c>
      <c r="AB8" s="120"/>
      <c r="AC8" s="120"/>
      <c r="AD8" s="120"/>
      <c r="AE8" s="104">
        <f t="shared" si="4"/>
        <v>0</v>
      </c>
      <c r="AF8" s="118"/>
      <c r="AG8" s="121">
        <f t="shared" si="5"/>
        <v>0</v>
      </c>
      <c r="AH8" s="40"/>
      <c r="AI8" s="122">
        <f t="shared" si="6"/>
        <v>0</v>
      </c>
      <c r="AJ8" s="122">
        <f t="shared" si="7"/>
        <v>0</v>
      </c>
      <c r="AK8" s="123">
        <v>0.0</v>
      </c>
      <c r="AL8" s="124">
        <f t="shared" si="8"/>
        <v>0</v>
      </c>
      <c r="AM8" s="45">
        <f t="shared" si="9"/>
        <v>0</v>
      </c>
      <c r="AN8" s="125">
        <f t="shared" si="10"/>
        <v>0</v>
      </c>
      <c r="AO8" s="45">
        <f t="shared" si="11"/>
        <v>0</v>
      </c>
      <c r="AP8" s="45" t="s">
        <v>37</v>
      </c>
      <c r="AQ8" s="50" t="s">
        <v>38</v>
      </c>
    </row>
    <row r="9" ht="15.75" customHeight="1">
      <c r="A9" s="26">
        <v>1300.0</v>
      </c>
      <c r="B9" s="28" t="s">
        <v>27</v>
      </c>
      <c r="C9" s="99">
        <f t="array" ref="C9">_xlfn.XLOOKUP(A9,'Agents Hrs'!A:A,'Agents Hrs'!D:D,0,0)</f>
        <v>7.75</v>
      </c>
      <c r="D9" s="102">
        <v>0.0</v>
      </c>
      <c r="E9" s="102">
        <v>0.0</v>
      </c>
      <c r="F9" s="102">
        <v>0.0</v>
      </c>
      <c r="G9" s="104">
        <f t="shared" si="1"/>
        <v>0</v>
      </c>
      <c r="H9" s="105"/>
      <c r="I9" s="99" t="str">
        <f t="array" ref="I9">_xlfn.XLOOKUP(A9,'Agents Hrs'!A:A,'Agents Hrs'!F:F,0,0)</f>
        <v/>
      </c>
      <c r="J9" s="26"/>
      <c r="K9" s="26"/>
      <c r="L9" s="26"/>
      <c r="M9" s="104">
        <f t="shared" si="2"/>
        <v>0</v>
      </c>
      <c r="N9" s="105"/>
      <c r="O9" s="45"/>
      <c r="P9" s="26"/>
      <c r="Q9" s="30"/>
      <c r="R9" s="30"/>
      <c r="S9" s="104"/>
      <c r="T9" s="105"/>
      <c r="U9" s="99" t="str">
        <f t="array" ref="U9">_xlfn.XLOOKUP(A9,'Agents Hrs'!A:A,'Agents Hrs'!J:J,0,0)</f>
        <v/>
      </c>
      <c r="V9" s="30"/>
      <c r="W9" s="30"/>
      <c r="X9" s="30"/>
      <c r="Y9" s="104">
        <f t="shared" si="3"/>
        <v>0</v>
      </c>
      <c r="Z9" s="118"/>
      <c r="AA9" s="119" t="str">
        <f t="array" ref="AA9">_xlfn.XLOOKUP(A9,'Agents Hrs'!A:A,'Agents Hrs'!L:L,0,0)</f>
        <v/>
      </c>
      <c r="AB9" s="120"/>
      <c r="AC9" s="120"/>
      <c r="AD9" s="120"/>
      <c r="AE9" s="104">
        <f t="shared" si="4"/>
        <v>0</v>
      </c>
      <c r="AF9" s="118"/>
      <c r="AG9" s="121">
        <f t="shared" si="5"/>
        <v>0</v>
      </c>
      <c r="AH9" s="40"/>
      <c r="AI9" s="122">
        <f t="shared" si="6"/>
        <v>0</v>
      </c>
      <c r="AJ9" s="122">
        <f t="shared" si="7"/>
        <v>0</v>
      </c>
      <c r="AK9" s="123">
        <v>8.0</v>
      </c>
      <c r="AL9" s="124">
        <f t="shared" si="8"/>
        <v>-8</v>
      </c>
      <c r="AM9" s="45">
        <f t="shared" si="9"/>
        <v>7.75</v>
      </c>
      <c r="AN9" s="125">
        <f t="shared" si="10"/>
        <v>0</v>
      </c>
      <c r="AO9" s="45">
        <f t="shared" si="11"/>
        <v>0</v>
      </c>
      <c r="AP9" s="45" t="s">
        <v>37</v>
      </c>
      <c r="AQ9" s="50" t="s">
        <v>38</v>
      </c>
    </row>
    <row r="10" ht="15.75" customHeight="1">
      <c r="A10" s="33">
        <v>1311.0</v>
      </c>
      <c r="B10" s="35" t="s">
        <v>56</v>
      </c>
      <c r="C10" s="129">
        <f t="array" ref="C10">_xlfn.XLOOKUP(A10,'Agents Hrs'!A:A,'Agents Hrs'!D:D,0,0)</f>
        <v>5.5</v>
      </c>
      <c r="D10" s="42">
        <v>0.0</v>
      </c>
      <c r="E10" s="42">
        <v>0.0</v>
      </c>
      <c r="F10" s="42">
        <v>0.0</v>
      </c>
      <c r="G10" s="98"/>
      <c r="H10" s="130"/>
      <c r="I10" s="131" t="str">
        <f t="array" ref="I10">_xlfn.XLOOKUP(A10,'Agents Hrs'!A:A,'Agents Hrs'!F:F,0,0)</f>
        <v/>
      </c>
      <c r="J10" s="42"/>
      <c r="K10" s="98"/>
      <c r="L10" s="42"/>
      <c r="M10" s="56">
        <f t="shared" si="2"/>
        <v>0</v>
      </c>
      <c r="N10" s="132"/>
      <c r="O10" s="42" t="str">
        <f t="array" ref="O10">_xlfn.XLOOKUP(A10,'Agents Hrs'!A:A,'Agents Hrs'!H:H,0,0)</f>
        <v/>
      </c>
      <c r="P10" s="50">
        <v>1.0</v>
      </c>
      <c r="Q10" s="50">
        <v>0.0</v>
      </c>
      <c r="R10" s="50">
        <v>0.0</v>
      </c>
      <c r="S10" s="50"/>
      <c r="T10" s="132"/>
      <c r="U10" s="133" t="str">
        <f t="array" ref="U10">_xlfn.XLOOKUP(A10,'Agents Hrs'!A:A,'Agents Hrs'!J:J,0,0)</f>
        <v/>
      </c>
      <c r="V10" s="134">
        <v>0.0</v>
      </c>
      <c r="W10" s="134">
        <v>0.0</v>
      </c>
      <c r="X10" s="134">
        <v>0.0</v>
      </c>
      <c r="Y10" s="50"/>
      <c r="Z10" s="132"/>
      <c r="AA10" s="119" t="str">
        <f t="array" ref="AA10">_xlfn.XLOOKUP(A10,'Agents Hrs'!A:A,'Agents Hrs'!L:L,0,0)</f>
        <v/>
      </c>
      <c r="AB10" s="120">
        <v>0.0</v>
      </c>
      <c r="AC10" s="120">
        <v>0.0</v>
      </c>
      <c r="AD10" s="120">
        <v>0.0</v>
      </c>
      <c r="AE10" s="104"/>
      <c r="AF10" s="135"/>
      <c r="AG10" s="136"/>
      <c r="AH10" s="40"/>
      <c r="AI10" s="40"/>
      <c r="AJ10" s="122"/>
      <c r="AK10" s="123"/>
      <c r="AL10" s="124"/>
      <c r="AM10" s="45"/>
      <c r="AN10" s="125"/>
      <c r="AO10" s="45"/>
      <c r="AP10" s="45"/>
      <c r="AQ10" s="50"/>
    </row>
    <row r="11" ht="15.75" customHeight="1">
      <c r="A11" s="33">
        <v>1312.0</v>
      </c>
      <c r="B11" s="71" t="s">
        <v>59</v>
      </c>
      <c r="C11" s="129">
        <f t="array" ref="C11">_xlfn.XLOOKUP(A11,'Agents Hrs'!A:A,'Agents Hrs'!D:D,0,0)</f>
        <v>7.15</v>
      </c>
      <c r="D11" s="38">
        <v>1.0</v>
      </c>
      <c r="E11" s="42">
        <v>0.0</v>
      </c>
      <c r="F11" s="42">
        <v>0.0</v>
      </c>
      <c r="G11" s="98"/>
      <c r="H11" s="130"/>
      <c r="I11" s="131" t="str">
        <f t="array" ref="I11">_xlfn.XLOOKUP(A11,'Agents Hrs'!A:A,'Agents Hrs'!F:F,0,0)</f>
        <v/>
      </c>
      <c r="J11" s="42"/>
      <c r="K11" s="98"/>
      <c r="L11" s="42"/>
      <c r="M11" s="56">
        <f t="shared" si="2"/>
        <v>0</v>
      </c>
      <c r="N11" s="132"/>
      <c r="O11" s="42" t="str">
        <f t="array" ref="O11">_xlfn.XLOOKUP(A11,'Agents Hrs'!A:A,'Agents Hrs'!H:H,0,0)</f>
        <v/>
      </c>
      <c r="P11" s="50">
        <v>1.0</v>
      </c>
      <c r="Q11" s="50">
        <v>0.0</v>
      </c>
      <c r="R11" s="50">
        <v>0.0</v>
      </c>
      <c r="S11" s="50"/>
      <c r="T11" s="132"/>
      <c r="U11" s="133" t="str">
        <f t="array" ref="U11">_xlfn.XLOOKUP(A11,'Agents Hrs'!A:A,'Agents Hrs'!J:J,0,0)</f>
        <v/>
      </c>
      <c r="V11" s="134">
        <v>0.0</v>
      </c>
      <c r="W11" s="134">
        <v>0.0</v>
      </c>
      <c r="X11" s="134">
        <v>0.0</v>
      </c>
      <c r="Y11" s="50"/>
      <c r="Z11" s="132"/>
      <c r="AA11" s="119" t="str">
        <f t="array" ref="AA11">_xlfn.XLOOKUP(A11,'Agents Hrs'!A:A,'Agents Hrs'!L:L,0,0)</f>
        <v/>
      </c>
      <c r="AB11" s="120">
        <v>2.0</v>
      </c>
      <c r="AC11" s="120">
        <v>0.0</v>
      </c>
      <c r="AD11" s="120">
        <v>0.0</v>
      </c>
      <c r="AE11" s="104"/>
      <c r="AF11" s="135"/>
      <c r="AG11" s="136"/>
      <c r="AH11" s="40"/>
      <c r="AI11" s="40"/>
      <c r="AJ11" s="122"/>
      <c r="AK11" s="123"/>
      <c r="AL11" s="124"/>
      <c r="AM11" s="45"/>
      <c r="AN11" s="125"/>
      <c r="AO11" s="45"/>
      <c r="AP11" s="45"/>
      <c r="AQ11" s="50"/>
    </row>
    <row r="12">
      <c r="A12" s="50"/>
      <c r="B12" s="50"/>
      <c r="C12" s="50"/>
      <c r="D12" s="50"/>
      <c r="E12" s="50"/>
      <c r="F12" s="50"/>
      <c r="G12" s="50"/>
      <c r="H12" s="132"/>
      <c r="I12" s="133"/>
      <c r="J12" s="50"/>
      <c r="K12" s="50"/>
      <c r="L12" s="50"/>
      <c r="M12" s="50"/>
      <c r="N12" s="132"/>
      <c r="O12" s="133"/>
      <c r="P12" s="50"/>
      <c r="Q12" s="50"/>
      <c r="R12" s="50"/>
      <c r="S12" s="50"/>
      <c r="T12" s="132"/>
      <c r="U12" s="133"/>
      <c r="V12" s="50"/>
      <c r="W12" s="50"/>
      <c r="X12" s="50"/>
      <c r="Y12" s="50"/>
      <c r="Z12" s="132"/>
      <c r="AA12" s="133"/>
      <c r="AB12" s="50"/>
      <c r="AC12" s="50"/>
      <c r="AD12" s="50"/>
      <c r="AE12" s="50"/>
      <c r="AF12" s="132"/>
      <c r="AG12" s="133"/>
      <c r="AH12" s="50"/>
      <c r="AI12" s="50"/>
      <c r="AJ12" s="132"/>
      <c r="AK12" s="143"/>
      <c r="AL12" s="145"/>
      <c r="AM12" s="50"/>
      <c r="AN12" s="50"/>
      <c r="AO12" s="50"/>
      <c r="AP12" s="50"/>
      <c r="AQ12" s="50"/>
    </row>
    <row r="13" ht="15.75" customHeight="1">
      <c r="A13" s="87"/>
      <c r="B13" s="147" t="s">
        <v>58</v>
      </c>
      <c r="C13" s="148">
        <v>47.4</v>
      </c>
      <c r="D13" s="149">
        <f t="shared" ref="D13:F13" si="12">SUM(D3:D10)</f>
        <v>1</v>
      </c>
      <c r="E13" s="149">
        <f t="shared" si="12"/>
        <v>2</v>
      </c>
      <c r="F13" s="149">
        <f t="shared" si="12"/>
        <v>0</v>
      </c>
      <c r="G13" s="150">
        <f>IFERROR(E13/C13, 0)</f>
        <v>0.04219409283</v>
      </c>
      <c r="H13" s="151">
        <f t="shared" ref="H13:L13" si="13">SUM(H3:H10)</f>
        <v>0</v>
      </c>
      <c r="I13" s="152">
        <f t="shared" si="13"/>
        <v>0</v>
      </c>
      <c r="J13" s="149">
        <f t="shared" si="13"/>
        <v>0</v>
      </c>
      <c r="K13" s="149">
        <f t="shared" si="13"/>
        <v>0</v>
      </c>
      <c r="L13" s="149">
        <f t="shared" si="13"/>
        <v>0</v>
      </c>
      <c r="M13" s="150">
        <f>IFERROR(K13/I13, 0)</f>
        <v>0</v>
      </c>
      <c r="N13" s="151">
        <f t="shared" ref="N13:R13" si="14">SUM(N3:N10)</f>
        <v>0</v>
      </c>
      <c r="O13" s="152">
        <f t="shared" si="14"/>
        <v>0</v>
      </c>
      <c r="P13" s="149">
        <f t="shared" si="14"/>
        <v>1</v>
      </c>
      <c r="Q13" s="149">
        <f t="shared" si="14"/>
        <v>0</v>
      </c>
      <c r="R13" s="149">
        <f t="shared" si="14"/>
        <v>0</v>
      </c>
      <c r="S13" s="150">
        <f>IFERROR(Q13/O13, 0)</f>
        <v>0</v>
      </c>
      <c r="T13" s="151">
        <f t="shared" ref="T13:X13" si="15">SUM(T3:T10)</f>
        <v>0</v>
      </c>
      <c r="U13" s="152">
        <f t="shared" si="15"/>
        <v>0</v>
      </c>
      <c r="V13" s="149">
        <f t="shared" si="15"/>
        <v>0</v>
      </c>
      <c r="W13" s="149">
        <f t="shared" si="15"/>
        <v>0</v>
      </c>
      <c r="X13" s="149">
        <f t="shared" si="15"/>
        <v>0</v>
      </c>
      <c r="Y13" s="150">
        <f>IFERROR(W13/U13, 0)</f>
        <v>0</v>
      </c>
      <c r="Z13" s="151">
        <f t="shared" ref="Z13:AD13" si="16">SUM(Z3:Z10)</f>
        <v>0</v>
      </c>
      <c r="AA13" s="152">
        <f t="shared" si="16"/>
        <v>0</v>
      </c>
      <c r="AB13" s="149">
        <f t="shared" si="16"/>
        <v>0</v>
      </c>
      <c r="AC13" s="149">
        <f t="shared" si="16"/>
        <v>0</v>
      </c>
      <c r="AD13" s="149">
        <f t="shared" si="16"/>
        <v>0</v>
      </c>
      <c r="AE13" s="150">
        <f>IFERROR(AC13/AA13, 0)</f>
        <v>0</v>
      </c>
      <c r="AF13" s="151">
        <f t="shared" ref="AF13:AI13" si="17">SUM(AF3:AF10)</f>
        <v>0</v>
      </c>
      <c r="AG13" s="159">
        <f t="shared" si="17"/>
        <v>2</v>
      </c>
      <c r="AH13" s="152">
        <f t="shared" si="17"/>
        <v>0</v>
      </c>
      <c r="AI13" s="160">
        <f t="shared" si="17"/>
        <v>0</v>
      </c>
      <c r="AJ13" s="161">
        <f>AG13-AH13</f>
        <v>2</v>
      </c>
      <c r="AK13" s="162">
        <f>SUM(AK3:AK10)</f>
        <v>26</v>
      </c>
      <c r="AL13" s="163">
        <f>AG13-AK13</f>
        <v>-24</v>
      </c>
      <c r="AM13" s="157">
        <f>SUM(AM3:AM10)</f>
        <v>34.75</v>
      </c>
      <c r="AN13" s="165">
        <f>IFERROR(AG13/AM13, 0)</f>
        <v>0.05755395683</v>
      </c>
      <c r="AO13" s="166">
        <f>SUM(AO3:AO10)</f>
        <v>0</v>
      </c>
      <c r="AP13" s="157" t="s">
        <v>37</v>
      </c>
      <c r="AQ13" s="167" t="s">
        <v>38</v>
      </c>
    </row>
    <row r="14" ht="15.75" customHeight="1">
      <c r="A14" s="23"/>
      <c r="B14" s="168" t="s">
        <v>64</v>
      </c>
      <c r="C14" s="169"/>
      <c r="D14" s="170"/>
      <c r="E14" s="170"/>
      <c r="F14" s="170"/>
      <c r="G14" s="170"/>
      <c r="H14" s="171"/>
      <c r="I14" s="169"/>
      <c r="J14" s="170"/>
      <c r="K14" s="170"/>
      <c r="L14" s="170"/>
      <c r="M14" s="170"/>
      <c r="N14" s="171"/>
      <c r="O14" s="169"/>
      <c r="P14" s="170"/>
      <c r="Q14" s="83"/>
      <c r="R14" s="83"/>
      <c r="S14" s="83"/>
      <c r="T14" s="174"/>
      <c r="U14" s="175"/>
      <c r="V14" s="83"/>
      <c r="W14" s="83"/>
      <c r="X14" s="83"/>
      <c r="Y14" s="83"/>
      <c r="Z14" s="174"/>
      <c r="AA14" s="175"/>
      <c r="AB14" s="83"/>
      <c r="AC14" s="83"/>
      <c r="AD14" s="83"/>
      <c r="AE14" s="83"/>
      <c r="AF14" s="174"/>
      <c r="AG14" s="178"/>
      <c r="AH14" s="85"/>
      <c r="AI14" s="180"/>
      <c r="AJ14" s="180"/>
      <c r="AK14" s="182"/>
      <c r="AL14" s="184"/>
      <c r="AM14" s="83"/>
      <c r="AN14" s="186"/>
      <c r="AO14" s="83"/>
      <c r="AP14" s="83"/>
      <c r="AQ14" s="83"/>
    </row>
    <row r="15" ht="15.75" customHeight="1">
      <c r="A15" s="2" t="s">
        <v>0</v>
      </c>
      <c r="B15" s="187" t="s">
        <v>2</v>
      </c>
      <c r="C15" s="188"/>
      <c r="D15" s="2"/>
      <c r="E15" s="2"/>
      <c r="F15" s="2"/>
      <c r="G15" s="2"/>
      <c r="H15" s="189"/>
      <c r="I15" s="188"/>
      <c r="J15" s="2"/>
      <c r="K15" s="2"/>
      <c r="L15" s="2"/>
      <c r="M15" s="2"/>
      <c r="N15" s="189"/>
      <c r="O15" s="188"/>
      <c r="P15" s="2"/>
      <c r="Q15" s="2"/>
      <c r="R15" s="2"/>
      <c r="S15" s="2"/>
      <c r="T15" s="189"/>
      <c r="U15" s="188"/>
      <c r="V15" s="2"/>
      <c r="W15" s="2"/>
      <c r="X15" s="2"/>
      <c r="Y15" s="2"/>
      <c r="Z15" s="189"/>
      <c r="AA15" s="188"/>
      <c r="AB15" s="2"/>
      <c r="AC15" s="2"/>
      <c r="AD15" s="2"/>
      <c r="AE15" s="2"/>
      <c r="AF15" s="189"/>
      <c r="AG15" s="190"/>
      <c r="AH15" s="2"/>
      <c r="AI15" s="191"/>
      <c r="AJ15" s="191"/>
      <c r="AK15" s="192"/>
      <c r="AL15" s="190"/>
      <c r="AM15" s="2"/>
      <c r="AN15" s="193"/>
      <c r="AO15" s="2"/>
      <c r="AP15" s="2"/>
      <c r="AQ15" s="2"/>
    </row>
    <row r="16" ht="15.75" customHeight="1">
      <c r="A16" s="87"/>
      <c r="B16" s="194"/>
      <c r="C16" s="195"/>
      <c r="D16" s="196"/>
      <c r="E16" s="196"/>
      <c r="F16" s="196"/>
      <c r="G16" s="196"/>
      <c r="H16" s="197"/>
      <c r="I16" s="195"/>
      <c r="J16" s="196"/>
      <c r="K16" s="196"/>
      <c r="L16" s="196"/>
      <c r="M16" s="196"/>
      <c r="N16" s="197"/>
      <c r="O16" s="195"/>
      <c r="P16" s="196"/>
      <c r="Q16" s="52"/>
      <c r="R16" s="52"/>
      <c r="S16" s="52"/>
      <c r="T16" s="198"/>
      <c r="U16" s="199"/>
      <c r="V16" s="52"/>
      <c r="W16" s="52"/>
      <c r="X16" s="52"/>
      <c r="Y16" s="52"/>
      <c r="Z16" s="198"/>
      <c r="AA16" s="199"/>
      <c r="AB16" s="52"/>
      <c r="AC16" s="52"/>
      <c r="AD16" s="52"/>
      <c r="AE16" s="52"/>
      <c r="AF16" s="198"/>
      <c r="AG16" s="121">
        <f t="shared" ref="AG16:AG17" si="23">SUM(E16,K16,Q16,W16,AC16)</f>
        <v>0</v>
      </c>
      <c r="AH16" s="40"/>
      <c r="AI16" s="122"/>
      <c r="AJ16" s="122">
        <f t="shared" ref="AJ16:AJ17" si="24">AG16-AH16</f>
        <v>0</v>
      </c>
      <c r="AK16" s="123">
        <v>0.0</v>
      </c>
      <c r="AL16" s="124">
        <f t="shared" ref="AL16:AL17" si="25">AG16-AK16</f>
        <v>0</v>
      </c>
      <c r="AM16" s="45"/>
      <c r="AN16" s="200"/>
      <c r="AO16" s="146"/>
      <c r="AP16" s="146" t="s">
        <v>37</v>
      </c>
      <c r="AQ16" s="201" t="s">
        <v>38</v>
      </c>
    </row>
    <row r="17" ht="15.75" customHeight="1">
      <c r="A17" s="87"/>
      <c r="B17" s="202" t="s">
        <v>58</v>
      </c>
      <c r="C17" s="70" t="str">
        <f t="shared" ref="C17:F17" si="18">SUM(#REF!)</f>
        <v>#REF!</v>
      </c>
      <c r="D17" s="70" t="str">
        <f t="shared" si="18"/>
        <v>#REF!</v>
      </c>
      <c r="E17" s="70" t="str">
        <f t="shared" si="18"/>
        <v>#REF!</v>
      </c>
      <c r="F17" s="70" t="str">
        <f t="shared" si="18"/>
        <v>#REF!</v>
      </c>
      <c r="G17" s="203">
        <f>IFERROR(E17/C17, 0)</f>
        <v>0</v>
      </c>
      <c r="H17" s="70" t="str">
        <f t="shared" ref="H17:L17" si="19">SUM(#REF!)</f>
        <v>#REF!</v>
      </c>
      <c r="I17" s="70" t="str">
        <f t="shared" si="19"/>
        <v>#REF!</v>
      </c>
      <c r="J17" s="70" t="str">
        <f t="shared" si="19"/>
        <v>#REF!</v>
      </c>
      <c r="K17" s="204" t="str">
        <f t="shared" si="19"/>
        <v>#REF!</v>
      </c>
      <c r="L17" s="70" t="str">
        <f t="shared" si="19"/>
        <v>#REF!</v>
      </c>
      <c r="M17" s="203">
        <f>IFERROR(K17/I17, 0)</f>
        <v>0</v>
      </c>
      <c r="N17" s="70" t="str">
        <f t="shared" ref="N17:R17" si="20">SUM(#REF!)</f>
        <v>#REF!</v>
      </c>
      <c r="O17" s="70" t="str">
        <f t="shared" si="20"/>
        <v>#REF!</v>
      </c>
      <c r="P17" s="70" t="str">
        <f t="shared" si="20"/>
        <v>#REF!</v>
      </c>
      <c r="Q17" s="70" t="str">
        <f t="shared" si="20"/>
        <v>#REF!</v>
      </c>
      <c r="R17" s="70" t="str">
        <f t="shared" si="20"/>
        <v>#REF!</v>
      </c>
      <c r="S17" s="203">
        <f>IFERROR(Q17/O17, 0)</f>
        <v>0</v>
      </c>
      <c r="T17" s="70" t="str">
        <f t="shared" ref="T17:X17" si="21">SUM(#REF!)</f>
        <v>#REF!</v>
      </c>
      <c r="U17" s="70" t="str">
        <f t="shared" si="21"/>
        <v>#REF!</v>
      </c>
      <c r="V17" s="70" t="str">
        <f t="shared" si="21"/>
        <v>#REF!</v>
      </c>
      <c r="W17" s="70" t="str">
        <f t="shared" si="21"/>
        <v>#REF!</v>
      </c>
      <c r="X17" s="70" t="str">
        <f t="shared" si="21"/>
        <v>#REF!</v>
      </c>
      <c r="Y17" s="203">
        <f>IFERROR(W17/U17, 0)</f>
        <v>0</v>
      </c>
      <c r="Z17" s="70" t="str">
        <f t="shared" ref="Z17:AD17" si="22">SUM(#REF!)</f>
        <v>#REF!</v>
      </c>
      <c r="AA17" s="70" t="str">
        <f t="shared" si="22"/>
        <v>#REF!</v>
      </c>
      <c r="AB17" s="70" t="str">
        <f t="shared" si="22"/>
        <v>#REF!</v>
      </c>
      <c r="AC17" s="70" t="str">
        <f t="shared" si="22"/>
        <v>#REF!</v>
      </c>
      <c r="AD17" s="70" t="str">
        <f t="shared" si="22"/>
        <v>#REF!</v>
      </c>
      <c r="AE17" s="205">
        <v>0.14</v>
      </c>
      <c r="AF17" s="70" t="str">
        <f>SUM(#REF!)</f>
        <v>#REF!</v>
      </c>
      <c r="AG17" s="70" t="str">
        <f t="shared" si="23"/>
        <v>#REF!</v>
      </c>
      <c r="AH17" s="70" t="str">
        <f>SUM(#REF!)</f>
        <v>#REF!</v>
      </c>
      <c r="AI17" s="70" t="str">
        <f>SUM(F17,L17,R17,X17,AD17)</f>
        <v>#REF!</v>
      </c>
      <c r="AJ17" s="70" t="str">
        <f t="shared" si="24"/>
        <v>#REF!</v>
      </c>
      <c r="AK17" s="70" t="str">
        <f>SUM(#REF!)</f>
        <v>#REF!</v>
      </c>
      <c r="AL17" s="70" t="str">
        <f t="shared" si="25"/>
        <v>#REF!</v>
      </c>
      <c r="AM17" s="70" t="str">
        <f>SUM(C17,I17,O17,U17,AA17)</f>
        <v>#REF!</v>
      </c>
      <c r="AN17" s="206">
        <f>IFERROR(AG17/AM17, 0)</f>
        <v>0</v>
      </c>
      <c r="AO17" s="142" t="str">
        <f>SUM(H17,N17,T17,Z17,AF17)</f>
        <v>#REF!</v>
      </c>
      <c r="AP17" s="142" t="s">
        <v>37</v>
      </c>
      <c r="AQ17" s="179" t="s">
        <v>38</v>
      </c>
    </row>
    <row r="18" ht="15.75" customHeight="1">
      <c r="A18" s="23"/>
      <c r="B18" s="207" t="s">
        <v>66</v>
      </c>
      <c r="C18" s="208"/>
      <c r="D18" s="209"/>
      <c r="E18" s="209"/>
      <c r="F18" s="209"/>
      <c r="G18" s="209"/>
      <c r="H18" s="210"/>
      <c r="I18" s="208"/>
      <c r="J18" s="209"/>
      <c r="K18" s="209"/>
      <c r="L18" s="209"/>
      <c r="M18" s="209"/>
      <c r="N18" s="210"/>
      <c r="O18" s="208"/>
      <c r="P18" s="209"/>
      <c r="Q18" s="83"/>
      <c r="R18" s="83"/>
      <c r="S18" s="83"/>
      <c r="T18" s="174"/>
      <c r="U18" s="175"/>
      <c r="V18" s="83"/>
      <c r="W18" s="83"/>
      <c r="X18" s="83"/>
      <c r="Y18" s="83"/>
      <c r="Z18" s="174"/>
      <c r="AA18" s="175"/>
      <c r="AB18" s="83"/>
      <c r="AC18" s="83"/>
      <c r="AD18" s="83"/>
      <c r="AE18" s="83"/>
      <c r="AF18" s="174"/>
      <c r="AG18" s="190"/>
      <c r="AH18" s="2"/>
      <c r="AI18" s="191"/>
      <c r="AJ18" s="191"/>
      <c r="AK18" s="211"/>
      <c r="AL18" s="212"/>
      <c r="AM18" s="106"/>
      <c r="AN18" s="213"/>
      <c r="AO18" s="214"/>
      <c r="AP18" s="214"/>
      <c r="AQ18" s="214"/>
    </row>
    <row r="19" ht="15.75" customHeight="1">
      <c r="A19" s="107"/>
      <c r="B19" s="215"/>
      <c r="C19" s="216"/>
      <c r="D19" s="87"/>
      <c r="E19" s="87"/>
      <c r="F19" s="87"/>
      <c r="G19" s="87"/>
      <c r="H19" s="217"/>
      <c r="I19" s="216"/>
      <c r="J19" s="87"/>
      <c r="K19" s="87"/>
      <c r="L19" s="87"/>
      <c r="M19" s="87"/>
      <c r="N19" s="217"/>
      <c r="O19" s="216"/>
      <c r="P19" s="87"/>
      <c r="Q19" s="30"/>
      <c r="R19" s="30"/>
      <c r="S19" s="30"/>
      <c r="T19" s="118"/>
      <c r="U19" s="119"/>
      <c r="V19" s="30"/>
      <c r="W19" s="30"/>
      <c r="X19" s="30"/>
      <c r="Y19" s="30"/>
      <c r="Z19" s="118"/>
      <c r="AA19" s="119"/>
      <c r="AB19" s="30"/>
      <c r="AC19" s="30"/>
      <c r="AD19" s="30"/>
      <c r="AE19" s="30"/>
      <c r="AF19" s="118"/>
      <c r="AG19" s="121">
        <f t="shared" ref="AG19:AG22" si="26">SUM(E19,K19,Q19,W19,AC19)</f>
        <v>0</v>
      </c>
      <c r="AH19" s="40"/>
      <c r="AI19" s="122"/>
      <c r="AJ19" s="122">
        <f t="shared" ref="AJ19:AJ22" si="27">AG19-AH19</f>
        <v>0</v>
      </c>
      <c r="AK19" s="218">
        <v>0.0</v>
      </c>
      <c r="AL19" s="124">
        <f t="shared" ref="AL19:AL23" si="28">AG19-AK19</f>
        <v>0</v>
      </c>
      <c r="AM19" s="45"/>
      <c r="AN19" s="125"/>
      <c r="AO19" s="45"/>
      <c r="AP19" s="45" t="s">
        <v>37</v>
      </c>
      <c r="AQ19" s="50" t="s">
        <v>38</v>
      </c>
    </row>
    <row r="20" ht="15.75" customHeight="1">
      <c r="A20" s="107"/>
      <c r="B20" s="215"/>
      <c r="C20" s="216"/>
      <c r="D20" s="87"/>
      <c r="E20" s="87"/>
      <c r="F20" s="87"/>
      <c r="G20" s="87"/>
      <c r="H20" s="217"/>
      <c r="I20" s="216"/>
      <c r="J20" s="87"/>
      <c r="K20" s="87"/>
      <c r="L20" s="87"/>
      <c r="M20" s="87"/>
      <c r="N20" s="217"/>
      <c r="O20" s="216"/>
      <c r="P20" s="87"/>
      <c r="Q20" s="30"/>
      <c r="R20" s="30"/>
      <c r="S20" s="30"/>
      <c r="T20" s="118"/>
      <c r="U20" s="119"/>
      <c r="V20" s="30"/>
      <c r="W20" s="30"/>
      <c r="X20" s="30"/>
      <c r="Y20" s="30"/>
      <c r="Z20" s="118"/>
      <c r="AA20" s="119"/>
      <c r="AB20" s="30"/>
      <c r="AC20" s="30"/>
      <c r="AD20" s="30"/>
      <c r="AE20" s="30"/>
      <c r="AF20" s="118"/>
      <c r="AG20" s="121">
        <f t="shared" si="26"/>
        <v>0</v>
      </c>
      <c r="AH20" s="40"/>
      <c r="AI20" s="122"/>
      <c r="AJ20" s="122">
        <f t="shared" si="27"/>
        <v>0</v>
      </c>
      <c r="AK20" s="218">
        <v>0.0</v>
      </c>
      <c r="AL20" s="124">
        <f t="shared" si="28"/>
        <v>0</v>
      </c>
      <c r="AM20" s="45"/>
      <c r="AN20" s="125"/>
      <c r="AO20" s="45"/>
      <c r="AP20" s="45" t="s">
        <v>37</v>
      </c>
      <c r="AQ20" s="50" t="s">
        <v>38</v>
      </c>
    </row>
    <row r="21" ht="15.75" customHeight="1">
      <c r="A21" s="107"/>
      <c r="B21" s="215"/>
      <c r="C21" s="216"/>
      <c r="D21" s="87"/>
      <c r="E21" s="87"/>
      <c r="F21" s="87"/>
      <c r="G21" s="87"/>
      <c r="H21" s="217"/>
      <c r="I21" s="216"/>
      <c r="J21" s="87"/>
      <c r="K21" s="87"/>
      <c r="L21" s="87"/>
      <c r="M21" s="87"/>
      <c r="N21" s="217"/>
      <c r="O21" s="216"/>
      <c r="P21" s="87"/>
      <c r="Q21" s="30"/>
      <c r="R21" s="30"/>
      <c r="S21" s="30"/>
      <c r="T21" s="118"/>
      <c r="U21" s="119"/>
      <c r="V21" s="30"/>
      <c r="W21" s="30"/>
      <c r="X21" s="30"/>
      <c r="Y21" s="30"/>
      <c r="Z21" s="118"/>
      <c r="AA21" s="119"/>
      <c r="AB21" s="30"/>
      <c r="AC21" s="30"/>
      <c r="AD21" s="30"/>
      <c r="AE21" s="30"/>
      <c r="AF21" s="118"/>
      <c r="AG21" s="121">
        <f t="shared" si="26"/>
        <v>0</v>
      </c>
      <c r="AH21" s="40"/>
      <c r="AI21" s="122"/>
      <c r="AJ21" s="122">
        <f t="shared" si="27"/>
        <v>0</v>
      </c>
      <c r="AK21" s="218">
        <v>0.0</v>
      </c>
      <c r="AL21" s="124">
        <f t="shared" si="28"/>
        <v>0</v>
      </c>
      <c r="AM21" s="45"/>
      <c r="AN21" s="125"/>
      <c r="AO21" s="45"/>
      <c r="AP21" s="45" t="s">
        <v>37</v>
      </c>
      <c r="AQ21" s="50" t="s">
        <v>38</v>
      </c>
    </row>
    <row r="22" ht="15.75" customHeight="1">
      <c r="A22" s="107"/>
      <c r="B22" s="219"/>
      <c r="C22" s="220"/>
      <c r="D22" s="221"/>
      <c r="E22" s="221"/>
      <c r="F22" s="221"/>
      <c r="G22" s="221"/>
      <c r="H22" s="222"/>
      <c r="I22" s="220"/>
      <c r="J22" s="221"/>
      <c r="K22" s="221"/>
      <c r="L22" s="221"/>
      <c r="M22" s="221"/>
      <c r="N22" s="222"/>
      <c r="O22" s="220"/>
      <c r="P22" s="221"/>
      <c r="Q22" s="52"/>
      <c r="R22" s="52"/>
      <c r="S22" s="52"/>
      <c r="T22" s="198"/>
      <c r="U22" s="199"/>
      <c r="V22" s="52"/>
      <c r="W22" s="52"/>
      <c r="X22" s="52"/>
      <c r="Y22" s="52"/>
      <c r="Z22" s="198"/>
      <c r="AA22" s="199"/>
      <c r="AB22" s="52"/>
      <c r="AC22" s="52"/>
      <c r="AD22" s="52"/>
      <c r="AE22" s="52"/>
      <c r="AF22" s="198"/>
      <c r="AG22" s="223">
        <f t="shared" si="26"/>
        <v>0</v>
      </c>
      <c r="AH22" s="40"/>
      <c r="AI22" s="122"/>
      <c r="AJ22" s="122">
        <f t="shared" si="27"/>
        <v>0</v>
      </c>
      <c r="AK22" s="218">
        <v>0.0</v>
      </c>
      <c r="AL22" s="124">
        <f t="shared" si="28"/>
        <v>0</v>
      </c>
      <c r="AM22" s="45"/>
      <c r="AN22" s="125"/>
      <c r="AO22" s="45"/>
      <c r="AP22" s="45" t="s">
        <v>37</v>
      </c>
      <c r="AQ22" s="50" t="s">
        <v>38</v>
      </c>
    </row>
    <row r="23" ht="15.75" customHeight="1">
      <c r="A23" s="173"/>
      <c r="B23" s="224" t="s">
        <v>58</v>
      </c>
      <c r="C23" s="137"/>
      <c r="D23" s="138">
        <f t="shared" ref="D23:E23" si="29">D13</f>
        <v>1</v>
      </c>
      <c r="E23" s="138">
        <f t="shared" si="29"/>
        <v>2</v>
      </c>
      <c r="F23" s="138"/>
      <c r="G23" s="138"/>
      <c r="H23" s="140"/>
      <c r="I23" s="137"/>
      <c r="J23" s="138">
        <f t="shared" ref="J23:K23" si="30">J13</f>
        <v>0</v>
      </c>
      <c r="K23" s="138">
        <f t="shared" si="30"/>
        <v>0</v>
      </c>
      <c r="L23" s="138"/>
      <c r="M23" s="138"/>
      <c r="N23" s="140"/>
      <c r="O23" s="137"/>
      <c r="P23" s="138">
        <f t="shared" ref="P23:Q23" si="31">P13</f>
        <v>1</v>
      </c>
      <c r="Q23" s="138">
        <f t="shared" si="31"/>
        <v>0</v>
      </c>
      <c r="R23" s="138"/>
      <c r="S23" s="138"/>
      <c r="T23" s="140"/>
      <c r="U23" s="137"/>
      <c r="V23" s="138">
        <f t="shared" ref="V23:W23" si="32">V13</f>
        <v>0</v>
      </c>
      <c r="W23" s="138">
        <f t="shared" si="32"/>
        <v>0</v>
      </c>
      <c r="X23" s="138"/>
      <c r="Y23" s="138"/>
      <c r="Z23" s="140"/>
      <c r="AA23" s="137"/>
      <c r="AB23" s="138">
        <f t="shared" ref="AB23:AC23" si="33">AB13</f>
        <v>0</v>
      </c>
      <c r="AC23" s="138">
        <f t="shared" si="33"/>
        <v>0</v>
      </c>
      <c r="AD23" s="138"/>
      <c r="AE23" s="138"/>
      <c r="AF23" s="140"/>
      <c r="AG23" s="225">
        <f t="shared" ref="AG23:AH23" si="34">AG13</f>
        <v>2</v>
      </c>
      <c r="AH23" s="190">
        <f t="shared" si="34"/>
        <v>0</v>
      </c>
      <c r="AI23" s="226"/>
      <c r="AJ23" s="191">
        <f t="shared" ref="AJ23:AK23" si="35">AJ13</f>
        <v>2</v>
      </c>
      <c r="AK23" s="227">
        <f t="shared" si="35"/>
        <v>26</v>
      </c>
      <c r="AL23" s="228">
        <f t="shared" si="28"/>
        <v>-24</v>
      </c>
      <c r="AM23" s="23"/>
      <c r="AN23" s="74"/>
      <c r="AO23" s="23"/>
      <c r="AP23" s="23"/>
      <c r="AQ23" s="229"/>
    </row>
    <row r="24" ht="15.75" customHeight="1">
      <c r="A24" s="45"/>
      <c r="B24" s="230" t="s">
        <v>14</v>
      </c>
      <c r="C24" s="231"/>
      <c r="D24" s="183"/>
      <c r="E24" s="183">
        <v>1.0</v>
      </c>
      <c r="F24" s="183"/>
      <c r="G24" s="183"/>
      <c r="H24" s="232"/>
      <c r="I24" s="231"/>
      <c r="J24" s="183">
        <v>1.0</v>
      </c>
      <c r="K24" s="183">
        <v>2.0</v>
      </c>
      <c r="L24" s="183">
        <v>4.0</v>
      </c>
      <c r="M24" s="183"/>
      <c r="N24" s="232"/>
      <c r="O24" s="231"/>
      <c r="P24" s="183">
        <v>1.0</v>
      </c>
      <c r="Q24" s="183">
        <v>2.0</v>
      </c>
      <c r="R24" s="183">
        <v>4.0</v>
      </c>
      <c r="S24" s="183"/>
      <c r="T24" s="233"/>
      <c r="U24" s="234"/>
      <c r="V24" s="183">
        <v>1.0</v>
      </c>
      <c r="W24" s="185">
        <v>5.0</v>
      </c>
      <c r="X24" s="185">
        <v>4.0</v>
      </c>
      <c r="Y24" s="185"/>
      <c r="Z24" s="233"/>
      <c r="AA24" s="234"/>
      <c r="AB24" s="183">
        <v>2.0</v>
      </c>
      <c r="AC24" s="183">
        <v>2.0</v>
      </c>
      <c r="AD24" s="183">
        <v>0.0</v>
      </c>
      <c r="AE24" s="183"/>
      <c r="AF24" s="232"/>
      <c r="AG24" s="235">
        <v>34.0</v>
      </c>
      <c r="AH24" s="114"/>
      <c r="AI24" s="114"/>
      <c r="AJ24" s="114"/>
      <c r="AK24" s="114"/>
      <c r="AL24" s="115"/>
      <c r="AM24" s="114"/>
      <c r="AN24" s="236"/>
      <c r="AO24" s="114"/>
      <c r="AP24" s="115"/>
      <c r="AQ24" s="8"/>
    </row>
    <row r="25" ht="15.75" customHeight="1">
      <c r="A25" s="114"/>
      <c r="B25" s="237" t="s">
        <v>15</v>
      </c>
      <c r="C25" s="238"/>
      <c r="D25" s="239">
        <f t="shared" ref="D25:E25" si="36">D23-D24</f>
        <v>1</v>
      </c>
      <c r="E25" s="239">
        <f t="shared" si="36"/>
        <v>1</v>
      </c>
      <c r="F25" s="239"/>
      <c r="G25" s="239"/>
      <c r="H25" s="240"/>
      <c r="I25" s="238"/>
      <c r="J25" s="239">
        <f t="shared" ref="J25:K25" si="37">J23-J24</f>
        <v>-1</v>
      </c>
      <c r="K25" s="239">
        <f t="shared" si="37"/>
        <v>-2</v>
      </c>
      <c r="L25" s="239"/>
      <c r="M25" s="239"/>
      <c r="N25" s="240"/>
      <c r="O25" s="238"/>
      <c r="P25" s="239">
        <f t="shared" ref="P25:Q25" si="38">P23-P24</f>
        <v>0</v>
      </c>
      <c r="Q25" s="239">
        <f t="shared" si="38"/>
        <v>-2</v>
      </c>
      <c r="R25" s="239"/>
      <c r="S25" s="239"/>
      <c r="T25" s="240"/>
      <c r="U25" s="238"/>
      <c r="V25" s="239">
        <f t="shared" ref="V25:W25" si="39">V23-V24</f>
        <v>-1</v>
      </c>
      <c r="W25" s="239">
        <f t="shared" si="39"/>
        <v>-5</v>
      </c>
      <c r="X25" s="239"/>
      <c r="Y25" s="239"/>
      <c r="Z25" s="240"/>
      <c r="AA25" s="238"/>
      <c r="AB25" s="239">
        <f t="shared" ref="AB25:AC25" si="40">AB23-AB24</f>
        <v>-2</v>
      </c>
      <c r="AC25" s="239">
        <f t="shared" si="40"/>
        <v>-2</v>
      </c>
      <c r="AD25" s="239"/>
      <c r="AE25" s="239"/>
      <c r="AF25" s="240"/>
      <c r="AG25" s="241">
        <f>AG23-AG24</f>
        <v>-32</v>
      </c>
      <c r="AH25" s="114"/>
      <c r="AI25" s="114"/>
      <c r="AJ25" s="114"/>
      <c r="AK25" s="8"/>
      <c r="AL25" s="114"/>
      <c r="AM25" s="114"/>
      <c r="AN25" s="236"/>
      <c r="AO25" s="114"/>
      <c r="AP25" s="114"/>
      <c r="AQ25" s="8"/>
      <c r="AS25" s="8"/>
    </row>
    <row r="26" ht="15.75" customHeight="1"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242"/>
      <c r="P26" s="243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M26" s="114"/>
      <c r="AN26" s="236"/>
      <c r="AO26" s="114"/>
    </row>
    <row r="27" ht="15.75" customHeight="1"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242"/>
      <c r="P27" s="243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M27" s="114"/>
      <c r="AN27" s="236"/>
      <c r="AO27" s="114"/>
    </row>
    <row r="28" ht="15.75" customHeight="1"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242"/>
      <c r="P28" s="243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M28" s="114"/>
      <c r="AN28" s="236"/>
      <c r="AO28" s="114"/>
    </row>
    <row r="29" ht="15.75" customHeight="1"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242"/>
      <c r="P29" s="243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  <c r="AM29" s="114"/>
      <c r="AN29" s="236"/>
      <c r="AO29" s="114"/>
    </row>
    <row r="30" ht="15.75" customHeight="1"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242"/>
      <c r="P30" s="243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M30" s="114"/>
      <c r="AN30" s="236"/>
      <c r="AO30" s="114"/>
    </row>
    <row r="31" ht="15.75" customHeight="1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242"/>
      <c r="P31" s="243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M31" s="114"/>
      <c r="AN31" s="236"/>
      <c r="AO31" s="114"/>
    </row>
    <row r="32" ht="15.75" customHeight="1"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242"/>
      <c r="P32" s="243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M32" s="114"/>
      <c r="AN32" s="236"/>
      <c r="AO32" s="114"/>
    </row>
    <row r="33" ht="15.75" customHeight="1"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242"/>
      <c r="P33" s="243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M33" s="114"/>
      <c r="AN33" s="236"/>
      <c r="AO33" s="114"/>
    </row>
    <row r="34" ht="15.75" customHeight="1"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242"/>
      <c r="P34" s="243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M34" s="114"/>
      <c r="AN34" s="236"/>
      <c r="AO34" s="114"/>
    </row>
    <row r="35" ht="15.75" customHeight="1"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242"/>
      <c r="P35" s="243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M35" s="114"/>
      <c r="AN35" s="236"/>
      <c r="AO35" s="114"/>
    </row>
    <row r="36" ht="15.75" customHeight="1"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242"/>
      <c r="P36" s="243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M36" s="114"/>
      <c r="AN36" s="236"/>
      <c r="AO36" s="114"/>
    </row>
    <row r="37" ht="15.75" customHeight="1"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242"/>
      <c r="P37" s="243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M37" s="114"/>
      <c r="AN37" s="236"/>
      <c r="AO37" s="114"/>
    </row>
    <row r="38" ht="15.75" customHeight="1">
      <c r="C38" s="114"/>
      <c r="D38" s="114"/>
      <c r="E38" s="114"/>
      <c r="F38" s="114"/>
      <c r="G38" s="114"/>
      <c r="H38" s="114"/>
      <c r="I38" s="114"/>
      <c r="J38" s="114"/>
      <c r="K38" s="114"/>
      <c r="L38" s="114"/>
      <c r="M38" s="114"/>
      <c r="N38" s="114"/>
      <c r="O38" s="242"/>
      <c r="P38" s="243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M38" s="114"/>
      <c r="AN38" s="236"/>
      <c r="AO38" s="114"/>
    </row>
    <row r="39" ht="15.75" customHeight="1"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242"/>
      <c r="P39" s="243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M39" s="114"/>
      <c r="AN39" s="236"/>
      <c r="AO39" s="114"/>
    </row>
    <row r="40" ht="15.75" customHeight="1"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4"/>
      <c r="N40" s="114"/>
      <c r="O40" s="242"/>
      <c r="P40" s="243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M40" s="114"/>
      <c r="AN40" s="236"/>
      <c r="AO40" s="114"/>
    </row>
    <row r="41" ht="15.75" customHeight="1">
      <c r="C41" s="114"/>
      <c r="D41" s="114"/>
      <c r="E41" s="114"/>
      <c r="F41" s="114"/>
      <c r="G41" s="114"/>
      <c r="H41" s="114"/>
      <c r="I41" s="114"/>
      <c r="J41" s="114"/>
      <c r="K41" s="114"/>
      <c r="L41" s="114"/>
      <c r="M41" s="114"/>
      <c r="N41" s="114"/>
      <c r="O41" s="242"/>
      <c r="P41" s="243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M41" s="114"/>
      <c r="AN41" s="236"/>
      <c r="AO41" s="114"/>
    </row>
    <row r="42" ht="15.75" customHeight="1"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242"/>
      <c r="P42" s="243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M42" s="114"/>
      <c r="AN42" s="236"/>
      <c r="AO42" s="114"/>
    </row>
    <row r="43" ht="15.75" customHeight="1"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242"/>
      <c r="P43" s="243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M43" s="114"/>
      <c r="AN43" s="236"/>
      <c r="AO43" s="114"/>
    </row>
    <row r="44" ht="15.75" customHeight="1"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242"/>
      <c r="P44" s="243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M44" s="114"/>
      <c r="AN44" s="236"/>
      <c r="AO44" s="114"/>
    </row>
    <row r="45" ht="15.75" customHeight="1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242"/>
      <c r="P45" s="243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M45" s="114"/>
      <c r="AN45" s="236"/>
      <c r="AO45" s="114"/>
    </row>
    <row r="46" ht="15.75" customHeight="1"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242"/>
      <c r="P46" s="243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M46" s="114"/>
      <c r="AN46" s="236"/>
      <c r="AO46" s="114"/>
    </row>
    <row r="47" ht="15.75" customHeight="1"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242"/>
      <c r="P47" s="243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M47" s="114"/>
      <c r="AN47" s="236"/>
      <c r="AO47" s="114"/>
    </row>
    <row r="48" ht="15.75" customHeight="1"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242"/>
      <c r="P48" s="243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M48" s="114"/>
      <c r="AN48" s="236"/>
      <c r="AO48" s="114"/>
    </row>
    <row r="49" ht="15.75" customHeight="1"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242"/>
      <c r="P49" s="243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  <c r="AE49" s="114"/>
      <c r="AF49" s="114"/>
      <c r="AM49" s="114"/>
      <c r="AN49" s="236"/>
      <c r="AO49" s="114"/>
    </row>
    <row r="50" ht="15.75" customHeight="1"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242"/>
      <c r="P50" s="243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M50" s="114"/>
      <c r="AN50" s="236"/>
      <c r="AO50" s="114"/>
    </row>
    <row r="51" ht="15.75" customHeight="1"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242"/>
      <c r="P51" s="243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  <c r="AE51" s="114"/>
      <c r="AF51" s="114"/>
      <c r="AM51" s="114"/>
      <c r="AN51" s="236"/>
      <c r="AO51" s="114"/>
    </row>
    <row r="52" ht="15.75" customHeight="1"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242"/>
      <c r="P52" s="243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M52" s="114"/>
      <c r="AN52" s="236"/>
      <c r="AO52" s="114"/>
    </row>
    <row r="53" ht="15.75" customHeight="1"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242"/>
      <c r="P53" s="243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M53" s="114"/>
      <c r="AN53" s="236"/>
      <c r="AO53" s="114"/>
    </row>
    <row r="54" ht="15.75" customHeight="1"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242"/>
      <c r="P54" s="243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M54" s="114"/>
      <c r="AN54" s="236"/>
      <c r="AO54" s="114"/>
    </row>
    <row r="55" ht="15.75" customHeight="1"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242"/>
      <c r="P55" s="243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M55" s="114"/>
      <c r="AN55" s="236"/>
      <c r="AO55" s="114"/>
    </row>
    <row r="56" ht="15.75" customHeight="1"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242"/>
      <c r="P56" s="243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M56" s="114"/>
      <c r="AN56" s="236"/>
      <c r="AO56" s="114"/>
    </row>
    <row r="57" ht="15.75" customHeight="1"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242"/>
      <c r="P57" s="243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M57" s="114"/>
      <c r="AN57" s="236"/>
      <c r="AO57" s="114"/>
    </row>
    <row r="58" ht="15.75" customHeight="1"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242"/>
      <c r="P58" s="243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M58" s="114"/>
      <c r="AN58" s="236"/>
      <c r="AO58" s="114"/>
    </row>
    <row r="59" ht="15.75" customHeight="1"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242"/>
      <c r="P59" s="243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M59" s="114"/>
      <c r="AN59" s="236"/>
      <c r="AO59" s="114"/>
    </row>
    <row r="60" ht="15.75" customHeight="1"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242"/>
      <c r="P60" s="243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M60" s="114"/>
      <c r="AN60" s="236"/>
      <c r="AO60" s="114"/>
    </row>
    <row r="61" ht="15.75" customHeight="1"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242"/>
      <c r="P61" s="243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M61" s="114"/>
      <c r="AN61" s="236"/>
      <c r="AO61" s="114"/>
    </row>
    <row r="62" ht="15.75" customHeight="1"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242"/>
      <c r="P62" s="243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M62" s="114"/>
      <c r="AN62" s="236"/>
      <c r="AO62" s="114"/>
    </row>
    <row r="63" ht="15.75" customHeight="1"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242"/>
      <c r="P63" s="243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M63" s="114"/>
      <c r="AN63" s="236"/>
      <c r="AO63" s="114"/>
    </row>
    <row r="64" ht="15.75" customHeight="1"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242"/>
      <c r="P64" s="243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M64" s="114"/>
      <c r="AN64" s="236"/>
      <c r="AO64" s="114"/>
    </row>
    <row r="65" ht="15.75" customHeight="1"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242"/>
      <c r="P65" s="243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M65" s="114"/>
      <c r="AN65" s="236"/>
      <c r="AO65" s="114"/>
    </row>
    <row r="66" ht="15.75" customHeight="1"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242"/>
      <c r="P66" s="243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M66" s="114"/>
      <c r="AN66" s="236"/>
      <c r="AO66" s="114"/>
    </row>
    <row r="67" ht="15.75" customHeight="1"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242"/>
      <c r="P67" s="243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M67" s="114"/>
      <c r="AN67" s="236"/>
      <c r="AO67" s="114"/>
    </row>
    <row r="68" ht="15.75" customHeight="1"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242"/>
      <c r="P68" s="243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  <c r="AE68" s="114"/>
      <c r="AF68" s="114"/>
      <c r="AM68" s="114"/>
      <c r="AN68" s="236"/>
      <c r="AO68" s="114"/>
    </row>
    <row r="69" ht="15.75" customHeight="1"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242"/>
      <c r="P69" s="243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M69" s="114"/>
      <c r="AN69" s="236"/>
      <c r="AO69" s="114"/>
    </row>
    <row r="70" ht="15.75" customHeight="1"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242"/>
      <c r="P70" s="243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M70" s="114"/>
      <c r="AN70" s="236"/>
      <c r="AO70" s="114"/>
    </row>
    <row r="71" ht="15.75" customHeight="1"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242"/>
      <c r="P71" s="243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M71" s="114"/>
      <c r="AN71" s="236"/>
      <c r="AO71" s="114"/>
    </row>
    <row r="72" ht="15.75" customHeight="1"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242"/>
      <c r="P72" s="243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M72" s="114"/>
      <c r="AN72" s="236"/>
      <c r="AO72" s="114"/>
    </row>
    <row r="73" ht="15.75" customHeight="1"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242"/>
      <c r="P73" s="243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M73" s="114"/>
      <c r="AN73" s="236"/>
      <c r="AO73" s="114"/>
    </row>
    <row r="74" ht="15.75" customHeight="1"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242"/>
      <c r="P74" s="243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M74" s="114"/>
      <c r="AN74" s="236"/>
      <c r="AO74" s="114"/>
    </row>
    <row r="75" ht="15.75" customHeight="1"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242"/>
      <c r="P75" s="243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M75" s="114"/>
      <c r="AN75" s="236"/>
      <c r="AO75" s="114"/>
    </row>
    <row r="76" ht="15.75" customHeight="1"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242"/>
      <c r="P76" s="243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M76" s="114"/>
      <c r="AN76" s="236"/>
      <c r="AO76" s="114"/>
    </row>
    <row r="77" ht="15.75" customHeight="1"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  <c r="O77" s="242"/>
      <c r="P77" s="243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  <c r="AD77" s="114"/>
      <c r="AE77" s="114"/>
      <c r="AF77" s="114"/>
      <c r="AM77" s="114"/>
      <c r="AN77" s="236"/>
      <c r="AO77" s="114"/>
    </row>
    <row r="78" ht="15.75" customHeight="1"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242"/>
      <c r="P78" s="243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  <c r="AD78" s="114"/>
      <c r="AE78" s="114"/>
      <c r="AF78" s="114"/>
      <c r="AM78" s="114"/>
      <c r="AN78" s="236"/>
      <c r="AO78" s="114"/>
    </row>
    <row r="79" ht="15.75" customHeight="1"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242"/>
      <c r="P79" s="243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M79" s="114"/>
      <c r="AN79" s="236"/>
      <c r="AO79" s="114"/>
    </row>
    <row r="80" ht="15.75" customHeight="1"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  <c r="O80" s="242"/>
      <c r="P80" s="243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  <c r="AD80" s="114"/>
      <c r="AE80" s="114"/>
      <c r="AF80" s="114"/>
      <c r="AM80" s="114"/>
      <c r="AN80" s="236"/>
      <c r="AO80" s="114"/>
    </row>
    <row r="81" ht="15.75" customHeight="1"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242"/>
      <c r="P81" s="243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  <c r="AD81" s="114"/>
      <c r="AE81" s="114"/>
      <c r="AF81" s="114"/>
      <c r="AM81" s="114"/>
      <c r="AN81" s="236"/>
      <c r="AO81" s="114"/>
    </row>
    <row r="82" ht="15.75" customHeight="1"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242"/>
      <c r="P82" s="243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  <c r="AD82" s="114"/>
      <c r="AE82" s="114"/>
      <c r="AF82" s="114"/>
      <c r="AM82" s="114"/>
      <c r="AN82" s="236"/>
      <c r="AO82" s="114"/>
    </row>
    <row r="83" ht="15.75" customHeight="1"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242"/>
      <c r="P83" s="243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  <c r="AD83" s="114"/>
      <c r="AE83" s="114"/>
      <c r="AF83" s="114"/>
      <c r="AM83" s="114"/>
      <c r="AN83" s="236"/>
      <c r="AO83" s="114"/>
    </row>
    <row r="84" ht="15.75" customHeight="1"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242"/>
      <c r="P84" s="243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  <c r="AD84" s="114"/>
      <c r="AE84" s="114"/>
      <c r="AF84" s="114"/>
      <c r="AM84" s="114"/>
      <c r="AN84" s="236"/>
      <c r="AO84" s="114"/>
    </row>
    <row r="85" ht="15.75" customHeight="1"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242"/>
      <c r="P85" s="243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  <c r="AD85" s="114"/>
      <c r="AE85" s="114"/>
      <c r="AF85" s="114"/>
      <c r="AM85" s="114"/>
      <c r="AN85" s="236"/>
      <c r="AO85" s="114"/>
    </row>
    <row r="86" ht="15.75" customHeight="1">
      <c r="C86" s="114"/>
      <c r="D86" s="114"/>
      <c r="E86" s="114"/>
      <c r="F86" s="114"/>
      <c r="G86" s="114"/>
      <c r="H86" s="114"/>
      <c r="I86" s="114"/>
      <c r="J86" s="114"/>
      <c r="K86" s="114"/>
      <c r="L86" s="114"/>
      <c r="M86" s="114"/>
      <c r="N86" s="114"/>
      <c r="O86" s="242"/>
      <c r="P86" s="243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  <c r="AD86" s="114"/>
      <c r="AE86" s="114"/>
      <c r="AF86" s="114"/>
      <c r="AM86" s="114"/>
      <c r="AN86" s="236"/>
      <c r="AO86" s="114"/>
    </row>
    <row r="87" ht="15.75" customHeight="1"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  <c r="N87" s="114"/>
      <c r="O87" s="242"/>
      <c r="P87" s="243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  <c r="AB87" s="114"/>
      <c r="AC87" s="114"/>
      <c r="AD87" s="114"/>
      <c r="AE87" s="114"/>
      <c r="AF87" s="114"/>
      <c r="AM87" s="114"/>
      <c r="AN87" s="236"/>
      <c r="AO87" s="114"/>
    </row>
    <row r="88" ht="15.75" customHeight="1"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242"/>
      <c r="P88" s="243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  <c r="AD88" s="114"/>
      <c r="AE88" s="114"/>
      <c r="AF88" s="114"/>
      <c r="AM88" s="114"/>
      <c r="AN88" s="236"/>
      <c r="AO88" s="114"/>
    </row>
    <row r="89" ht="15.75" customHeight="1"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  <c r="O89" s="242"/>
      <c r="P89" s="243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  <c r="AD89" s="114"/>
      <c r="AE89" s="114"/>
      <c r="AF89" s="114"/>
      <c r="AM89" s="114"/>
      <c r="AN89" s="236"/>
      <c r="AO89" s="114"/>
    </row>
    <row r="90" ht="15.75" customHeight="1"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  <c r="O90" s="242"/>
      <c r="P90" s="243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M90" s="114"/>
      <c r="AN90" s="236"/>
      <c r="AO90" s="114"/>
    </row>
    <row r="91" ht="15.75" customHeight="1">
      <c r="C91" s="114"/>
      <c r="D91" s="114"/>
      <c r="E91" s="114"/>
      <c r="F91" s="114"/>
      <c r="G91" s="114"/>
      <c r="H91" s="114"/>
      <c r="I91" s="114"/>
      <c r="J91" s="114"/>
      <c r="K91" s="114"/>
      <c r="L91" s="114"/>
      <c r="M91" s="114"/>
      <c r="N91" s="114"/>
      <c r="O91" s="242"/>
      <c r="P91" s="243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  <c r="AD91" s="114"/>
      <c r="AE91" s="114"/>
      <c r="AF91" s="114"/>
      <c r="AM91" s="114"/>
      <c r="AN91" s="236"/>
      <c r="AO91" s="114"/>
    </row>
    <row r="92" ht="15.75" customHeight="1"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  <c r="O92" s="242"/>
      <c r="P92" s="243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  <c r="AD92" s="114"/>
      <c r="AE92" s="114"/>
      <c r="AF92" s="114"/>
      <c r="AM92" s="114"/>
      <c r="AN92" s="236"/>
      <c r="AO92" s="114"/>
    </row>
    <row r="93" ht="15.75" customHeight="1"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  <c r="O93" s="242"/>
      <c r="P93" s="243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  <c r="AD93" s="114"/>
      <c r="AE93" s="114"/>
      <c r="AF93" s="114"/>
      <c r="AM93" s="114"/>
      <c r="AN93" s="236"/>
      <c r="AO93" s="114"/>
    </row>
    <row r="94" ht="15.75" customHeight="1"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242"/>
      <c r="P94" s="243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M94" s="114"/>
      <c r="AN94" s="236"/>
      <c r="AO94" s="114"/>
    </row>
    <row r="95" ht="15.75" customHeight="1"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  <c r="O95" s="242"/>
      <c r="P95" s="243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  <c r="AD95" s="114"/>
      <c r="AE95" s="114"/>
      <c r="AF95" s="114"/>
      <c r="AM95" s="114"/>
      <c r="AN95" s="236"/>
      <c r="AO95" s="114"/>
    </row>
    <row r="96" ht="15.75" customHeight="1">
      <c r="C96" s="114"/>
      <c r="D96" s="114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242"/>
      <c r="P96" s="243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  <c r="AD96" s="114"/>
      <c r="AE96" s="114"/>
      <c r="AF96" s="114"/>
      <c r="AM96" s="114"/>
      <c r="AN96" s="236"/>
      <c r="AO96" s="114"/>
    </row>
    <row r="97" ht="15.75" customHeight="1"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  <c r="O97" s="242"/>
      <c r="P97" s="243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  <c r="AD97" s="114"/>
      <c r="AE97" s="114"/>
      <c r="AF97" s="114"/>
      <c r="AM97" s="114"/>
      <c r="AN97" s="236"/>
      <c r="AO97" s="114"/>
    </row>
    <row r="98" ht="15.75" customHeight="1"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242"/>
      <c r="P98" s="243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M98" s="114"/>
      <c r="AN98" s="236"/>
      <c r="AO98" s="114"/>
    </row>
    <row r="99" ht="15.75" customHeight="1"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  <c r="O99" s="242"/>
      <c r="P99" s="243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  <c r="AD99" s="114"/>
      <c r="AE99" s="114"/>
      <c r="AF99" s="114"/>
      <c r="AM99" s="114"/>
      <c r="AN99" s="236"/>
      <c r="AO99" s="114"/>
    </row>
    <row r="100" ht="15.75" customHeight="1"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  <c r="O100" s="242"/>
      <c r="P100" s="243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  <c r="AD100" s="114"/>
      <c r="AE100" s="114"/>
      <c r="AF100" s="114"/>
      <c r="AM100" s="114"/>
      <c r="AN100" s="236"/>
      <c r="AO100" s="114"/>
    </row>
    <row r="101" ht="15.75" customHeight="1"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  <c r="N101" s="114"/>
      <c r="O101" s="242"/>
      <c r="P101" s="243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  <c r="AD101" s="114"/>
      <c r="AE101" s="114"/>
      <c r="AF101" s="114"/>
      <c r="AM101" s="114"/>
      <c r="AN101" s="236"/>
      <c r="AO101" s="114"/>
    </row>
    <row r="102" ht="15.75" customHeight="1"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242"/>
      <c r="P102" s="243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F102" s="114"/>
      <c r="AM102" s="114"/>
      <c r="AN102" s="236"/>
      <c r="AO102" s="114"/>
    </row>
    <row r="103" ht="15.75" customHeight="1"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  <c r="O103" s="242"/>
      <c r="P103" s="243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  <c r="AD103" s="114"/>
      <c r="AE103" s="114"/>
      <c r="AF103" s="114"/>
      <c r="AM103" s="114"/>
      <c r="AN103" s="236"/>
      <c r="AO103" s="114"/>
    </row>
    <row r="104" ht="15.75" customHeight="1"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  <c r="O104" s="242"/>
      <c r="P104" s="243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  <c r="AD104" s="114"/>
      <c r="AE104" s="114"/>
      <c r="AF104" s="114"/>
      <c r="AM104" s="114"/>
      <c r="AN104" s="236"/>
      <c r="AO104" s="114"/>
    </row>
    <row r="105" ht="15.75" customHeight="1"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  <c r="O105" s="242"/>
      <c r="P105" s="243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  <c r="AD105" s="114"/>
      <c r="AE105" s="114"/>
      <c r="AF105" s="114"/>
      <c r="AM105" s="114"/>
      <c r="AN105" s="236"/>
      <c r="AO105" s="114"/>
    </row>
    <row r="106" ht="15.75" customHeight="1"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242"/>
      <c r="P106" s="243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  <c r="AD106" s="114"/>
      <c r="AE106" s="114"/>
      <c r="AF106" s="114"/>
      <c r="AM106" s="114"/>
      <c r="AN106" s="236"/>
      <c r="AO106" s="114"/>
    </row>
    <row r="107" ht="15.75" customHeight="1"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  <c r="O107" s="242"/>
      <c r="P107" s="243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  <c r="AD107" s="114"/>
      <c r="AE107" s="114"/>
      <c r="AF107" s="114"/>
      <c r="AM107" s="114"/>
      <c r="AN107" s="236"/>
      <c r="AO107" s="114"/>
    </row>
    <row r="108" ht="15.75" customHeight="1"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242"/>
      <c r="P108" s="243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  <c r="AD108" s="114"/>
      <c r="AE108" s="114"/>
      <c r="AF108" s="114"/>
      <c r="AM108" s="114"/>
      <c r="AN108" s="236"/>
      <c r="AO108" s="114"/>
    </row>
    <row r="109" ht="15.75" customHeight="1"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  <c r="O109" s="242"/>
      <c r="P109" s="243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  <c r="AD109" s="114"/>
      <c r="AE109" s="114"/>
      <c r="AF109" s="114"/>
      <c r="AM109" s="114"/>
      <c r="AN109" s="236"/>
      <c r="AO109" s="114"/>
    </row>
    <row r="110" ht="15.75" customHeight="1"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  <c r="O110" s="242"/>
      <c r="P110" s="243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  <c r="AD110" s="114"/>
      <c r="AE110" s="114"/>
      <c r="AF110" s="114"/>
      <c r="AM110" s="114"/>
      <c r="AN110" s="236"/>
      <c r="AO110" s="114"/>
    </row>
    <row r="111" ht="15.75" customHeight="1">
      <c r="C111" s="114"/>
      <c r="D111" s="114"/>
      <c r="E111" s="114"/>
      <c r="F111" s="114"/>
      <c r="G111" s="114"/>
      <c r="H111" s="114"/>
      <c r="I111" s="114"/>
      <c r="J111" s="114"/>
      <c r="K111" s="114"/>
      <c r="L111" s="114"/>
      <c r="M111" s="114"/>
      <c r="N111" s="114"/>
      <c r="O111" s="242"/>
      <c r="P111" s="243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  <c r="AD111" s="114"/>
      <c r="AE111" s="114"/>
      <c r="AF111" s="114"/>
      <c r="AM111" s="114"/>
      <c r="AN111" s="236"/>
      <c r="AO111" s="114"/>
    </row>
    <row r="112" ht="15.75" customHeight="1">
      <c r="C112" s="114"/>
      <c r="D112" s="114"/>
      <c r="E112" s="114"/>
      <c r="F112" s="114"/>
      <c r="G112" s="114"/>
      <c r="H112" s="114"/>
      <c r="I112" s="114"/>
      <c r="J112" s="114"/>
      <c r="K112" s="114"/>
      <c r="L112" s="114"/>
      <c r="M112" s="114"/>
      <c r="N112" s="114"/>
      <c r="O112" s="242"/>
      <c r="P112" s="243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  <c r="AD112" s="114"/>
      <c r="AE112" s="114"/>
      <c r="AF112" s="114"/>
      <c r="AM112" s="114"/>
      <c r="AN112" s="236"/>
      <c r="AO112" s="114"/>
    </row>
    <row r="113" ht="15.75" customHeight="1"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242"/>
      <c r="P113" s="243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  <c r="AD113" s="114"/>
      <c r="AE113" s="114"/>
      <c r="AF113" s="114"/>
      <c r="AM113" s="114"/>
      <c r="AN113" s="236"/>
      <c r="AO113" s="114"/>
    </row>
    <row r="114" ht="15.75" customHeight="1"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242"/>
      <c r="P114" s="243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  <c r="AD114" s="114"/>
      <c r="AE114" s="114"/>
      <c r="AF114" s="114"/>
      <c r="AM114" s="114"/>
      <c r="AN114" s="236"/>
      <c r="AO114" s="114"/>
    </row>
    <row r="115" ht="15.75" customHeight="1"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  <c r="O115" s="242"/>
      <c r="P115" s="243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  <c r="AD115" s="114"/>
      <c r="AE115" s="114"/>
      <c r="AF115" s="114"/>
      <c r="AM115" s="114"/>
      <c r="AN115" s="236"/>
      <c r="AO115" s="114"/>
    </row>
    <row r="116" ht="15.75" customHeight="1">
      <c r="C116" s="114"/>
      <c r="D116" s="114"/>
      <c r="E116" s="114"/>
      <c r="F116" s="114"/>
      <c r="G116" s="114"/>
      <c r="H116" s="114"/>
      <c r="I116" s="114"/>
      <c r="J116" s="114"/>
      <c r="K116" s="114"/>
      <c r="L116" s="114"/>
      <c r="M116" s="114"/>
      <c r="N116" s="114"/>
      <c r="O116" s="242"/>
      <c r="P116" s="243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  <c r="AD116" s="114"/>
      <c r="AE116" s="114"/>
      <c r="AF116" s="114"/>
      <c r="AM116" s="114"/>
      <c r="AN116" s="236"/>
      <c r="AO116" s="114"/>
    </row>
    <row r="117" ht="15.75" customHeight="1"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  <c r="O117" s="242"/>
      <c r="P117" s="243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  <c r="AD117" s="114"/>
      <c r="AE117" s="114"/>
      <c r="AF117" s="114"/>
      <c r="AM117" s="114"/>
      <c r="AN117" s="236"/>
      <c r="AO117" s="114"/>
    </row>
    <row r="118" ht="15.75" customHeight="1"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  <c r="O118" s="242"/>
      <c r="P118" s="243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  <c r="AD118" s="114"/>
      <c r="AE118" s="114"/>
      <c r="AF118" s="114"/>
      <c r="AM118" s="114"/>
      <c r="AN118" s="236"/>
      <c r="AO118" s="114"/>
    </row>
    <row r="119" ht="15.75" customHeight="1"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  <c r="O119" s="242"/>
      <c r="P119" s="243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  <c r="AD119" s="114"/>
      <c r="AE119" s="114"/>
      <c r="AF119" s="114"/>
      <c r="AM119" s="114"/>
      <c r="AN119" s="236"/>
      <c r="AO119" s="114"/>
    </row>
    <row r="120" ht="15.75" customHeight="1"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  <c r="O120" s="242"/>
      <c r="P120" s="243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  <c r="AF120" s="114"/>
      <c r="AM120" s="114"/>
      <c r="AN120" s="236"/>
      <c r="AO120" s="114"/>
    </row>
    <row r="121" ht="15.75" customHeight="1">
      <c r="C121" s="114"/>
      <c r="D121" s="114"/>
      <c r="E121" s="114"/>
      <c r="F121" s="114"/>
      <c r="G121" s="114"/>
      <c r="H121" s="114"/>
      <c r="I121" s="114"/>
      <c r="J121" s="114"/>
      <c r="K121" s="114"/>
      <c r="L121" s="114"/>
      <c r="M121" s="114"/>
      <c r="N121" s="114"/>
      <c r="O121" s="242"/>
      <c r="P121" s="243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  <c r="AD121" s="114"/>
      <c r="AE121" s="114"/>
      <c r="AF121" s="114"/>
      <c r="AM121" s="114"/>
      <c r="AN121" s="236"/>
      <c r="AO121" s="114"/>
    </row>
    <row r="122" ht="15.75" customHeight="1">
      <c r="C122" s="114"/>
      <c r="D122" s="114"/>
      <c r="E122" s="114"/>
      <c r="F122" s="114"/>
      <c r="G122" s="114"/>
      <c r="H122" s="114"/>
      <c r="I122" s="114"/>
      <c r="J122" s="114"/>
      <c r="K122" s="114"/>
      <c r="L122" s="114"/>
      <c r="M122" s="114"/>
      <c r="N122" s="114"/>
      <c r="O122" s="242"/>
      <c r="P122" s="243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  <c r="AD122" s="114"/>
      <c r="AE122" s="114"/>
      <c r="AF122" s="114"/>
      <c r="AM122" s="114"/>
      <c r="AN122" s="236"/>
      <c r="AO122" s="114"/>
    </row>
    <row r="123" ht="15.75" customHeight="1">
      <c r="C123" s="114"/>
      <c r="D123" s="114"/>
      <c r="E123" s="114"/>
      <c r="F123" s="114"/>
      <c r="G123" s="114"/>
      <c r="H123" s="114"/>
      <c r="I123" s="114"/>
      <c r="J123" s="114"/>
      <c r="K123" s="114"/>
      <c r="L123" s="114"/>
      <c r="M123" s="114"/>
      <c r="N123" s="114"/>
      <c r="O123" s="242"/>
      <c r="P123" s="243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  <c r="AD123" s="114"/>
      <c r="AE123" s="114"/>
      <c r="AF123" s="114"/>
      <c r="AM123" s="114"/>
      <c r="AN123" s="236"/>
      <c r="AO123" s="114"/>
    </row>
    <row r="124" ht="15.75" customHeight="1">
      <c r="C124" s="114"/>
      <c r="D124" s="114"/>
      <c r="E124" s="114"/>
      <c r="F124" s="114"/>
      <c r="G124" s="114"/>
      <c r="H124" s="114"/>
      <c r="I124" s="114"/>
      <c r="J124" s="114"/>
      <c r="K124" s="114"/>
      <c r="L124" s="114"/>
      <c r="M124" s="114"/>
      <c r="N124" s="114"/>
      <c r="O124" s="242"/>
      <c r="P124" s="243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M124" s="114"/>
      <c r="AN124" s="236"/>
      <c r="AO124" s="114"/>
    </row>
    <row r="125" ht="15.75" customHeight="1"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242"/>
      <c r="P125" s="243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M125" s="114"/>
      <c r="AN125" s="236"/>
      <c r="AO125" s="114"/>
    </row>
    <row r="126" ht="15.75" customHeight="1">
      <c r="C126" s="114"/>
      <c r="D126" s="114"/>
      <c r="E126" s="114"/>
      <c r="F126" s="114"/>
      <c r="G126" s="114"/>
      <c r="H126" s="114"/>
      <c r="I126" s="114"/>
      <c r="J126" s="114"/>
      <c r="K126" s="114"/>
      <c r="L126" s="114"/>
      <c r="M126" s="114"/>
      <c r="N126" s="114"/>
      <c r="O126" s="242"/>
      <c r="P126" s="243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  <c r="AD126" s="114"/>
      <c r="AE126" s="114"/>
      <c r="AF126" s="114"/>
      <c r="AM126" s="114"/>
      <c r="AN126" s="236"/>
      <c r="AO126" s="114"/>
    </row>
    <row r="127" ht="15.75" customHeight="1">
      <c r="C127" s="114"/>
      <c r="D127" s="114"/>
      <c r="E127" s="114"/>
      <c r="F127" s="114"/>
      <c r="G127" s="114"/>
      <c r="H127" s="114"/>
      <c r="I127" s="114"/>
      <c r="J127" s="114"/>
      <c r="K127" s="114"/>
      <c r="L127" s="114"/>
      <c r="M127" s="114"/>
      <c r="N127" s="114"/>
      <c r="O127" s="242"/>
      <c r="P127" s="243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  <c r="AD127" s="114"/>
      <c r="AE127" s="114"/>
      <c r="AF127" s="114"/>
      <c r="AM127" s="114"/>
      <c r="AN127" s="236"/>
      <c r="AO127" s="114"/>
    </row>
    <row r="128" ht="15.75" customHeight="1">
      <c r="C128" s="114"/>
      <c r="D128" s="114"/>
      <c r="E128" s="114"/>
      <c r="F128" s="114"/>
      <c r="G128" s="114"/>
      <c r="H128" s="114"/>
      <c r="I128" s="114"/>
      <c r="J128" s="114"/>
      <c r="K128" s="114"/>
      <c r="L128" s="114"/>
      <c r="M128" s="114"/>
      <c r="N128" s="114"/>
      <c r="O128" s="242"/>
      <c r="P128" s="243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  <c r="AD128" s="114"/>
      <c r="AE128" s="114"/>
      <c r="AF128" s="114"/>
      <c r="AM128" s="114"/>
      <c r="AN128" s="236"/>
      <c r="AO128" s="114"/>
    </row>
    <row r="129" ht="15.75" customHeight="1"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  <c r="N129" s="114"/>
      <c r="O129" s="242"/>
      <c r="P129" s="243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  <c r="AD129" s="114"/>
      <c r="AE129" s="114"/>
      <c r="AF129" s="114"/>
      <c r="AM129" s="114"/>
      <c r="AN129" s="236"/>
      <c r="AO129" s="114"/>
    </row>
    <row r="130" ht="15.75" customHeight="1">
      <c r="C130" s="114"/>
      <c r="D130" s="114"/>
      <c r="E130" s="114"/>
      <c r="F130" s="114"/>
      <c r="G130" s="114"/>
      <c r="H130" s="114"/>
      <c r="I130" s="114"/>
      <c r="J130" s="114"/>
      <c r="K130" s="114"/>
      <c r="L130" s="114"/>
      <c r="M130" s="114"/>
      <c r="N130" s="114"/>
      <c r="O130" s="242"/>
      <c r="P130" s="243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  <c r="AD130" s="114"/>
      <c r="AE130" s="114"/>
      <c r="AF130" s="114"/>
      <c r="AM130" s="114"/>
      <c r="AN130" s="236"/>
      <c r="AO130" s="114"/>
    </row>
    <row r="131" ht="15.75" customHeight="1">
      <c r="C131" s="114"/>
      <c r="D131" s="114"/>
      <c r="E131" s="114"/>
      <c r="F131" s="114"/>
      <c r="G131" s="114"/>
      <c r="H131" s="114"/>
      <c r="I131" s="114"/>
      <c r="J131" s="114"/>
      <c r="K131" s="114"/>
      <c r="L131" s="114"/>
      <c r="M131" s="114"/>
      <c r="N131" s="114"/>
      <c r="O131" s="242"/>
      <c r="P131" s="243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  <c r="AF131" s="114"/>
      <c r="AM131" s="114"/>
      <c r="AN131" s="236"/>
      <c r="AO131" s="114"/>
    </row>
    <row r="132" ht="15.75" customHeight="1">
      <c r="C132" s="114"/>
      <c r="D132" s="114"/>
      <c r="E132" s="114"/>
      <c r="F132" s="114"/>
      <c r="G132" s="114"/>
      <c r="H132" s="114"/>
      <c r="I132" s="114"/>
      <c r="J132" s="114"/>
      <c r="K132" s="114"/>
      <c r="L132" s="114"/>
      <c r="M132" s="114"/>
      <c r="N132" s="114"/>
      <c r="O132" s="242"/>
      <c r="P132" s="243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  <c r="AF132" s="114"/>
      <c r="AM132" s="114"/>
      <c r="AN132" s="236"/>
      <c r="AO132" s="114"/>
    </row>
    <row r="133" ht="15.75" customHeight="1">
      <c r="C133" s="114"/>
      <c r="D133" s="114"/>
      <c r="E133" s="114"/>
      <c r="F133" s="114"/>
      <c r="G133" s="114"/>
      <c r="H133" s="114"/>
      <c r="I133" s="114"/>
      <c r="J133" s="114"/>
      <c r="K133" s="114"/>
      <c r="L133" s="114"/>
      <c r="M133" s="114"/>
      <c r="N133" s="114"/>
      <c r="O133" s="242"/>
      <c r="P133" s="243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  <c r="AF133" s="114"/>
      <c r="AM133" s="114"/>
      <c r="AN133" s="236"/>
      <c r="AO133" s="114"/>
    </row>
    <row r="134" ht="15.75" customHeight="1">
      <c r="C134" s="114"/>
      <c r="D134" s="114"/>
      <c r="E134" s="114"/>
      <c r="F134" s="114"/>
      <c r="G134" s="114"/>
      <c r="H134" s="114"/>
      <c r="I134" s="114"/>
      <c r="J134" s="114"/>
      <c r="K134" s="114"/>
      <c r="L134" s="114"/>
      <c r="M134" s="114"/>
      <c r="N134" s="114"/>
      <c r="O134" s="242"/>
      <c r="P134" s="243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  <c r="AF134" s="114"/>
      <c r="AM134" s="114"/>
      <c r="AN134" s="236"/>
      <c r="AO134" s="114"/>
    </row>
    <row r="135" ht="15.75" customHeight="1">
      <c r="C135" s="114"/>
      <c r="D135" s="114"/>
      <c r="E135" s="114"/>
      <c r="F135" s="114"/>
      <c r="G135" s="114"/>
      <c r="H135" s="114"/>
      <c r="I135" s="114"/>
      <c r="J135" s="114"/>
      <c r="K135" s="114"/>
      <c r="L135" s="114"/>
      <c r="M135" s="114"/>
      <c r="N135" s="114"/>
      <c r="O135" s="242"/>
      <c r="P135" s="243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  <c r="AD135" s="114"/>
      <c r="AE135" s="114"/>
      <c r="AF135" s="114"/>
      <c r="AM135" s="114"/>
      <c r="AN135" s="236"/>
      <c r="AO135" s="114"/>
    </row>
    <row r="136" ht="15.75" customHeight="1">
      <c r="C136" s="114"/>
      <c r="D136" s="114"/>
      <c r="E136" s="114"/>
      <c r="F136" s="114"/>
      <c r="G136" s="114"/>
      <c r="H136" s="114"/>
      <c r="I136" s="114"/>
      <c r="J136" s="114"/>
      <c r="K136" s="114"/>
      <c r="L136" s="114"/>
      <c r="M136" s="114"/>
      <c r="N136" s="114"/>
      <c r="O136" s="242"/>
      <c r="P136" s="243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  <c r="AF136" s="114"/>
      <c r="AM136" s="114"/>
      <c r="AN136" s="236"/>
      <c r="AO136" s="114"/>
    </row>
    <row r="137" ht="15.75" customHeight="1">
      <c r="C137" s="114"/>
      <c r="D137" s="114"/>
      <c r="E137" s="114"/>
      <c r="F137" s="114"/>
      <c r="G137" s="114"/>
      <c r="H137" s="114"/>
      <c r="I137" s="114"/>
      <c r="J137" s="114"/>
      <c r="K137" s="114"/>
      <c r="L137" s="114"/>
      <c r="M137" s="114"/>
      <c r="N137" s="114"/>
      <c r="O137" s="242"/>
      <c r="P137" s="243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  <c r="AF137" s="114"/>
      <c r="AM137" s="114"/>
      <c r="AN137" s="236"/>
      <c r="AO137" s="114"/>
    </row>
    <row r="138" ht="15.75" customHeight="1">
      <c r="C138" s="114"/>
      <c r="D138" s="114"/>
      <c r="E138" s="114"/>
      <c r="F138" s="114"/>
      <c r="G138" s="114"/>
      <c r="H138" s="114"/>
      <c r="I138" s="114"/>
      <c r="J138" s="114"/>
      <c r="K138" s="114"/>
      <c r="L138" s="114"/>
      <c r="M138" s="114"/>
      <c r="N138" s="114"/>
      <c r="O138" s="242"/>
      <c r="P138" s="243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M138" s="114"/>
      <c r="AN138" s="236"/>
      <c r="AO138" s="114"/>
    </row>
    <row r="139" ht="15.75" customHeight="1"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242"/>
      <c r="P139" s="243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  <c r="AF139" s="114"/>
      <c r="AM139" s="114"/>
      <c r="AN139" s="236"/>
      <c r="AO139" s="114"/>
    </row>
    <row r="140" ht="15.75" customHeight="1">
      <c r="C140" s="114"/>
      <c r="D140" s="114"/>
      <c r="E140" s="114"/>
      <c r="F140" s="114"/>
      <c r="G140" s="114"/>
      <c r="H140" s="114"/>
      <c r="I140" s="114"/>
      <c r="J140" s="114"/>
      <c r="K140" s="114"/>
      <c r="L140" s="114"/>
      <c r="M140" s="114"/>
      <c r="N140" s="114"/>
      <c r="O140" s="242"/>
      <c r="P140" s="243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  <c r="AD140" s="114"/>
      <c r="AE140" s="114"/>
      <c r="AF140" s="114"/>
      <c r="AM140" s="114"/>
      <c r="AN140" s="236"/>
      <c r="AO140" s="114"/>
    </row>
    <row r="141" ht="15.75" customHeight="1">
      <c r="C141" s="114"/>
      <c r="D141" s="114"/>
      <c r="E141" s="114"/>
      <c r="F141" s="114"/>
      <c r="G141" s="114"/>
      <c r="H141" s="114"/>
      <c r="I141" s="114"/>
      <c r="J141" s="114"/>
      <c r="K141" s="114"/>
      <c r="L141" s="114"/>
      <c r="M141" s="114"/>
      <c r="N141" s="114"/>
      <c r="O141" s="242"/>
      <c r="P141" s="243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  <c r="AD141" s="114"/>
      <c r="AE141" s="114"/>
      <c r="AF141" s="114"/>
      <c r="AM141" s="114"/>
      <c r="AN141" s="236"/>
      <c r="AO141" s="114"/>
    </row>
    <row r="142" ht="15.75" customHeight="1">
      <c r="C142" s="114"/>
      <c r="D142" s="114"/>
      <c r="E142" s="114"/>
      <c r="F142" s="114"/>
      <c r="G142" s="114"/>
      <c r="H142" s="114"/>
      <c r="I142" s="114"/>
      <c r="J142" s="114"/>
      <c r="K142" s="114"/>
      <c r="L142" s="114"/>
      <c r="M142" s="114"/>
      <c r="N142" s="114"/>
      <c r="O142" s="242"/>
      <c r="P142" s="243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  <c r="AD142" s="114"/>
      <c r="AE142" s="114"/>
      <c r="AF142" s="114"/>
      <c r="AM142" s="114"/>
      <c r="AN142" s="236"/>
      <c r="AO142" s="114"/>
    </row>
    <row r="143" ht="15.75" customHeight="1"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  <c r="N143" s="114"/>
      <c r="O143" s="242"/>
      <c r="P143" s="243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  <c r="AD143" s="114"/>
      <c r="AE143" s="114"/>
      <c r="AF143" s="114"/>
      <c r="AM143" s="114"/>
      <c r="AN143" s="236"/>
      <c r="AO143" s="114"/>
    </row>
    <row r="144" ht="15.75" customHeight="1">
      <c r="C144" s="114"/>
      <c r="D144" s="114"/>
      <c r="E144" s="114"/>
      <c r="F144" s="114"/>
      <c r="G144" s="114"/>
      <c r="H144" s="114"/>
      <c r="I144" s="114"/>
      <c r="J144" s="114"/>
      <c r="K144" s="114"/>
      <c r="L144" s="114"/>
      <c r="M144" s="114"/>
      <c r="N144" s="114"/>
      <c r="O144" s="242"/>
      <c r="P144" s="243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  <c r="AD144" s="114"/>
      <c r="AE144" s="114"/>
      <c r="AF144" s="114"/>
      <c r="AM144" s="114"/>
      <c r="AN144" s="236"/>
      <c r="AO144" s="114"/>
    </row>
    <row r="145" ht="15.75" customHeight="1">
      <c r="C145" s="114"/>
      <c r="D145" s="114"/>
      <c r="E145" s="114"/>
      <c r="F145" s="114"/>
      <c r="G145" s="114"/>
      <c r="H145" s="114"/>
      <c r="I145" s="114"/>
      <c r="J145" s="114"/>
      <c r="K145" s="114"/>
      <c r="L145" s="114"/>
      <c r="M145" s="114"/>
      <c r="N145" s="114"/>
      <c r="O145" s="242"/>
      <c r="P145" s="243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  <c r="AD145" s="114"/>
      <c r="AE145" s="114"/>
      <c r="AF145" s="114"/>
      <c r="AM145" s="114"/>
      <c r="AN145" s="236"/>
      <c r="AO145" s="114"/>
    </row>
    <row r="146" ht="15.75" customHeight="1">
      <c r="C146" s="114"/>
      <c r="D146" s="114"/>
      <c r="E146" s="114"/>
      <c r="F146" s="114"/>
      <c r="G146" s="114"/>
      <c r="H146" s="114"/>
      <c r="I146" s="114"/>
      <c r="J146" s="114"/>
      <c r="K146" s="114"/>
      <c r="L146" s="114"/>
      <c r="M146" s="114"/>
      <c r="N146" s="114"/>
      <c r="O146" s="242"/>
      <c r="P146" s="243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  <c r="AD146" s="114"/>
      <c r="AE146" s="114"/>
      <c r="AF146" s="114"/>
      <c r="AM146" s="114"/>
      <c r="AN146" s="236"/>
      <c r="AO146" s="114"/>
    </row>
    <row r="147" ht="15.75" customHeight="1">
      <c r="C147" s="114"/>
      <c r="D147" s="114"/>
      <c r="E147" s="114"/>
      <c r="F147" s="114"/>
      <c r="G147" s="114"/>
      <c r="H147" s="114"/>
      <c r="I147" s="114"/>
      <c r="J147" s="114"/>
      <c r="K147" s="114"/>
      <c r="L147" s="114"/>
      <c r="M147" s="114"/>
      <c r="N147" s="114"/>
      <c r="O147" s="242"/>
      <c r="P147" s="243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  <c r="AD147" s="114"/>
      <c r="AE147" s="114"/>
      <c r="AF147" s="114"/>
      <c r="AM147" s="114"/>
      <c r="AN147" s="236"/>
      <c r="AO147" s="114"/>
    </row>
    <row r="148" ht="15.75" customHeight="1">
      <c r="C148" s="114"/>
      <c r="D148" s="114"/>
      <c r="E148" s="114"/>
      <c r="F148" s="114"/>
      <c r="G148" s="114"/>
      <c r="H148" s="114"/>
      <c r="I148" s="114"/>
      <c r="J148" s="114"/>
      <c r="K148" s="114"/>
      <c r="L148" s="114"/>
      <c r="M148" s="114"/>
      <c r="N148" s="114"/>
      <c r="O148" s="242"/>
      <c r="P148" s="243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  <c r="AD148" s="114"/>
      <c r="AE148" s="114"/>
      <c r="AF148" s="114"/>
      <c r="AM148" s="114"/>
      <c r="AN148" s="236"/>
      <c r="AO148" s="114"/>
    </row>
    <row r="149" ht="15.75" customHeight="1"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  <c r="O149" s="242"/>
      <c r="P149" s="243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  <c r="AD149" s="114"/>
      <c r="AE149" s="114"/>
      <c r="AF149" s="114"/>
      <c r="AM149" s="114"/>
      <c r="AN149" s="236"/>
      <c r="AO149" s="114"/>
    </row>
    <row r="150" ht="15.75" customHeight="1"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  <c r="O150" s="242"/>
      <c r="P150" s="243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  <c r="AD150" s="114"/>
      <c r="AE150" s="114"/>
      <c r="AF150" s="114"/>
      <c r="AM150" s="114"/>
      <c r="AN150" s="236"/>
      <c r="AO150" s="114"/>
    </row>
    <row r="151" ht="15.75" customHeight="1"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  <c r="O151" s="242"/>
      <c r="P151" s="243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  <c r="AF151" s="114"/>
      <c r="AM151" s="114"/>
      <c r="AN151" s="236"/>
      <c r="AO151" s="114"/>
    </row>
    <row r="152" ht="15.75" customHeight="1"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  <c r="O152" s="242"/>
      <c r="P152" s="243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  <c r="AF152" s="114"/>
      <c r="AM152" s="114"/>
      <c r="AN152" s="236"/>
      <c r="AO152" s="114"/>
    </row>
    <row r="153" ht="15.75" customHeight="1"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242"/>
      <c r="P153" s="243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  <c r="AF153" s="114"/>
      <c r="AM153" s="114"/>
      <c r="AN153" s="236"/>
      <c r="AO153" s="114"/>
    </row>
    <row r="154" ht="15.75" customHeight="1"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  <c r="O154" s="242"/>
      <c r="P154" s="243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  <c r="AF154" s="114"/>
      <c r="AM154" s="114"/>
      <c r="AN154" s="236"/>
      <c r="AO154" s="114"/>
    </row>
    <row r="155" ht="15.75" customHeight="1"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  <c r="O155" s="242"/>
      <c r="P155" s="243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  <c r="AD155" s="114"/>
      <c r="AE155" s="114"/>
      <c r="AF155" s="114"/>
      <c r="AM155" s="114"/>
      <c r="AN155" s="236"/>
      <c r="AO155" s="114"/>
    </row>
    <row r="156" ht="15.75" customHeight="1"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242"/>
      <c r="P156" s="243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  <c r="AD156" s="114"/>
      <c r="AE156" s="114"/>
      <c r="AF156" s="114"/>
      <c r="AM156" s="114"/>
      <c r="AN156" s="236"/>
      <c r="AO156" s="114"/>
    </row>
    <row r="157" ht="15.75" customHeight="1"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  <c r="O157" s="242"/>
      <c r="P157" s="243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  <c r="AD157" s="114"/>
      <c r="AE157" s="114"/>
      <c r="AF157" s="114"/>
      <c r="AM157" s="114"/>
      <c r="AN157" s="236"/>
      <c r="AO157" s="114"/>
    </row>
    <row r="158" ht="15.75" customHeight="1">
      <c r="C158" s="114"/>
      <c r="D158" s="114"/>
      <c r="E158" s="114"/>
      <c r="F158" s="114"/>
      <c r="G158" s="114"/>
      <c r="H158" s="114"/>
      <c r="I158" s="114"/>
      <c r="J158" s="114"/>
      <c r="K158" s="114"/>
      <c r="L158" s="114"/>
      <c r="M158" s="114"/>
      <c r="N158" s="114"/>
      <c r="O158" s="242"/>
      <c r="P158" s="243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  <c r="AD158" s="114"/>
      <c r="AE158" s="114"/>
      <c r="AF158" s="114"/>
      <c r="AM158" s="114"/>
      <c r="AN158" s="236"/>
      <c r="AO158" s="114"/>
    </row>
    <row r="159" ht="15.75" customHeight="1"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  <c r="O159" s="242"/>
      <c r="P159" s="243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  <c r="AD159" s="114"/>
      <c r="AE159" s="114"/>
      <c r="AF159" s="114"/>
      <c r="AM159" s="114"/>
      <c r="AN159" s="236"/>
      <c r="AO159" s="114"/>
    </row>
    <row r="160" ht="15.75" customHeight="1">
      <c r="C160" s="114"/>
      <c r="D160" s="114"/>
      <c r="E160" s="114"/>
      <c r="F160" s="114"/>
      <c r="G160" s="114"/>
      <c r="H160" s="114"/>
      <c r="I160" s="114"/>
      <c r="J160" s="114"/>
      <c r="K160" s="114"/>
      <c r="L160" s="114"/>
      <c r="M160" s="114"/>
      <c r="N160" s="114"/>
      <c r="O160" s="242"/>
      <c r="P160" s="243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  <c r="AD160" s="114"/>
      <c r="AE160" s="114"/>
      <c r="AF160" s="114"/>
      <c r="AM160" s="114"/>
      <c r="AN160" s="236"/>
      <c r="AO160" s="114"/>
    </row>
    <row r="161" ht="15.75" customHeight="1"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242"/>
      <c r="P161" s="243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  <c r="AD161" s="114"/>
      <c r="AE161" s="114"/>
      <c r="AF161" s="114"/>
      <c r="AM161" s="114"/>
      <c r="AN161" s="236"/>
      <c r="AO161" s="114"/>
    </row>
    <row r="162" ht="15.75" customHeight="1">
      <c r="C162" s="114"/>
      <c r="D162" s="114"/>
      <c r="E162" s="114"/>
      <c r="F162" s="114"/>
      <c r="G162" s="114"/>
      <c r="H162" s="114"/>
      <c r="I162" s="114"/>
      <c r="J162" s="114"/>
      <c r="K162" s="114"/>
      <c r="L162" s="114"/>
      <c r="M162" s="114"/>
      <c r="N162" s="114"/>
      <c r="O162" s="242"/>
      <c r="P162" s="243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  <c r="AB162" s="114"/>
      <c r="AC162" s="114"/>
      <c r="AD162" s="114"/>
      <c r="AE162" s="114"/>
      <c r="AF162" s="114"/>
      <c r="AM162" s="114"/>
      <c r="AN162" s="236"/>
      <c r="AO162" s="114"/>
    </row>
    <row r="163" ht="15.75" customHeight="1">
      <c r="C163" s="114"/>
      <c r="D163" s="114"/>
      <c r="E163" s="114"/>
      <c r="F163" s="114"/>
      <c r="G163" s="114"/>
      <c r="H163" s="114"/>
      <c r="I163" s="114"/>
      <c r="J163" s="114"/>
      <c r="K163" s="114"/>
      <c r="L163" s="114"/>
      <c r="M163" s="114"/>
      <c r="N163" s="114"/>
      <c r="O163" s="242"/>
      <c r="P163" s="243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  <c r="AD163" s="114"/>
      <c r="AE163" s="114"/>
      <c r="AF163" s="114"/>
      <c r="AM163" s="114"/>
      <c r="AN163" s="236"/>
      <c r="AO163" s="114"/>
    </row>
    <row r="164" ht="15.75" customHeight="1">
      <c r="C164" s="114"/>
      <c r="D164" s="114"/>
      <c r="E164" s="114"/>
      <c r="F164" s="114"/>
      <c r="G164" s="114"/>
      <c r="H164" s="114"/>
      <c r="I164" s="114"/>
      <c r="J164" s="114"/>
      <c r="K164" s="114"/>
      <c r="L164" s="114"/>
      <c r="M164" s="114"/>
      <c r="N164" s="114"/>
      <c r="O164" s="242"/>
      <c r="P164" s="243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  <c r="AD164" s="114"/>
      <c r="AE164" s="114"/>
      <c r="AF164" s="114"/>
      <c r="AM164" s="114"/>
      <c r="AN164" s="236"/>
      <c r="AO164" s="114"/>
    </row>
    <row r="165" ht="15.75" customHeight="1">
      <c r="C165" s="114"/>
      <c r="D165" s="114"/>
      <c r="E165" s="114"/>
      <c r="F165" s="114"/>
      <c r="G165" s="114"/>
      <c r="H165" s="114"/>
      <c r="I165" s="114"/>
      <c r="J165" s="114"/>
      <c r="K165" s="114"/>
      <c r="L165" s="114"/>
      <c r="M165" s="114"/>
      <c r="N165" s="114"/>
      <c r="O165" s="242"/>
      <c r="P165" s="243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  <c r="AD165" s="114"/>
      <c r="AE165" s="114"/>
      <c r="AF165" s="114"/>
      <c r="AM165" s="114"/>
      <c r="AN165" s="236"/>
      <c r="AO165" s="114"/>
    </row>
    <row r="166" ht="15.75" customHeight="1"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242"/>
      <c r="P166" s="243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14"/>
      <c r="AF166" s="114"/>
      <c r="AM166" s="114"/>
      <c r="AN166" s="236"/>
      <c r="AO166" s="114"/>
    </row>
    <row r="167" ht="15.75" customHeight="1">
      <c r="C167" s="114"/>
      <c r="D167" s="114"/>
      <c r="E167" s="114"/>
      <c r="F167" s="114"/>
      <c r="G167" s="114"/>
      <c r="H167" s="114"/>
      <c r="I167" s="114"/>
      <c r="J167" s="114"/>
      <c r="K167" s="114"/>
      <c r="L167" s="114"/>
      <c r="M167" s="114"/>
      <c r="N167" s="114"/>
      <c r="O167" s="242"/>
      <c r="P167" s="243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  <c r="AD167" s="114"/>
      <c r="AE167" s="114"/>
      <c r="AF167" s="114"/>
      <c r="AM167" s="114"/>
      <c r="AN167" s="236"/>
      <c r="AO167" s="114"/>
    </row>
    <row r="168" ht="15.75" customHeight="1">
      <c r="C168" s="114"/>
      <c r="D168" s="114"/>
      <c r="E168" s="114"/>
      <c r="F168" s="114"/>
      <c r="G168" s="114"/>
      <c r="H168" s="114"/>
      <c r="I168" s="114"/>
      <c r="J168" s="114"/>
      <c r="K168" s="114"/>
      <c r="L168" s="114"/>
      <c r="M168" s="114"/>
      <c r="N168" s="114"/>
      <c r="O168" s="242"/>
      <c r="P168" s="243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  <c r="AD168" s="114"/>
      <c r="AE168" s="114"/>
      <c r="AF168" s="114"/>
      <c r="AM168" s="114"/>
      <c r="AN168" s="236"/>
      <c r="AO168" s="114"/>
    </row>
    <row r="169" ht="15.75" customHeight="1">
      <c r="C169" s="114"/>
      <c r="D169" s="114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242"/>
      <c r="P169" s="243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  <c r="AD169" s="114"/>
      <c r="AE169" s="114"/>
      <c r="AF169" s="114"/>
      <c r="AM169" s="114"/>
      <c r="AN169" s="236"/>
      <c r="AO169" s="114"/>
    </row>
    <row r="170" ht="15.75" customHeight="1">
      <c r="C170" s="114"/>
      <c r="D170" s="114"/>
      <c r="E170" s="114"/>
      <c r="F170" s="114"/>
      <c r="G170" s="114"/>
      <c r="H170" s="114"/>
      <c r="I170" s="114"/>
      <c r="J170" s="114"/>
      <c r="K170" s="114"/>
      <c r="L170" s="114"/>
      <c r="M170" s="114"/>
      <c r="N170" s="114"/>
      <c r="O170" s="242"/>
      <c r="P170" s="243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  <c r="AD170" s="114"/>
      <c r="AE170" s="114"/>
      <c r="AF170" s="114"/>
      <c r="AM170" s="114"/>
      <c r="AN170" s="236"/>
      <c r="AO170" s="114"/>
    </row>
    <row r="171" ht="15.75" customHeight="1">
      <c r="C171" s="114"/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242"/>
      <c r="P171" s="243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M171" s="114"/>
      <c r="AN171" s="236"/>
      <c r="AO171" s="114"/>
    </row>
    <row r="172" ht="15.75" customHeight="1">
      <c r="C172" s="114"/>
      <c r="D172" s="114"/>
      <c r="E172" s="114"/>
      <c r="F172" s="114"/>
      <c r="G172" s="114"/>
      <c r="H172" s="114"/>
      <c r="I172" s="114"/>
      <c r="J172" s="114"/>
      <c r="K172" s="114"/>
      <c r="L172" s="114"/>
      <c r="M172" s="114"/>
      <c r="N172" s="114"/>
      <c r="O172" s="242"/>
      <c r="P172" s="243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  <c r="AD172" s="114"/>
      <c r="AE172" s="114"/>
      <c r="AF172" s="114"/>
      <c r="AM172" s="114"/>
      <c r="AN172" s="236"/>
      <c r="AO172" s="114"/>
    </row>
    <row r="173" ht="15.75" customHeight="1">
      <c r="C173" s="114"/>
      <c r="D173" s="114"/>
      <c r="E173" s="114"/>
      <c r="F173" s="114"/>
      <c r="G173" s="114"/>
      <c r="H173" s="114"/>
      <c r="I173" s="114"/>
      <c r="J173" s="114"/>
      <c r="K173" s="114"/>
      <c r="L173" s="114"/>
      <c r="M173" s="114"/>
      <c r="N173" s="114"/>
      <c r="O173" s="242"/>
      <c r="P173" s="243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  <c r="AB173" s="114"/>
      <c r="AC173" s="114"/>
      <c r="AD173" s="114"/>
      <c r="AE173" s="114"/>
      <c r="AF173" s="114"/>
      <c r="AM173" s="114"/>
      <c r="AN173" s="236"/>
      <c r="AO173" s="114"/>
    </row>
    <row r="174" ht="15.75" customHeight="1">
      <c r="C174" s="114"/>
      <c r="D174" s="114"/>
      <c r="E174" s="114"/>
      <c r="F174" s="114"/>
      <c r="G174" s="114"/>
      <c r="H174" s="114"/>
      <c r="I174" s="114"/>
      <c r="J174" s="114"/>
      <c r="K174" s="114"/>
      <c r="L174" s="114"/>
      <c r="M174" s="114"/>
      <c r="N174" s="114"/>
      <c r="O174" s="242"/>
      <c r="P174" s="243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  <c r="AD174" s="114"/>
      <c r="AE174" s="114"/>
      <c r="AF174" s="114"/>
      <c r="AM174" s="114"/>
      <c r="AN174" s="236"/>
      <c r="AO174" s="114"/>
    </row>
    <row r="175" ht="15.75" customHeight="1">
      <c r="C175" s="114"/>
      <c r="D175" s="114"/>
      <c r="E175" s="114"/>
      <c r="F175" s="114"/>
      <c r="G175" s="114"/>
      <c r="H175" s="114"/>
      <c r="I175" s="114"/>
      <c r="J175" s="114"/>
      <c r="K175" s="114"/>
      <c r="L175" s="114"/>
      <c r="M175" s="114"/>
      <c r="N175" s="114"/>
      <c r="O175" s="242"/>
      <c r="P175" s="243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  <c r="AD175" s="114"/>
      <c r="AE175" s="114"/>
      <c r="AF175" s="114"/>
      <c r="AM175" s="114"/>
      <c r="AN175" s="236"/>
      <c r="AO175" s="114"/>
    </row>
    <row r="176" ht="15.75" customHeight="1">
      <c r="C176" s="114"/>
      <c r="D176" s="114"/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  <c r="O176" s="242"/>
      <c r="P176" s="243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  <c r="AB176" s="114"/>
      <c r="AC176" s="114"/>
      <c r="AD176" s="114"/>
      <c r="AE176" s="114"/>
      <c r="AF176" s="114"/>
      <c r="AM176" s="114"/>
      <c r="AN176" s="236"/>
      <c r="AO176" s="114"/>
    </row>
    <row r="177" ht="15.75" customHeight="1">
      <c r="C177" s="114"/>
      <c r="D177" s="114"/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  <c r="O177" s="242"/>
      <c r="P177" s="243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  <c r="AD177" s="114"/>
      <c r="AE177" s="114"/>
      <c r="AF177" s="114"/>
      <c r="AM177" s="114"/>
      <c r="AN177" s="236"/>
      <c r="AO177" s="114"/>
    </row>
    <row r="178" ht="15.75" customHeight="1">
      <c r="C178" s="114"/>
      <c r="D178" s="114"/>
      <c r="E178" s="114"/>
      <c r="F178" s="114"/>
      <c r="G178" s="114"/>
      <c r="H178" s="114"/>
      <c r="I178" s="114"/>
      <c r="J178" s="114"/>
      <c r="K178" s="114"/>
      <c r="L178" s="114"/>
      <c r="M178" s="114"/>
      <c r="N178" s="114"/>
      <c r="O178" s="242"/>
      <c r="P178" s="243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  <c r="AD178" s="114"/>
      <c r="AE178" s="114"/>
      <c r="AF178" s="114"/>
      <c r="AM178" s="114"/>
      <c r="AN178" s="236"/>
      <c r="AO178" s="114"/>
    </row>
    <row r="179" ht="15.75" customHeight="1">
      <c r="C179" s="114"/>
      <c r="D179" s="114"/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  <c r="O179" s="242"/>
      <c r="P179" s="243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  <c r="AD179" s="114"/>
      <c r="AE179" s="114"/>
      <c r="AF179" s="114"/>
      <c r="AM179" s="114"/>
      <c r="AN179" s="236"/>
      <c r="AO179" s="114"/>
    </row>
    <row r="180" ht="15.75" customHeight="1">
      <c r="C180" s="114"/>
      <c r="D180" s="114"/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  <c r="O180" s="242"/>
      <c r="P180" s="243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  <c r="AD180" s="114"/>
      <c r="AE180" s="114"/>
      <c r="AF180" s="114"/>
      <c r="AM180" s="114"/>
      <c r="AN180" s="236"/>
      <c r="AO180" s="114"/>
    </row>
    <row r="181" ht="15.75" customHeight="1">
      <c r="C181" s="114"/>
      <c r="D181" s="114"/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  <c r="O181" s="242"/>
      <c r="P181" s="243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  <c r="AD181" s="114"/>
      <c r="AE181" s="114"/>
      <c r="AF181" s="114"/>
      <c r="AM181" s="114"/>
      <c r="AN181" s="236"/>
      <c r="AO181" s="114"/>
    </row>
    <row r="182" ht="15.75" customHeight="1"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  <c r="O182" s="242"/>
      <c r="P182" s="243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  <c r="AD182" s="114"/>
      <c r="AE182" s="114"/>
      <c r="AF182" s="114"/>
      <c r="AM182" s="114"/>
      <c r="AN182" s="236"/>
      <c r="AO182" s="114"/>
    </row>
    <row r="183" ht="15.75" customHeight="1">
      <c r="C183" s="114"/>
      <c r="D183" s="114"/>
      <c r="E183" s="114"/>
      <c r="F183" s="114"/>
      <c r="G183" s="114"/>
      <c r="H183" s="114"/>
      <c r="I183" s="114"/>
      <c r="J183" s="114"/>
      <c r="K183" s="114"/>
      <c r="L183" s="114"/>
      <c r="M183" s="114"/>
      <c r="N183" s="114"/>
      <c r="O183" s="242"/>
      <c r="P183" s="243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  <c r="AD183" s="114"/>
      <c r="AE183" s="114"/>
      <c r="AF183" s="114"/>
      <c r="AM183" s="114"/>
      <c r="AN183" s="236"/>
      <c r="AO183" s="114"/>
    </row>
    <row r="184" ht="15.75" customHeight="1">
      <c r="C184" s="114"/>
      <c r="D184" s="114"/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242"/>
      <c r="P184" s="243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  <c r="AD184" s="114"/>
      <c r="AE184" s="114"/>
      <c r="AF184" s="114"/>
      <c r="AM184" s="114"/>
      <c r="AN184" s="236"/>
      <c r="AO184" s="114"/>
    </row>
    <row r="185" ht="15.75" customHeight="1"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4"/>
      <c r="N185" s="114"/>
      <c r="O185" s="242"/>
      <c r="P185" s="243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  <c r="AD185" s="114"/>
      <c r="AE185" s="114"/>
      <c r="AF185" s="114"/>
      <c r="AM185" s="114"/>
      <c r="AN185" s="236"/>
      <c r="AO185" s="114"/>
    </row>
    <row r="186" ht="15.75" customHeight="1">
      <c r="C186" s="114"/>
      <c r="D186" s="114"/>
      <c r="E186" s="114"/>
      <c r="F186" s="114"/>
      <c r="G186" s="114"/>
      <c r="H186" s="114"/>
      <c r="I186" s="114"/>
      <c r="J186" s="114"/>
      <c r="K186" s="114"/>
      <c r="L186" s="114"/>
      <c r="M186" s="114"/>
      <c r="N186" s="114"/>
      <c r="O186" s="242"/>
      <c r="P186" s="243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  <c r="AD186" s="114"/>
      <c r="AE186" s="114"/>
      <c r="AF186" s="114"/>
      <c r="AM186" s="114"/>
      <c r="AN186" s="236"/>
      <c r="AO186" s="114"/>
    </row>
    <row r="187" ht="15.75" customHeight="1">
      <c r="C187" s="114"/>
      <c r="D187" s="114"/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  <c r="O187" s="242"/>
      <c r="P187" s="243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  <c r="AD187" s="114"/>
      <c r="AE187" s="114"/>
      <c r="AF187" s="114"/>
      <c r="AM187" s="114"/>
      <c r="AN187" s="236"/>
      <c r="AO187" s="114"/>
    </row>
    <row r="188" ht="15.75" customHeight="1">
      <c r="C188" s="114"/>
      <c r="D188" s="114"/>
      <c r="E188" s="114"/>
      <c r="F188" s="114"/>
      <c r="G188" s="114"/>
      <c r="H188" s="114"/>
      <c r="I188" s="114"/>
      <c r="J188" s="114"/>
      <c r="K188" s="114"/>
      <c r="L188" s="114"/>
      <c r="M188" s="114"/>
      <c r="N188" s="114"/>
      <c r="O188" s="242"/>
      <c r="P188" s="243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  <c r="AD188" s="114"/>
      <c r="AE188" s="114"/>
      <c r="AF188" s="114"/>
      <c r="AM188" s="114"/>
      <c r="AN188" s="236"/>
      <c r="AO188" s="114"/>
    </row>
    <row r="189" ht="15.75" customHeight="1">
      <c r="C189" s="114"/>
      <c r="D189" s="114"/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242"/>
      <c r="P189" s="243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  <c r="AD189" s="114"/>
      <c r="AE189" s="114"/>
      <c r="AF189" s="114"/>
      <c r="AM189" s="114"/>
      <c r="AN189" s="236"/>
      <c r="AO189" s="114"/>
    </row>
    <row r="190" ht="15.75" customHeight="1"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242"/>
      <c r="P190" s="243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F190" s="114"/>
      <c r="AM190" s="114"/>
      <c r="AN190" s="236"/>
      <c r="AO190" s="114"/>
    </row>
    <row r="191" ht="15.75" customHeight="1">
      <c r="C191" s="114"/>
      <c r="D191" s="114"/>
      <c r="E191" s="114"/>
      <c r="F191" s="114"/>
      <c r="G191" s="114"/>
      <c r="H191" s="114"/>
      <c r="I191" s="114"/>
      <c r="J191" s="114"/>
      <c r="K191" s="114"/>
      <c r="L191" s="114"/>
      <c r="M191" s="114"/>
      <c r="N191" s="114"/>
      <c r="O191" s="242"/>
      <c r="P191" s="243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  <c r="AD191" s="114"/>
      <c r="AE191" s="114"/>
      <c r="AF191" s="114"/>
      <c r="AM191" s="114"/>
      <c r="AN191" s="236"/>
      <c r="AO191" s="114"/>
    </row>
    <row r="192" ht="15.75" customHeight="1"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  <c r="O192" s="242"/>
      <c r="P192" s="243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  <c r="AD192" s="114"/>
      <c r="AE192" s="114"/>
      <c r="AF192" s="114"/>
      <c r="AM192" s="114"/>
      <c r="AN192" s="236"/>
      <c r="AO192" s="114"/>
    </row>
    <row r="193" ht="15.75" customHeight="1"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  <c r="O193" s="242"/>
      <c r="P193" s="243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  <c r="AD193" s="114"/>
      <c r="AE193" s="114"/>
      <c r="AF193" s="114"/>
      <c r="AM193" s="114"/>
      <c r="AN193" s="236"/>
      <c r="AO193" s="114"/>
    </row>
    <row r="194" ht="15.75" customHeight="1"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242"/>
      <c r="P194" s="243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  <c r="AD194" s="114"/>
      <c r="AE194" s="114"/>
      <c r="AF194" s="114"/>
      <c r="AM194" s="114"/>
      <c r="AN194" s="236"/>
      <c r="AO194" s="114"/>
    </row>
    <row r="195" ht="15.75" customHeight="1"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242"/>
      <c r="P195" s="243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  <c r="AD195" s="114"/>
      <c r="AE195" s="114"/>
      <c r="AF195" s="114"/>
      <c r="AM195" s="114"/>
      <c r="AN195" s="236"/>
      <c r="AO195" s="114"/>
    </row>
    <row r="196" ht="15.75" customHeight="1">
      <c r="C196" s="114"/>
      <c r="D196" s="114"/>
      <c r="E196" s="114"/>
      <c r="F196" s="114"/>
      <c r="G196" s="114"/>
      <c r="H196" s="114"/>
      <c r="I196" s="114"/>
      <c r="J196" s="114"/>
      <c r="K196" s="114"/>
      <c r="L196" s="114"/>
      <c r="M196" s="114"/>
      <c r="N196" s="114"/>
      <c r="O196" s="242"/>
      <c r="P196" s="243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  <c r="AD196" s="114"/>
      <c r="AE196" s="114"/>
      <c r="AF196" s="114"/>
      <c r="AM196" s="114"/>
      <c r="AN196" s="236"/>
      <c r="AO196" s="114"/>
    </row>
    <row r="197" ht="15.75" customHeight="1">
      <c r="C197" s="114"/>
      <c r="D197" s="114"/>
      <c r="E197" s="114"/>
      <c r="F197" s="114"/>
      <c r="G197" s="114"/>
      <c r="H197" s="114"/>
      <c r="I197" s="114"/>
      <c r="J197" s="114"/>
      <c r="K197" s="114"/>
      <c r="L197" s="114"/>
      <c r="M197" s="114"/>
      <c r="N197" s="114"/>
      <c r="O197" s="242"/>
      <c r="P197" s="243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  <c r="AD197" s="114"/>
      <c r="AE197" s="114"/>
      <c r="AF197" s="114"/>
      <c r="AM197" s="114"/>
      <c r="AN197" s="236"/>
      <c r="AO197" s="114"/>
    </row>
    <row r="198" ht="15.75" customHeight="1">
      <c r="C198" s="114"/>
      <c r="D198" s="114"/>
      <c r="E198" s="114"/>
      <c r="F198" s="114"/>
      <c r="G198" s="114"/>
      <c r="H198" s="114"/>
      <c r="I198" s="114"/>
      <c r="J198" s="114"/>
      <c r="K198" s="114"/>
      <c r="L198" s="114"/>
      <c r="M198" s="114"/>
      <c r="N198" s="114"/>
      <c r="O198" s="242"/>
      <c r="P198" s="243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  <c r="AD198" s="114"/>
      <c r="AE198" s="114"/>
      <c r="AF198" s="114"/>
      <c r="AM198" s="114"/>
      <c r="AN198" s="236"/>
      <c r="AO198" s="114"/>
    </row>
    <row r="199" ht="15.75" customHeight="1">
      <c r="C199" s="114"/>
      <c r="D199" s="114"/>
      <c r="E199" s="114"/>
      <c r="F199" s="114"/>
      <c r="G199" s="114"/>
      <c r="H199" s="114"/>
      <c r="I199" s="114"/>
      <c r="J199" s="114"/>
      <c r="K199" s="114"/>
      <c r="L199" s="114"/>
      <c r="M199" s="114"/>
      <c r="N199" s="114"/>
      <c r="O199" s="242"/>
      <c r="P199" s="243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  <c r="AD199" s="114"/>
      <c r="AE199" s="114"/>
      <c r="AF199" s="114"/>
      <c r="AM199" s="114"/>
      <c r="AN199" s="236"/>
      <c r="AO199" s="114"/>
    </row>
    <row r="200" ht="15.75" customHeight="1">
      <c r="C200" s="114"/>
      <c r="D200" s="114"/>
      <c r="E200" s="114"/>
      <c r="F200" s="114"/>
      <c r="G200" s="114"/>
      <c r="H200" s="114"/>
      <c r="I200" s="114"/>
      <c r="J200" s="114"/>
      <c r="K200" s="114"/>
      <c r="L200" s="114"/>
      <c r="M200" s="114"/>
      <c r="N200" s="114"/>
      <c r="O200" s="242"/>
      <c r="P200" s="243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  <c r="AD200" s="114"/>
      <c r="AE200" s="114"/>
      <c r="AF200" s="114"/>
      <c r="AM200" s="114"/>
      <c r="AN200" s="236"/>
      <c r="AO200" s="114"/>
    </row>
    <row r="201" ht="15.75" customHeight="1">
      <c r="C201" s="114"/>
      <c r="D201" s="114"/>
      <c r="E201" s="114"/>
      <c r="F201" s="114"/>
      <c r="G201" s="114"/>
      <c r="H201" s="114"/>
      <c r="I201" s="114"/>
      <c r="J201" s="114"/>
      <c r="K201" s="114"/>
      <c r="L201" s="114"/>
      <c r="M201" s="114"/>
      <c r="N201" s="114"/>
      <c r="O201" s="242"/>
      <c r="P201" s="243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  <c r="AD201" s="114"/>
      <c r="AE201" s="114"/>
      <c r="AF201" s="114"/>
      <c r="AM201" s="114"/>
      <c r="AN201" s="236"/>
      <c r="AO201" s="114"/>
    </row>
    <row r="202" ht="15.75" customHeight="1">
      <c r="C202" s="114"/>
      <c r="D202" s="114"/>
      <c r="E202" s="114"/>
      <c r="F202" s="114"/>
      <c r="G202" s="114"/>
      <c r="H202" s="114"/>
      <c r="I202" s="114"/>
      <c r="J202" s="114"/>
      <c r="K202" s="114"/>
      <c r="L202" s="114"/>
      <c r="M202" s="114"/>
      <c r="N202" s="114"/>
      <c r="O202" s="242"/>
      <c r="P202" s="243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  <c r="AD202" s="114"/>
      <c r="AE202" s="114"/>
      <c r="AF202" s="114"/>
      <c r="AM202" s="114"/>
      <c r="AN202" s="236"/>
      <c r="AO202" s="114"/>
    </row>
    <row r="203" ht="15.75" customHeight="1">
      <c r="C203" s="114"/>
      <c r="D203" s="114"/>
      <c r="E203" s="114"/>
      <c r="F203" s="114"/>
      <c r="G203" s="114"/>
      <c r="H203" s="114"/>
      <c r="I203" s="114"/>
      <c r="J203" s="114"/>
      <c r="K203" s="114"/>
      <c r="L203" s="114"/>
      <c r="M203" s="114"/>
      <c r="N203" s="114"/>
      <c r="O203" s="242"/>
      <c r="P203" s="243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  <c r="AD203" s="114"/>
      <c r="AE203" s="114"/>
      <c r="AF203" s="114"/>
      <c r="AM203" s="114"/>
      <c r="AN203" s="236"/>
      <c r="AO203" s="114"/>
    </row>
    <row r="204" ht="15.75" customHeight="1">
      <c r="C204" s="114"/>
      <c r="D204" s="114"/>
      <c r="E204" s="114"/>
      <c r="F204" s="114"/>
      <c r="G204" s="114"/>
      <c r="H204" s="114"/>
      <c r="I204" s="114"/>
      <c r="J204" s="114"/>
      <c r="K204" s="114"/>
      <c r="L204" s="114"/>
      <c r="M204" s="114"/>
      <c r="N204" s="114"/>
      <c r="O204" s="242"/>
      <c r="P204" s="243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  <c r="AD204" s="114"/>
      <c r="AE204" s="114"/>
      <c r="AF204" s="114"/>
      <c r="AM204" s="114"/>
      <c r="AN204" s="236"/>
      <c r="AO204" s="114"/>
    </row>
    <row r="205" ht="15.75" customHeight="1">
      <c r="C205" s="114"/>
      <c r="D205" s="114"/>
      <c r="E205" s="114"/>
      <c r="F205" s="114"/>
      <c r="G205" s="114"/>
      <c r="H205" s="114"/>
      <c r="I205" s="114"/>
      <c r="J205" s="114"/>
      <c r="K205" s="114"/>
      <c r="L205" s="114"/>
      <c r="M205" s="114"/>
      <c r="N205" s="114"/>
      <c r="O205" s="242"/>
      <c r="P205" s="243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  <c r="AD205" s="114"/>
      <c r="AE205" s="114"/>
      <c r="AF205" s="114"/>
      <c r="AM205" s="114"/>
      <c r="AN205" s="236"/>
      <c r="AO205" s="114"/>
    </row>
    <row r="206" ht="15.75" customHeight="1">
      <c r="C206" s="114"/>
      <c r="D206" s="114"/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242"/>
      <c r="P206" s="243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  <c r="AD206" s="114"/>
      <c r="AE206" s="114"/>
      <c r="AF206" s="114"/>
      <c r="AM206" s="114"/>
      <c r="AN206" s="236"/>
      <c r="AO206" s="114"/>
    </row>
    <row r="207" ht="15.75" customHeight="1">
      <c r="C207" s="114"/>
      <c r="D207" s="114"/>
      <c r="E207" s="114"/>
      <c r="F207" s="114"/>
      <c r="G207" s="114"/>
      <c r="H207" s="114"/>
      <c r="I207" s="114"/>
      <c r="J207" s="114"/>
      <c r="K207" s="114"/>
      <c r="L207" s="114"/>
      <c r="M207" s="114"/>
      <c r="N207" s="114"/>
      <c r="O207" s="242"/>
      <c r="P207" s="243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  <c r="AB207" s="114"/>
      <c r="AC207" s="114"/>
      <c r="AD207" s="114"/>
      <c r="AE207" s="114"/>
      <c r="AF207" s="114"/>
      <c r="AM207" s="114"/>
      <c r="AN207" s="236"/>
      <c r="AO207" s="114"/>
    </row>
    <row r="208" ht="15.75" customHeight="1">
      <c r="C208" s="114"/>
      <c r="D208" s="114"/>
      <c r="E208" s="114"/>
      <c r="F208" s="114"/>
      <c r="G208" s="114"/>
      <c r="H208" s="114"/>
      <c r="I208" s="114"/>
      <c r="J208" s="114"/>
      <c r="K208" s="114"/>
      <c r="L208" s="114"/>
      <c r="M208" s="114"/>
      <c r="N208" s="114"/>
      <c r="O208" s="242"/>
      <c r="P208" s="243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  <c r="AD208" s="114"/>
      <c r="AE208" s="114"/>
      <c r="AF208" s="114"/>
      <c r="AM208" s="114"/>
      <c r="AN208" s="236"/>
      <c r="AO208" s="114"/>
    </row>
    <row r="209" ht="15.75" customHeight="1">
      <c r="C209" s="114"/>
      <c r="D209" s="114"/>
      <c r="E209" s="114"/>
      <c r="F209" s="114"/>
      <c r="G209" s="114"/>
      <c r="H209" s="114"/>
      <c r="I209" s="114"/>
      <c r="J209" s="114"/>
      <c r="K209" s="114"/>
      <c r="L209" s="114"/>
      <c r="M209" s="114"/>
      <c r="N209" s="114"/>
      <c r="O209" s="242"/>
      <c r="P209" s="243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  <c r="AD209" s="114"/>
      <c r="AE209" s="114"/>
      <c r="AF209" s="114"/>
      <c r="AM209" s="114"/>
      <c r="AN209" s="236"/>
      <c r="AO209" s="114"/>
    </row>
    <row r="210" ht="15.75" customHeight="1">
      <c r="C210" s="114"/>
      <c r="D210" s="114"/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242"/>
      <c r="P210" s="243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  <c r="AB210" s="114"/>
      <c r="AC210" s="114"/>
      <c r="AD210" s="114"/>
      <c r="AE210" s="114"/>
      <c r="AF210" s="114"/>
      <c r="AM210" s="114"/>
      <c r="AN210" s="236"/>
      <c r="AO210" s="114"/>
    </row>
    <row r="211" ht="15.75" customHeight="1">
      <c r="C211" s="114"/>
      <c r="D211" s="114"/>
      <c r="E211" s="114"/>
      <c r="F211" s="114"/>
      <c r="G211" s="114"/>
      <c r="H211" s="114"/>
      <c r="I211" s="114"/>
      <c r="J211" s="114"/>
      <c r="K211" s="114"/>
      <c r="L211" s="114"/>
      <c r="M211" s="114"/>
      <c r="N211" s="114"/>
      <c r="O211" s="242"/>
      <c r="P211" s="243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  <c r="AD211" s="114"/>
      <c r="AE211" s="114"/>
      <c r="AF211" s="114"/>
      <c r="AM211" s="114"/>
      <c r="AN211" s="236"/>
      <c r="AO211" s="114"/>
    </row>
    <row r="212" ht="15.75" customHeight="1">
      <c r="C212" s="114"/>
      <c r="D212" s="114"/>
      <c r="E212" s="114"/>
      <c r="F212" s="114"/>
      <c r="G212" s="114"/>
      <c r="H212" s="114"/>
      <c r="I212" s="114"/>
      <c r="J212" s="114"/>
      <c r="K212" s="114"/>
      <c r="L212" s="114"/>
      <c r="M212" s="114"/>
      <c r="N212" s="114"/>
      <c r="O212" s="242"/>
      <c r="P212" s="243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  <c r="AD212" s="114"/>
      <c r="AE212" s="114"/>
      <c r="AF212" s="114"/>
      <c r="AM212" s="114"/>
      <c r="AN212" s="236"/>
      <c r="AO212" s="114"/>
    </row>
    <row r="213" ht="15.75" customHeight="1">
      <c r="C213" s="114"/>
      <c r="D213" s="114"/>
      <c r="E213" s="114"/>
      <c r="F213" s="114"/>
      <c r="G213" s="114"/>
      <c r="H213" s="114"/>
      <c r="I213" s="114"/>
      <c r="J213" s="114"/>
      <c r="K213" s="114"/>
      <c r="L213" s="114"/>
      <c r="M213" s="114"/>
      <c r="N213" s="114"/>
      <c r="O213" s="242"/>
      <c r="P213" s="243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  <c r="AD213" s="114"/>
      <c r="AE213" s="114"/>
      <c r="AF213" s="114"/>
      <c r="AM213" s="114"/>
      <c r="AN213" s="236"/>
      <c r="AO213" s="114"/>
    </row>
    <row r="214" ht="15.75" customHeight="1">
      <c r="C214" s="114"/>
      <c r="D214" s="114"/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  <c r="O214" s="242"/>
      <c r="P214" s="243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  <c r="AD214" s="114"/>
      <c r="AE214" s="114"/>
      <c r="AF214" s="114"/>
      <c r="AM214" s="114"/>
      <c r="AN214" s="236"/>
      <c r="AO214" s="114"/>
    </row>
    <row r="215" ht="15.75" customHeight="1">
      <c r="C215" s="114"/>
      <c r="D215" s="114"/>
      <c r="E215" s="114"/>
      <c r="F215" s="114"/>
      <c r="G215" s="114"/>
      <c r="H215" s="114"/>
      <c r="I215" s="114"/>
      <c r="J215" s="114"/>
      <c r="K215" s="114"/>
      <c r="L215" s="114"/>
      <c r="M215" s="114"/>
      <c r="N215" s="114"/>
      <c r="O215" s="242"/>
      <c r="P215" s="243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  <c r="AD215" s="114"/>
      <c r="AE215" s="114"/>
      <c r="AF215" s="114"/>
      <c r="AM215" s="114"/>
      <c r="AN215" s="236"/>
      <c r="AO215" s="114"/>
    </row>
    <row r="216" ht="15.75" customHeight="1"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4"/>
      <c r="N216" s="114"/>
      <c r="O216" s="242"/>
      <c r="P216" s="243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  <c r="AD216" s="114"/>
      <c r="AE216" s="114"/>
      <c r="AF216" s="114"/>
      <c r="AM216" s="114"/>
      <c r="AN216" s="236"/>
      <c r="AO216" s="114"/>
    </row>
    <row r="217" ht="15.75" customHeight="1">
      <c r="C217" s="114"/>
      <c r="D217" s="114"/>
      <c r="E217" s="114"/>
      <c r="F217" s="114"/>
      <c r="G217" s="114"/>
      <c r="H217" s="114"/>
      <c r="I217" s="114"/>
      <c r="J217" s="114"/>
      <c r="K217" s="114"/>
      <c r="L217" s="114"/>
      <c r="M217" s="114"/>
      <c r="N217" s="114"/>
      <c r="O217" s="242"/>
      <c r="P217" s="243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  <c r="AD217" s="114"/>
      <c r="AE217" s="114"/>
      <c r="AF217" s="114"/>
      <c r="AM217" s="114"/>
      <c r="AN217" s="236"/>
      <c r="AO217" s="114"/>
    </row>
    <row r="218" ht="15.75" customHeight="1">
      <c r="C218" s="114"/>
      <c r="D218" s="114"/>
      <c r="E218" s="114"/>
      <c r="F218" s="114"/>
      <c r="G218" s="114"/>
      <c r="H218" s="114"/>
      <c r="I218" s="114"/>
      <c r="J218" s="114"/>
      <c r="K218" s="114"/>
      <c r="L218" s="114"/>
      <c r="M218" s="114"/>
      <c r="N218" s="114"/>
      <c r="O218" s="242"/>
      <c r="P218" s="243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  <c r="AF218" s="114"/>
      <c r="AM218" s="114"/>
      <c r="AN218" s="236"/>
      <c r="AO218" s="114"/>
    </row>
    <row r="219" ht="15.75" customHeight="1">
      <c r="C219" s="114"/>
      <c r="D219" s="114"/>
      <c r="E219" s="114"/>
      <c r="F219" s="114"/>
      <c r="G219" s="114"/>
      <c r="H219" s="114"/>
      <c r="I219" s="114"/>
      <c r="J219" s="114"/>
      <c r="K219" s="114"/>
      <c r="L219" s="114"/>
      <c r="M219" s="114"/>
      <c r="N219" s="114"/>
      <c r="O219" s="242"/>
      <c r="P219" s="243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  <c r="AD219" s="114"/>
      <c r="AE219" s="114"/>
      <c r="AF219" s="114"/>
      <c r="AM219" s="114"/>
      <c r="AN219" s="236"/>
      <c r="AO219" s="114"/>
    </row>
    <row r="220" ht="15.75" customHeight="1">
      <c r="C220" s="114"/>
      <c r="D220" s="114"/>
      <c r="E220" s="114"/>
      <c r="F220" s="114"/>
      <c r="G220" s="114"/>
      <c r="H220" s="114"/>
      <c r="I220" s="114"/>
      <c r="J220" s="114"/>
      <c r="K220" s="114"/>
      <c r="L220" s="114"/>
      <c r="M220" s="114"/>
      <c r="N220" s="114"/>
      <c r="O220" s="242"/>
      <c r="P220" s="243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  <c r="AD220" s="114"/>
      <c r="AE220" s="114"/>
      <c r="AF220" s="114"/>
      <c r="AM220" s="114"/>
      <c r="AN220" s="236"/>
      <c r="AO220" s="114"/>
    </row>
    <row r="221" ht="15.75" customHeight="1">
      <c r="C221" s="114"/>
      <c r="D221" s="114"/>
      <c r="E221" s="114"/>
      <c r="F221" s="114"/>
      <c r="G221" s="114"/>
      <c r="H221" s="114"/>
      <c r="I221" s="114"/>
      <c r="J221" s="114"/>
      <c r="K221" s="114"/>
      <c r="L221" s="114"/>
      <c r="M221" s="114"/>
      <c r="N221" s="114"/>
      <c r="O221" s="242"/>
      <c r="P221" s="243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  <c r="AD221" s="114"/>
      <c r="AE221" s="114"/>
      <c r="AF221" s="114"/>
      <c r="AM221" s="114"/>
      <c r="AN221" s="236"/>
      <c r="AO221" s="114"/>
    </row>
    <row r="222" ht="15.75" customHeight="1">
      <c r="C222" s="114"/>
      <c r="D222" s="114"/>
      <c r="E222" s="114"/>
      <c r="F222" s="114"/>
      <c r="G222" s="114"/>
      <c r="H222" s="114"/>
      <c r="I222" s="114"/>
      <c r="J222" s="114"/>
      <c r="K222" s="114"/>
      <c r="L222" s="114"/>
      <c r="M222" s="114"/>
      <c r="N222" s="114"/>
      <c r="O222" s="242"/>
      <c r="P222" s="243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  <c r="AD222" s="114"/>
      <c r="AE222" s="114"/>
      <c r="AF222" s="114"/>
      <c r="AM222" s="114"/>
      <c r="AN222" s="236"/>
      <c r="AO222" s="114"/>
    </row>
    <row r="223" ht="15.75" customHeight="1">
      <c r="C223" s="114"/>
      <c r="D223" s="114"/>
      <c r="E223" s="114"/>
      <c r="F223" s="114"/>
      <c r="G223" s="114"/>
      <c r="H223" s="114"/>
      <c r="I223" s="114"/>
      <c r="J223" s="114"/>
      <c r="K223" s="114"/>
      <c r="L223" s="114"/>
      <c r="M223" s="114"/>
      <c r="N223" s="114"/>
      <c r="O223" s="242"/>
      <c r="P223" s="243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  <c r="AD223" s="114"/>
      <c r="AE223" s="114"/>
      <c r="AF223" s="114"/>
      <c r="AM223" s="114"/>
      <c r="AN223" s="236"/>
      <c r="AO223" s="114"/>
    </row>
    <row r="224" ht="15.75" customHeight="1">
      <c r="C224" s="114"/>
      <c r="D224" s="114"/>
      <c r="E224" s="114"/>
      <c r="F224" s="114"/>
      <c r="G224" s="114"/>
      <c r="H224" s="114"/>
      <c r="I224" s="114"/>
      <c r="J224" s="114"/>
      <c r="K224" s="114"/>
      <c r="L224" s="114"/>
      <c r="M224" s="114"/>
      <c r="N224" s="114"/>
      <c r="O224" s="242"/>
      <c r="P224" s="243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  <c r="AD224" s="114"/>
      <c r="AE224" s="114"/>
      <c r="AF224" s="114"/>
      <c r="AM224" s="114"/>
      <c r="AN224" s="236"/>
      <c r="AO224" s="114"/>
    </row>
    <row r="225" ht="15.75" customHeight="1">
      <c r="C225" s="114"/>
      <c r="D225" s="114"/>
      <c r="E225" s="114"/>
      <c r="F225" s="114"/>
      <c r="G225" s="114"/>
      <c r="H225" s="114"/>
      <c r="I225" s="114"/>
      <c r="J225" s="114"/>
      <c r="K225" s="114"/>
      <c r="L225" s="114"/>
      <c r="M225" s="114"/>
      <c r="N225" s="114"/>
      <c r="O225" s="242"/>
      <c r="P225" s="243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  <c r="AD225" s="114"/>
      <c r="AE225" s="114"/>
      <c r="AF225" s="114"/>
      <c r="AM225" s="114"/>
      <c r="AN225" s="236"/>
      <c r="AO225" s="114"/>
    </row>
    <row r="226" ht="15.75" customHeight="1">
      <c r="C226" s="114"/>
      <c r="D226" s="114"/>
      <c r="E226" s="114"/>
      <c r="F226" s="114"/>
      <c r="G226" s="114"/>
      <c r="H226" s="114"/>
      <c r="I226" s="114"/>
      <c r="J226" s="114"/>
      <c r="K226" s="114"/>
      <c r="L226" s="114"/>
      <c r="M226" s="114"/>
      <c r="N226" s="114"/>
      <c r="O226" s="242"/>
      <c r="P226" s="243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  <c r="AB226" s="114"/>
      <c r="AC226" s="114"/>
      <c r="AD226" s="114"/>
      <c r="AE226" s="114"/>
      <c r="AF226" s="114"/>
      <c r="AM226" s="114"/>
      <c r="AN226" s="236"/>
      <c r="AO226" s="114"/>
    </row>
    <row r="227" ht="15.75" customHeight="1">
      <c r="C227" s="114"/>
      <c r="D227" s="114"/>
      <c r="E227" s="114"/>
      <c r="F227" s="114"/>
      <c r="G227" s="114"/>
      <c r="H227" s="114"/>
      <c r="I227" s="114"/>
      <c r="J227" s="114"/>
      <c r="K227" s="114"/>
      <c r="L227" s="114"/>
      <c r="M227" s="114"/>
      <c r="N227" s="114"/>
      <c r="O227" s="242"/>
      <c r="P227" s="243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  <c r="AB227" s="114"/>
      <c r="AC227" s="114"/>
      <c r="AD227" s="114"/>
      <c r="AE227" s="114"/>
      <c r="AF227" s="114"/>
      <c r="AM227" s="114"/>
      <c r="AN227" s="236"/>
      <c r="AO227" s="114"/>
    </row>
    <row r="228" ht="15.75" customHeight="1">
      <c r="C228" s="114"/>
      <c r="D228" s="114"/>
      <c r="E228" s="114"/>
      <c r="F228" s="114"/>
      <c r="G228" s="114"/>
      <c r="H228" s="114"/>
      <c r="I228" s="114"/>
      <c r="J228" s="114"/>
      <c r="K228" s="114"/>
      <c r="L228" s="114"/>
      <c r="M228" s="114"/>
      <c r="N228" s="114"/>
      <c r="O228" s="242"/>
      <c r="P228" s="243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  <c r="AB228" s="114"/>
      <c r="AC228" s="114"/>
      <c r="AD228" s="114"/>
      <c r="AE228" s="114"/>
      <c r="AF228" s="114"/>
      <c r="AM228" s="114"/>
      <c r="AN228" s="236"/>
      <c r="AO228" s="114"/>
    </row>
    <row r="229" ht="15.75" customHeight="1">
      <c r="C229" s="114"/>
      <c r="D229" s="114"/>
      <c r="E229" s="114"/>
      <c r="F229" s="114"/>
      <c r="G229" s="114"/>
      <c r="H229" s="114"/>
      <c r="I229" s="114"/>
      <c r="J229" s="114"/>
      <c r="K229" s="114"/>
      <c r="L229" s="114"/>
      <c r="M229" s="114"/>
      <c r="N229" s="114"/>
      <c r="O229" s="242"/>
      <c r="P229" s="243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  <c r="AB229" s="114"/>
      <c r="AC229" s="114"/>
      <c r="AD229" s="114"/>
      <c r="AE229" s="114"/>
      <c r="AF229" s="114"/>
      <c r="AM229" s="114"/>
      <c r="AN229" s="236"/>
      <c r="AO229" s="114"/>
    </row>
    <row r="230" ht="15.75" customHeight="1">
      <c r="C230" s="114"/>
      <c r="D230" s="114"/>
      <c r="E230" s="114"/>
      <c r="F230" s="114"/>
      <c r="G230" s="114"/>
      <c r="H230" s="114"/>
      <c r="I230" s="114"/>
      <c r="J230" s="114"/>
      <c r="K230" s="114"/>
      <c r="L230" s="114"/>
      <c r="M230" s="114"/>
      <c r="N230" s="114"/>
      <c r="O230" s="242"/>
      <c r="P230" s="243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  <c r="AB230" s="114"/>
      <c r="AC230" s="114"/>
      <c r="AD230" s="114"/>
      <c r="AE230" s="114"/>
      <c r="AF230" s="114"/>
      <c r="AM230" s="114"/>
      <c r="AN230" s="236"/>
      <c r="AO230" s="114"/>
    </row>
    <row r="231" ht="15.75" customHeight="1">
      <c r="C231" s="114"/>
      <c r="D231" s="114"/>
      <c r="E231" s="114"/>
      <c r="F231" s="114"/>
      <c r="G231" s="114"/>
      <c r="H231" s="114"/>
      <c r="I231" s="114"/>
      <c r="J231" s="114"/>
      <c r="K231" s="114"/>
      <c r="L231" s="114"/>
      <c r="M231" s="114"/>
      <c r="N231" s="114"/>
      <c r="O231" s="242"/>
      <c r="P231" s="243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  <c r="AB231" s="114"/>
      <c r="AC231" s="114"/>
      <c r="AD231" s="114"/>
      <c r="AE231" s="114"/>
      <c r="AF231" s="114"/>
      <c r="AM231" s="114"/>
      <c r="AN231" s="236"/>
      <c r="AO231" s="114"/>
    </row>
    <row r="232" ht="15.75" customHeight="1">
      <c r="C232" s="114"/>
      <c r="D232" s="114"/>
      <c r="E232" s="114"/>
      <c r="F232" s="114"/>
      <c r="G232" s="114"/>
      <c r="H232" s="114"/>
      <c r="I232" s="114"/>
      <c r="J232" s="114"/>
      <c r="K232" s="114"/>
      <c r="L232" s="114"/>
      <c r="M232" s="114"/>
      <c r="N232" s="114"/>
      <c r="O232" s="242"/>
      <c r="P232" s="243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  <c r="AB232" s="114"/>
      <c r="AC232" s="114"/>
      <c r="AD232" s="114"/>
      <c r="AE232" s="114"/>
      <c r="AF232" s="114"/>
      <c r="AM232" s="114"/>
      <c r="AN232" s="236"/>
      <c r="AO232" s="114"/>
    </row>
    <row r="233" ht="15.75" customHeight="1">
      <c r="C233" s="114"/>
      <c r="D233" s="114"/>
      <c r="E233" s="114"/>
      <c r="F233" s="114"/>
      <c r="G233" s="114"/>
      <c r="H233" s="114"/>
      <c r="I233" s="114"/>
      <c r="J233" s="114"/>
      <c r="K233" s="114"/>
      <c r="L233" s="114"/>
      <c r="M233" s="114"/>
      <c r="N233" s="114"/>
      <c r="O233" s="242"/>
      <c r="P233" s="243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  <c r="AB233" s="114"/>
      <c r="AC233" s="114"/>
      <c r="AD233" s="114"/>
      <c r="AE233" s="114"/>
      <c r="AF233" s="114"/>
      <c r="AM233" s="114"/>
      <c r="AN233" s="236"/>
      <c r="AO233" s="114"/>
    </row>
    <row r="234" ht="15.75" customHeight="1">
      <c r="C234" s="114"/>
      <c r="D234" s="114"/>
      <c r="E234" s="114"/>
      <c r="F234" s="114"/>
      <c r="G234" s="114"/>
      <c r="H234" s="114"/>
      <c r="I234" s="114"/>
      <c r="J234" s="114"/>
      <c r="K234" s="114"/>
      <c r="L234" s="114"/>
      <c r="M234" s="114"/>
      <c r="N234" s="114"/>
      <c r="O234" s="242"/>
      <c r="P234" s="243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  <c r="AB234" s="114"/>
      <c r="AC234" s="114"/>
      <c r="AD234" s="114"/>
      <c r="AE234" s="114"/>
      <c r="AF234" s="114"/>
      <c r="AM234" s="114"/>
      <c r="AN234" s="236"/>
      <c r="AO234" s="114"/>
    </row>
    <row r="235" ht="15.75" customHeight="1">
      <c r="C235" s="114"/>
      <c r="D235" s="114"/>
      <c r="E235" s="114"/>
      <c r="F235" s="114"/>
      <c r="G235" s="114"/>
      <c r="H235" s="114"/>
      <c r="I235" s="114"/>
      <c r="J235" s="114"/>
      <c r="K235" s="114"/>
      <c r="L235" s="114"/>
      <c r="M235" s="114"/>
      <c r="N235" s="114"/>
      <c r="O235" s="242"/>
      <c r="P235" s="243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  <c r="AB235" s="114"/>
      <c r="AC235" s="114"/>
      <c r="AD235" s="114"/>
      <c r="AE235" s="114"/>
      <c r="AF235" s="114"/>
      <c r="AM235" s="114"/>
      <c r="AN235" s="236"/>
      <c r="AO235" s="114"/>
    </row>
    <row r="236" ht="15.75" customHeight="1">
      <c r="C236" s="114"/>
      <c r="D236" s="114"/>
      <c r="E236" s="114"/>
      <c r="F236" s="114"/>
      <c r="G236" s="114"/>
      <c r="H236" s="114"/>
      <c r="I236" s="114"/>
      <c r="J236" s="114"/>
      <c r="K236" s="114"/>
      <c r="L236" s="114"/>
      <c r="M236" s="114"/>
      <c r="N236" s="114"/>
      <c r="O236" s="242"/>
      <c r="P236" s="243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  <c r="AB236" s="114"/>
      <c r="AC236" s="114"/>
      <c r="AD236" s="114"/>
      <c r="AE236" s="114"/>
      <c r="AF236" s="114"/>
      <c r="AM236" s="114"/>
      <c r="AN236" s="236"/>
      <c r="AO236" s="114"/>
    </row>
    <row r="237" ht="15.75" customHeight="1">
      <c r="C237" s="114"/>
      <c r="D237" s="114"/>
      <c r="E237" s="114"/>
      <c r="F237" s="114"/>
      <c r="G237" s="114"/>
      <c r="H237" s="114"/>
      <c r="I237" s="114"/>
      <c r="J237" s="114"/>
      <c r="K237" s="114"/>
      <c r="L237" s="114"/>
      <c r="M237" s="114"/>
      <c r="N237" s="114"/>
      <c r="O237" s="242"/>
      <c r="P237" s="243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  <c r="AB237" s="114"/>
      <c r="AC237" s="114"/>
      <c r="AD237" s="114"/>
      <c r="AE237" s="114"/>
      <c r="AF237" s="114"/>
      <c r="AM237" s="114"/>
      <c r="AN237" s="236"/>
      <c r="AO237" s="114"/>
    </row>
    <row r="238" ht="15.75" customHeight="1">
      <c r="C238" s="114"/>
      <c r="D238" s="114"/>
      <c r="E238" s="114"/>
      <c r="F238" s="114"/>
      <c r="G238" s="114"/>
      <c r="H238" s="114"/>
      <c r="I238" s="114"/>
      <c r="J238" s="114"/>
      <c r="K238" s="114"/>
      <c r="L238" s="114"/>
      <c r="M238" s="114"/>
      <c r="N238" s="114"/>
      <c r="O238" s="242"/>
      <c r="P238" s="243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  <c r="AB238" s="114"/>
      <c r="AC238" s="114"/>
      <c r="AD238" s="114"/>
      <c r="AE238" s="114"/>
      <c r="AF238" s="114"/>
      <c r="AM238" s="114"/>
      <c r="AN238" s="236"/>
      <c r="AO238" s="114"/>
    </row>
    <row r="239" ht="15.75" customHeight="1">
      <c r="C239" s="114"/>
      <c r="D239" s="114"/>
      <c r="E239" s="114"/>
      <c r="F239" s="114"/>
      <c r="G239" s="114"/>
      <c r="H239" s="114"/>
      <c r="I239" s="114"/>
      <c r="J239" s="114"/>
      <c r="K239" s="114"/>
      <c r="L239" s="114"/>
      <c r="M239" s="114"/>
      <c r="N239" s="114"/>
      <c r="O239" s="242"/>
      <c r="P239" s="243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  <c r="AB239" s="114"/>
      <c r="AC239" s="114"/>
      <c r="AD239" s="114"/>
      <c r="AE239" s="114"/>
      <c r="AF239" s="114"/>
      <c r="AM239" s="114"/>
      <c r="AN239" s="236"/>
      <c r="AO239" s="114"/>
    </row>
    <row r="240" ht="15.75" customHeight="1">
      <c r="C240" s="114"/>
      <c r="D240" s="114"/>
      <c r="E240" s="114"/>
      <c r="F240" s="114"/>
      <c r="G240" s="114"/>
      <c r="H240" s="114"/>
      <c r="I240" s="114"/>
      <c r="J240" s="114"/>
      <c r="K240" s="114"/>
      <c r="L240" s="114"/>
      <c r="M240" s="114"/>
      <c r="N240" s="114"/>
      <c r="O240" s="242"/>
      <c r="P240" s="243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  <c r="AB240" s="114"/>
      <c r="AC240" s="114"/>
      <c r="AD240" s="114"/>
      <c r="AE240" s="114"/>
      <c r="AF240" s="114"/>
      <c r="AM240" s="114"/>
      <c r="AN240" s="236"/>
      <c r="AO240" s="114"/>
    </row>
    <row r="241" ht="15.75" customHeight="1">
      <c r="C241" s="114"/>
      <c r="D241" s="114"/>
      <c r="E241" s="114"/>
      <c r="F241" s="114"/>
      <c r="G241" s="114"/>
      <c r="H241" s="114"/>
      <c r="I241" s="114"/>
      <c r="J241" s="114"/>
      <c r="K241" s="114"/>
      <c r="L241" s="114"/>
      <c r="M241" s="114"/>
      <c r="N241" s="114"/>
      <c r="O241" s="242"/>
      <c r="P241" s="243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  <c r="AB241" s="114"/>
      <c r="AC241" s="114"/>
      <c r="AD241" s="114"/>
      <c r="AE241" s="114"/>
      <c r="AF241" s="114"/>
      <c r="AM241" s="114"/>
      <c r="AN241" s="236"/>
      <c r="AO241" s="114"/>
    </row>
    <row r="242" ht="15.75" customHeight="1">
      <c r="C242" s="114"/>
      <c r="D242" s="114"/>
      <c r="E242" s="114"/>
      <c r="F242" s="114"/>
      <c r="G242" s="114"/>
      <c r="H242" s="114"/>
      <c r="I242" s="114"/>
      <c r="J242" s="114"/>
      <c r="K242" s="114"/>
      <c r="L242" s="114"/>
      <c r="M242" s="114"/>
      <c r="N242" s="114"/>
      <c r="O242" s="242"/>
      <c r="P242" s="243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  <c r="AB242" s="114"/>
      <c r="AC242" s="114"/>
      <c r="AD242" s="114"/>
      <c r="AE242" s="114"/>
      <c r="AF242" s="114"/>
      <c r="AM242" s="114"/>
      <c r="AN242" s="236"/>
      <c r="AO242" s="114"/>
    </row>
    <row r="243" ht="15.75" customHeight="1">
      <c r="C243" s="114"/>
      <c r="D243" s="114"/>
      <c r="E243" s="114"/>
      <c r="F243" s="114"/>
      <c r="G243" s="114"/>
      <c r="H243" s="114"/>
      <c r="I243" s="114"/>
      <c r="J243" s="114"/>
      <c r="K243" s="114"/>
      <c r="L243" s="114"/>
      <c r="M243" s="114"/>
      <c r="N243" s="114"/>
      <c r="O243" s="242"/>
      <c r="P243" s="243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  <c r="AB243" s="114"/>
      <c r="AC243" s="114"/>
      <c r="AD243" s="114"/>
      <c r="AE243" s="114"/>
      <c r="AF243" s="114"/>
      <c r="AM243" s="114"/>
      <c r="AN243" s="236"/>
      <c r="AO243" s="114"/>
    </row>
    <row r="244" ht="15.75" customHeight="1">
      <c r="C244" s="114"/>
      <c r="D244" s="114"/>
      <c r="E244" s="114"/>
      <c r="F244" s="114"/>
      <c r="G244" s="114"/>
      <c r="H244" s="114"/>
      <c r="I244" s="114"/>
      <c r="J244" s="114"/>
      <c r="K244" s="114"/>
      <c r="L244" s="114"/>
      <c r="M244" s="114"/>
      <c r="N244" s="114"/>
      <c r="O244" s="242"/>
      <c r="P244" s="243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  <c r="AB244" s="114"/>
      <c r="AC244" s="114"/>
      <c r="AD244" s="114"/>
      <c r="AE244" s="114"/>
      <c r="AF244" s="114"/>
      <c r="AM244" s="114"/>
      <c r="AN244" s="236"/>
      <c r="AO244" s="114"/>
    </row>
    <row r="245" ht="15.75" customHeight="1">
      <c r="C245" s="114"/>
      <c r="D245" s="114"/>
      <c r="E245" s="114"/>
      <c r="F245" s="114"/>
      <c r="G245" s="114"/>
      <c r="H245" s="114"/>
      <c r="I245" s="114"/>
      <c r="J245" s="114"/>
      <c r="K245" s="114"/>
      <c r="L245" s="114"/>
      <c r="M245" s="114"/>
      <c r="N245" s="114"/>
      <c r="O245" s="242"/>
      <c r="P245" s="243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  <c r="AB245" s="114"/>
      <c r="AC245" s="114"/>
      <c r="AD245" s="114"/>
      <c r="AE245" s="114"/>
      <c r="AF245" s="114"/>
      <c r="AM245" s="114"/>
      <c r="AN245" s="236"/>
      <c r="AO245" s="114"/>
    </row>
    <row r="246" ht="15.75" customHeight="1">
      <c r="C246" s="114"/>
      <c r="D246" s="114"/>
      <c r="E246" s="114"/>
      <c r="F246" s="114"/>
      <c r="G246" s="114"/>
      <c r="H246" s="114"/>
      <c r="I246" s="114"/>
      <c r="J246" s="114"/>
      <c r="K246" s="114"/>
      <c r="L246" s="114"/>
      <c r="M246" s="114"/>
      <c r="N246" s="114"/>
      <c r="O246" s="242"/>
      <c r="P246" s="243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  <c r="AB246" s="114"/>
      <c r="AC246" s="114"/>
      <c r="AD246" s="114"/>
      <c r="AE246" s="114"/>
      <c r="AF246" s="114"/>
      <c r="AM246" s="114"/>
      <c r="AN246" s="236"/>
      <c r="AO246" s="114"/>
    </row>
    <row r="247" ht="15.75" customHeight="1">
      <c r="C247" s="114"/>
      <c r="D247" s="114"/>
      <c r="E247" s="114"/>
      <c r="F247" s="114"/>
      <c r="G247" s="114"/>
      <c r="H247" s="114"/>
      <c r="I247" s="114"/>
      <c r="J247" s="114"/>
      <c r="K247" s="114"/>
      <c r="L247" s="114"/>
      <c r="M247" s="114"/>
      <c r="N247" s="114"/>
      <c r="O247" s="242"/>
      <c r="P247" s="243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  <c r="AB247" s="114"/>
      <c r="AC247" s="114"/>
      <c r="AD247" s="114"/>
      <c r="AE247" s="114"/>
      <c r="AF247" s="114"/>
      <c r="AM247" s="114"/>
      <c r="AN247" s="236"/>
      <c r="AO247" s="114"/>
    </row>
    <row r="248" ht="15.75" customHeight="1">
      <c r="C248" s="114"/>
      <c r="D248" s="114"/>
      <c r="E248" s="114"/>
      <c r="F248" s="114"/>
      <c r="G248" s="114"/>
      <c r="H248" s="114"/>
      <c r="I248" s="114"/>
      <c r="J248" s="114"/>
      <c r="K248" s="114"/>
      <c r="L248" s="114"/>
      <c r="M248" s="114"/>
      <c r="N248" s="114"/>
      <c r="O248" s="242"/>
      <c r="P248" s="243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  <c r="AB248" s="114"/>
      <c r="AC248" s="114"/>
      <c r="AD248" s="114"/>
      <c r="AE248" s="114"/>
      <c r="AF248" s="114"/>
      <c r="AM248" s="114"/>
      <c r="AN248" s="236"/>
      <c r="AO248" s="114"/>
    </row>
    <row r="249" ht="15.75" customHeight="1">
      <c r="C249" s="114"/>
      <c r="D249" s="114"/>
      <c r="E249" s="114"/>
      <c r="F249" s="114"/>
      <c r="G249" s="114"/>
      <c r="H249" s="114"/>
      <c r="I249" s="114"/>
      <c r="J249" s="114"/>
      <c r="K249" s="114"/>
      <c r="L249" s="114"/>
      <c r="M249" s="114"/>
      <c r="N249" s="114"/>
      <c r="O249" s="242"/>
      <c r="P249" s="243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  <c r="AB249" s="114"/>
      <c r="AC249" s="114"/>
      <c r="AD249" s="114"/>
      <c r="AE249" s="114"/>
      <c r="AF249" s="114"/>
      <c r="AM249" s="114"/>
      <c r="AN249" s="236"/>
      <c r="AO249" s="114"/>
    </row>
    <row r="250" ht="15.75" customHeight="1">
      <c r="C250" s="114"/>
      <c r="D250" s="114"/>
      <c r="E250" s="114"/>
      <c r="F250" s="114"/>
      <c r="G250" s="114"/>
      <c r="H250" s="114"/>
      <c r="I250" s="114"/>
      <c r="J250" s="114"/>
      <c r="K250" s="114"/>
      <c r="L250" s="114"/>
      <c r="M250" s="114"/>
      <c r="N250" s="114"/>
      <c r="O250" s="242"/>
      <c r="P250" s="243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  <c r="AB250" s="114"/>
      <c r="AC250" s="114"/>
      <c r="AD250" s="114"/>
      <c r="AE250" s="114"/>
      <c r="AF250" s="114"/>
      <c r="AM250" s="114"/>
      <c r="AN250" s="236"/>
      <c r="AO250" s="114"/>
    </row>
    <row r="251" ht="15.75" customHeight="1">
      <c r="C251" s="114"/>
      <c r="D251" s="114"/>
      <c r="E251" s="114"/>
      <c r="F251" s="114"/>
      <c r="G251" s="114"/>
      <c r="H251" s="114"/>
      <c r="I251" s="114"/>
      <c r="J251" s="114"/>
      <c r="K251" s="114"/>
      <c r="L251" s="114"/>
      <c r="M251" s="114"/>
      <c r="N251" s="114"/>
      <c r="O251" s="242"/>
      <c r="P251" s="243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  <c r="AB251" s="114"/>
      <c r="AC251" s="114"/>
      <c r="AD251" s="114"/>
      <c r="AE251" s="114"/>
      <c r="AF251" s="114"/>
      <c r="AM251" s="114"/>
      <c r="AN251" s="236"/>
      <c r="AO251" s="114"/>
    </row>
    <row r="252" ht="15.75" customHeight="1">
      <c r="C252" s="114"/>
      <c r="D252" s="114"/>
      <c r="E252" s="114"/>
      <c r="F252" s="114"/>
      <c r="G252" s="114"/>
      <c r="H252" s="114"/>
      <c r="I252" s="114"/>
      <c r="J252" s="114"/>
      <c r="K252" s="114"/>
      <c r="L252" s="114"/>
      <c r="M252" s="114"/>
      <c r="N252" s="114"/>
      <c r="O252" s="242"/>
      <c r="P252" s="243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  <c r="AB252" s="114"/>
      <c r="AC252" s="114"/>
      <c r="AD252" s="114"/>
      <c r="AE252" s="114"/>
      <c r="AF252" s="114"/>
      <c r="AM252" s="114"/>
      <c r="AN252" s="236"/>
      <c r="AO252" s="114"/>
    </row>
    <row r="253" ht="15.75" customHeight="1">
      <c r="C253" s="114"/>
      <c r="D253" s="114"/>
      <c r="E253" s="114"/>
      <c r="F253" s="114"/>
      <c r="G253" s="114"/>
      <c r="H253" s="114"/>
      <c r="I253" s="114"/>
      <c r="J253" s="114"/>
      <c r="K253" s="114"/>
      <c r="L253" s="114"/>
      <c r="M253" s="114"/>
      <c r="N253" s="114"/>
      <c r="O253" s="242"/>
      <c r="P253" s="243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  <c r="AB253" s="114"/>
      <c r="AC253" s="114"/>
      <c r="AD253" s="114"/>
      <c r="AE253" s="114"/>
      <c r="AF253" s="114"/>
      <c r="AM253" s="114"/>
      <c r="AN253" s="236"/>
      <c r="AO253" s="114"/>
    </row>
    <row r="254" ht="15.75" customHeight="1">
      <c r="C254" s="114"/>
      <c r="D254" s="114"/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  <c r="O254" s="242"/>
      <c r="P254" s="243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  <c r="AD254" s="114"/>
      <c r="AE254" s="114"/>
      <c r="AF254" s="114"/>
      <c r="AM254" s="114"/>
      <c r="AN254" s="236"/>
      <c r="AO254" s="114"/>
    </row>
    <row r="255" ht="15.75" customHeight="1">
      <c r="C255" s="114"/>
      <c r="D255" s="114"/>
      <c r="E255" s="114"/>
      <c r="F255" s="114"/>
      <c r="G255" s="114"/>
      <c r="H255" s="114"/>
      <c r="I255" s="114"/>
      <c r="J255" s="114"/>
      <c r="K255" s="114"/>
      <c r="L255" s="114"/>
      <c r="M255" s="114"/>
      <c r="N255" s="114"/>
      <c r="O255" s="242"/>
      <c r="P255" s="243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  <c r="AB255" s="114"/>
      <c r="AC255" s="114"/>
      <c r="AD255" s="114"/>
      <c r="AE255" s="114"/>
      <c r="AF255" s="114"/>
      <c r="AM255" s="114"/>
      <c r="AN255" s="236"/>
      <c r="AO255" s="114"/>
    </row>
    <row r="256" ht="15.75" customHeight="1">
      <c r="C256" s="114"/>
      <c r="D256" s="114"/>
      <c r="E256" s="114"/>
      <c r="F256" s="114"/>
      <c r="G256" s="114"/>
      <c r="H256" s="114"/>
      <c r="I256" s="114"/>
      <c r="J256" s="114"/>
      <c r="K256" s="114"/>
      <c r="L256" s="114"/>
      <c r="M256" s="114"/>
      <c r="N256" s="114"/>
      <c r="O256" s="242"/>
      <c r="P256" s="243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  <c r="AB256" s="114"/>
      <c r="AC256" s="114"/>
      <c r="AD256" s="114"/>
      <c r="AE256" s="114"/>
      <c r="AF256" s="114"/>
      <c r="AM256" s="114"/>
      <c r="AN256" s="236"/>
      <c r="AO256" s="114"/>
    </row>
    <row r="257" ht="15.75" customHeight="1">
      <c r="C257" s="114"/>
      <c r="D257" s="114"/>
      <c r="E257" s="114"/>
      <c r="F257" s="114"/>
      <c r="G257" s="114"/>
      <c r="H257" s="114"/>
      <c r="I257" s="114"/>
      <c r="J257" s="114"/>
      <c r="K257" s="114"/>
      <c r="L257" s="114"/>
      <c r="M257" s="114"/>
      <c r="N257" s="114"/>
      <c r="O257" s="242"/>
      <c r="P257" s="243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  <c r="AB257" s="114"/>
      <c r="AC257" s="114"/>
      <c r="AD257" s="114"/>
      <c r="AE257" s="114"/>
      <c r="AF257" s="114"/>
      <c r="AM257" s="114"/>
      <c r="AN257" s="236"/>
      <c r="AO257" s="114"/>
    </row>
    <row r="258" ht="15.75" customHeight="1">
      <c r="C258" s="114"/>
      <c r="D258" s="114"/>
      <c r="E258" s="114"/>
      <c r="F258" s="114"/>
      <c r="G258" s="114"/>
      <c r="H258" s="114"/>
      <c r="I258" s="114"/>
      <c r="J258" s="114"/>
      <c r="K258" s="114"/>
      <c r="L258" s="114"/>
      <c r="M258" s="114"/>
      <c r="N258" s="114"/>
      <c r="O258" s="242"/>
      <c r="P258" s="243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  <c r="AB258" s="114"/>
      <c r="AC258" s="114"/>
      <c r="AD258" s="114"/>
      <c r="AE258" s="114"/>
      <c r="AF258" s="114"/>
      <c r="AM258" s="114"/>
      <c r="AN258" s="236"/>
      <c r="AO258" s="114"/>
    </row>
    <row r="259" ht="15.75" customHeight="1">
      <c r="C259" s="114"/>
      <c r="D259" s="114"/>
      <c r="E259" s="114"/>
      <c r="F259" s="114"/>
      <c r="G259" s="114"/>
      <c r="H259" s="114"/>
      <c r="I259" s="114"/>
      <c r="J259" s="114"/>
      <c r="K259" s="114"/>
      <c r="L259" s="114"/>
      <c r="M259" s="114"/>
      <c r="N259" s="114"/>
      <c r="O259" s="242"/>
      <c r="P259" s="243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  <c r="AB259" s="114"/>
      <c r="AC259" s="114"/>
      <c r="AD259" s="114"/>
      <c r="AE259" s="114"/>
      <c r="AF259" s="114"/>
      <c r="AM259" s="114"/>
      <c r="AN259" s="236"/>
      <c r="AO259" s="114"/>
    </row>
    <row r="260" ht="15.75" customHeight="1">
      <c r="C260" s="114"/>
      <c r="D260" s="114"/>
      <c r="E260" s="114"/>
      <c r="F260" s="114"/>
      <c r="G260" s="114"/>
      <c r="H260" s="114"/>
      <c r="I260" s="114"/>
      <c r="J260" s="114"/>
      <c r="K260" s="114"/>
      <c r="L260" s="114"/>
      <c r="M260" s="114"/>
      <c r="N260" s="114"/>
      <c r="O260" s="242"/>
      <c r="P260" s="243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  <c r="AB260" s="114"/>
      <c r="AC260" s="114"/>
      <c r="AD260" s="114"/>
      <c r="AE260" s="114"/>
      <c r="AF260" s="114"/>
      <c r="AM260" s="114"/>
      <c r="AN260" s="236"/>
      <c r="AO260" s="114"/>
    </row>
    <row r="261" ht="15.75" customHeight="1">
      <c r="C261" s="114"/>
      <c r="D261" s="114"/>
      <c r="E261" s="114"/>
      <c r="F261" s="114"/>
      <c r="G261" s="114"/>
      <c r="H261" s="114"/>
      <c r="I261" s="114"/>
      <c r="J261" s="114"/>
      <c r="K261" s="114"/>
      <c r="L261" s="114"/>
      <c r="M261" s="114"/>
      <c r="N261" s="114"/>
      <c r="O261" s="242"/>
      <c r="P261" s="243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  <c r="AB261" s="114"/>
      <c r="AC261" s="114"/>
      <c r="AD261" s="114"/>
      <c r="AE261" s="114"/>
      <c r="AF261" s="114"/>
      <c r="AM261" s="114"/>
      <c r="AN261" s="236"/>
      <c r="AO261" s="114"/>
    </row>
    <row r="262" ht="15.75" customHeight="1">
      <c r="C262" s="114"/>
      <c r="D262" s="114"/>
      <c r="E262" s="114"/>
      <c r="F262" s="114"/>
      <c r="G262" s="114"/>
      <c r="H262" s="114"/>
      <c r="I262" s="114"/>
      <c r="J262" s="114"/>
      <c r="K262" s="114"/>
      <c r="L262" s="114"/>
      <c r="M262" s="114"/>
      <c r="N262" s="114"/>
      <c r="O262" s="242"/>
      <c r="P262" s="243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  <c r="AB262" s="114"/>
      <c r="AC262" s="114"/>
      <c r="AD262" s="114"/>
      <c r="AE262" s="114"/>
      <c r="AF262" s="114"/>
      <c r="AM262" s="114"/>
      <c r="AN262" s="236"/>
      <c r="AO262" s="114"/>
    </row>
    <row r="263" ht="15.75" customHeight="1">
      <c r="C263" s="114"/>
      <c r="D263" s="114"/>
      <c r="E263" s="114"/>
      <c r="F263" s="114"/>
      <c r="G263" s="114"/>
      <c r="H263" s="114"/>
      <c r="I263" s="114"/>
      <c r="J263" s="114"/>
      <c r="K263" s="114"/>
      <c r="L263" s="114"/>
      <c r="M263" s="114"/>
      <c r="N263" s="114"/>
      <c r="O263" s="242"/>
      <c r="P263" s="243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  <c r="AB263" s="114"/>
      <c r="AC263" s="114"/>
      <c r="AD263" s="114"/>
      <c r="AE263" s="114"/>
      <c r="AF263" s="114"/>
      <c r="AM263" s="114"/>
      <c r="AN263" s="236"/>
      <c r="AO263" s="114"/>
    </row>
    <row r="264" ht="15.75" customHeight="1">
      <c r="C264" s="114"/>
      <c r="D264" s="114"/>
      <c r="E264" s="114"/>
      <c r="F264" s="114"/>
      <c r="G264" s="114"/>
      <c r="H264" s="114"/>
      <c r="I264" s="114"/>
      <c r="J264" s="114"/>
      <c r="K264" s="114"/>
      <c r="L264" s="114"/>
      <c r="M264" s="114"/>
      <c r="N264" s="114"/>
      <c r="O264" s="242"/>
      <c r="P264" s="243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  <c r="AB264" s="114"/>
      <c r="AC264" s="114"/>
      <c r="AD264" s="114"/>
      <c r="AE264" s="114"/>
      <c r="AF264" s="114"/>
      <c r="AM264" s="114"/>
      <c r="AN264" s="236"/>
      <c r="AO264" s="114"/>
    </row>
    <row r="265" ht="15.75" customHeight="1">
      <c r="C265" s="114"/>
      <c r="D265" s="114"/>
      <c r="E265" s="114"/>
      <c r="F265" s="114"/>
      <c r="G265" s="114"/>
      <c r="H265" s="114"/>
      <c r="I265" s="114"/>
      <c r="J265" s="114"/>
      <c r="K265" s="114"/>
      <c r="L265" s="114"/>
      <c r="M265" s="114"/>
      <c r="N265" s="114"/>
      <c r="O265" s="242"/>
      <c r="P265" s="243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  <c r="AB265" s="114"/>
      <c r="AC265" s="114"/>
      <c r="AD265" s="114"/>
      <c r="AE265" s="114"/>
      <c r="AF265" s="114"/>
      <c r="AM265" s="114"/>
      <c r="AN265" s="236"/>
      <c r="AO265" s="114"/>
    </row>
    <row r="266" ht="15.75" customHeight="1">
      <c r="C266" s="114"/>
      <c r="D266" s="114"/>
      <c r="E266" s="114"/>
      <c r="F266" s="114"/>
      <c r="G266" s="114"/>
      <c r="H266" s="114"/>
      <c r="I266" s="114"/>
      <c r="J266" s="114"/>
      <c r="K266" s="114"/>
      <c r="L266" s="114"/>
      <c r="M266" s="114"/>
      <c r="N266" s="114"/>
      <c r="O266" s="242"/>
      <c r="P266" s="243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  <c r="AB266" s="114"/>
      <c r="AC266" s="114"/>
      <c r="AD266" s="114"/>
      <c r="AE266" s="114"/>
      <c r="AF266" s="114"/>
      <c r="AM266" s="114"/>
      <c r="AN266" s="236"/>
      <c r="AO266" s="114"/>
    </row>
    <row r="267" ht="15.75" customHeight="1">
      <c r="C267" s="114"/>
      <c r="D267" s="114"/>
      <c r="E267" s="114"/>
      <c r="F267" s="114"/>
      <c r="G267" s="114"/>
      <c r="H267" s="114"/>
      <c r="I267" s="114"/>
      <c r="J267" s="114"/>
      <c r="K267" s="114"/>
      <c r="L267" s="114"/>
      <c r="M267" s="114"/>
      <c r="N267" s="114"/>
      <c r="O267" s="242"/>
      <c r="P267" s="243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  <c r="AB267" s="114"/>
      <c r="AC267" s="114"/>
      <c r="AD267" s="114"/>
      <c r="AE267" s="114"/>
      <c r="AF267" s="114"/>
      <c r="AM267" s="114"/>
      <c r="AN267" s="236"/>
      <c r="AO267" s="114"/>
    </row>
    <row r="268" ht="15.75" customHeight="1">
      <c r="C268" s="114"/>
      <c r="D268" s="114"/>
      <c r="E268" s="114"/>
      <c r="F268" s="114"/>
      <c r="G268" s="114"/>
      <c r="H268" s="114"/>
      <c r="I268" s="114"/>
      <c r="J268" s="114"/>
      <c r="K268" s="114"/>
      <c r="L268" s="114"/>
      <c r="M268" s="114"/>
      <c r="N268" s="114"/>
      <c r="O268" s="242"/>
      <c r="P268" s="243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  <c r="AB268" s="114"/>
      <c r="AC268" s="114"/>
      <c r="AD268" s="114"/>
      <c r="AE268" s="114"/>
      <c r="AF268" s="114"/>
      <c r="AM268" s="114"/>
      <c r="AN268" s="236"/>
      <c r="AO268" s="114"/>
    </row>
    <row r="269" ht="15.75" customHeight="1">
      <c r="C269" s="114"/>
      <c r="D269" s="114"/>
      <c r="E269" s="114"/>
      <c r="F269" s="114"/>
      <c r="G269" s="114"/>
      <c r="H269" s="114"/>
      <c r="I269" s="114"/>
      <c r="J269" s="114"/>
      <c r="K269" s="114"/>
      <c r="L269" s="114"/>
      <c r="M269" s="114"/>
      <c r="N269" s="114"/>
      <c r="O269" s="242"/>
      <c r="P269" s="243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114"/>
      <c r="AD269" s="114"/>
      <c r="AE269" s="114"/>
      <c r="AF269" s="114"/>
      <c r="AM269" s="114"/>
      <c r="AN269" s="236"/>
      <c r="AO269" s="114"/>
    </row>
    <row r="270" ht="15.75" customHeight="1">
      <c r="C270" s="114"/>
      <c r="D270" s="114"/>
      <c r="E270" s="114"/>
      <c r="F270" s="114"/>
      <c r="G270" s="114"/>
      <c r="H270" s="114"/>
      <c r="I270" s="114"/>
      <c r="J270" s="114"/>
      <c r="K270" s="114"/>
      <c r="L270" s="114"/>
      <c r="M270" s="114"/>
      <c r="N270" s="114"/>
      <c r="O270" s="242"/>
      <c r="P270" s="243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  <c r="AB270" s="114"/>
      <c r="AC270" s="114"/>
      <c r="AD270" s="114"/>
      <c r="AE270" s="114"/>
      <c r="AF270" s="114"/>
      <c r="AM270" s="114"/>
      <c r="AN270" s="236"/>
      <c r="AO270" s="114"/>
    </row>
    <row r="271" ht="15.75" customHeight="1">
      <c r="C271" s="114"/>
      <c r="D271" s="114"/>
      <c r="E271" s="114"/>
      <c r="F271" s="114"/>
      <c r="G271" s="114"/>
      <c r="H271" s="114"/>
      <c r="I271" s="114"/>
      <c r="J271" s="114"/>
      <c r="K271" s="114"/>
      <c r="L271" s="114"/>
      <c r="M271" s="114"/>
      <c r="N271" s="114"/>
      <c r="O271" s="242"/>
      <c r="P271" s="243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  <c r="AB271" s="114"/>
      <c r="AC271" s="114"/>
      <c r="AD271" s="114"/>
      <c r="AE271" s="114"/>
      <c r="AF271" s="114"/>
      <c r="AM271" s="114"/>
      <c r="AN271" s="236"/>
      <c r="AO271" s="114"/>
    </row>
    <row r="272" ht="15.75" customHeight="1">
      <c r="C272" s="114"/>
      <c r="D272" s="114"/>
      <c r="E272" s="114"/>
      <c r="F272" s="114"/>
      <c r="G272" s="114"/>
      <c r="H272" s="114"/>
      <c r="I272" s="114"/>
      <c r="J272" s="114"/>
      <c r="K272" s="114"/>
      <c r="L272" s="114"/>
      <c r="M272" s="114"/>
      <c r="N272" s="114"/>
      <c r="O272" s="242"/>
      <c r="P272" s="243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  <c r="AB272" s="114"/>
      <c r="AC272" s="114"/>
      <c r="AD272" s="114"/>
      <c r="AE272" s="114"/>
      <c r="AF272" s="114"/>
      <c r="AM272" s="114"/>
      <c r="AN272" s="236"/>
      <c r="AO272" s="114"/>
    </row>
    <row r="273" ht="15.75" customHeight="1">
      <c r="C273" s="114"/>
      <c r="D273" s="114"/>
      <c r="E273" s="114"/>
      <c r="F273" s="114"/>
      <c r="G273" s="114"/>
      <c r="H273" s="114"/>
      <c r="I273" s="114"/>
      <c r="J273" s="114"/>
      <c r="K273" s="114"/>
      <c r="L273" s="114"/>
      <c r="M273" s="114"/>
      <c r="N273" s="114"/>
      <c r="O273" s="242"/>
      <c r="P273" s="243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  <c r="AA273" s="114"/>
      <c r="AB273" s="114"/>
      <c r="AC273" s="114"/>
      <c r="AD273" s="114"/>
      <c r="AE273" s="114"/>
      <c r="AF273" s="114"/>
      <c r="AM273" s="114"/>
      <c r="AN273" s="236"/>
      <c r="AO273" s="114"/>
    </row>
    <row r="274" ht="15.75" customHeight="1">
      <c r="C274" s="114"/>
      <c r="D274" s="114"/>
      <c r="E274" s="114"/>
      <c r="F274" s="114"/>
      <c r="G274" s="114"/>
      <c r="H274" s="114"/>
      <c r="I274" s="114"/>
      <c r="J274" s="114"/>
      <c r="K274" s="114"/>
      <c r="L274" s="114"/>
      <c r="M274" s="114"/>
      <c r="N274" s="114"/>
      <c r="O274" s="242"/>
      <c r="P274" s="243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  <c r="AB274" s="114"/>
      <c r="AC274" s="114"/>
      <c r="AD274" s="114"/>
      <c r="AE274" s="114"/>
      <c r="AF274" s="114"/>
      <c r="AM274" s="114"/>
      <c r="AN274" s="236"/>
      <c r="AO274" s="114"/>
    </row>
    <row r="275" ht="15.75" customHeight="1">
      <c r="C275" s="114"/>
      <c r="D275" s="114"/>
      <c r="E275" s="114"/>
      <c r="F275" s="114"/>
      <c r="G275" s="114"/>
      <c r="H275" s="114"/>
      <c r="I275" s="114"/>
      <c r="J275" s="114"/>
      <c r="K275" s="114"/>
      <c r="L275" s="114"/>
      <c r="M275" s="114"/>
      <c r="N275" s="114"/>
      <c r="O275" s="242"/>
      <c r="P275" s="243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  <c r="AB275" s="114"/>
      <c r="AC275" s="114"/>
      <c r="AD275" s="114"/>
      <c r="AE275" s="114"/>
      <c r="AF275" s="114"/>
      <c r="AM275" s="114"/>
      <c r="AN275" s="236"/>
      <c r="AO275" s="114"/>
    </row>
    <row r="276" ht="15.75" customHeight="1">
      <c r="C276" s="114"/>
      <c r="D276" s="114"/>
      <c r="E276" s="114"/>
      <c r="F276" s="114"/>
      <c r="G276" s="114"/>
      <c r="H276" s="114"/>
      <c r="I276" s="114"/>
      <c r="J276" s="114"/>
      <c r="K276" s="114"/>
      <c r="L276" s="114"/>
      <c r="M276" s="114"/>
      <c r="N276" s="114"/>
      <c r="O276" s="242"/>
      <c r="P276" s="243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  <c r="AB276" s="114"/>
      <c r="AC276" s="114"/>
      <c r="AD276" s="114"/>
      <c r="AE276" s="114"/>
      <c r="AF276" s="114"/>
      <c r="AM276" s="114"/>
      <c r="AN276" s="236"/>
      <c r="AO276" s="114"/>
    </row>
    <row r="277" ht="15.75" customHeight="1">
      <c r="C277" s="114"/>
      <c r="D277" s="114"/>
      <c r="E277" s="114"/>
      <c r="F277" s="114"/>
      <c r="G277" s="114"/>
      <c r="H277" s="114"/>
      <c r="I277" s="114"/>
      <c r="J277" s="114"/>
      <c r="K277" s="114"/>
      <c r="L277" s="114"/>
      <c r="M277" s="114"/>
      <c r="N277" s="114"/>
      <c r="O277" s="242"/>
      <c r="P277" s="243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  <c r="AB277" s="114"/>
      <c r="AC277" s="114"/>
      <c r="AD277" s="114"/>
      <c r="AE277" s="114"/>
      <c r="AF277" s="114"/>
      <c r="AM277" s="114"/>
      <c r="AN277" s="236"/>
      <c r="AO277" s="114"/>
    </row>
    <row r="278" ht="15.75" customHeight="1"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242"/>
      <c r="P278" s="243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  <c r="AD278" s="114"/>
      <c r="AE278" s="114"/>
      <c r="AF278" s="114"/>
      <c r="AM278" s="114"/>
      <c r="AN278" s="236"/>
      <c r="AO278" s="114"/>
    </row>
    <row r="279" ht="15.75" customHeight="1">
      <c r="C279" s="114"/>
      <c r="D279" s="114"/>
      <c r="E279" s="114"/>
      <c r="F279" s="114"/>
      <c r="G279" s="114"/>
      <c r="H279" s="114"/>
      <c r="I279" s="114"/>
      <c r="J279" s="114"/>
      <c r="K279" s="114"/>
      <c r="L279" s="114"/>
      <c r="M279" s="114"/>
      <c r="N279" s="114"/>
      <c r="O279" s="242"/>
      <c r="P279" s="243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  <c r="AB279" s="114"/>
      <c r="AC279" s="114"/>
      <c r="AD279" s="114"/>
      <c r="AE279" s="114"/>
      <c r="AF279" s="114"/>
      <c r="AM279" s="114"/>
      <c r="AN279" s="236"/>
      <c r="AO279" s="114"/>
    </row>
    <row r="280" ht="15.75" customHeight="1">
      <c r="C280" s="114"/>
      <c r="D280" s="114"/>
      <c r="E280" s="114"/>
      <c r="F280" s="114"/>
      <c r="G280" s="114"/>
      <c r="H280" s="114"/>
      <c r="I280" s="114"/>
      <c r="J280" s="114"/>
      <c r="K280" s="114"/>
      <c r="L280" s="114"/>
      <c r="M280" s="114"/>
      <c r="N280" s="114"/>
      <c r="O280" s="242"/>
      <c r="P280" s="243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  <c r="AB280" s="114"/>
      <c r="AC280" s="114"/>
      <c r="AD280" s="114"/>
      <c r="AE280" s="114"/>
      <c r="AF280" s="114"/>
      <c r="AM280" s="114"/>
      <c r="AN280" s="236"/>
      <c r="AO280" s="114"/>
    </row>
    <row r="281" ht="15.75" customHeight="1">
      <c r="C281" s="114"/>
      <c r="D281" s="114"/>
      <c r="E281" s="114"/>
      <c r="F281" s="114"/>
      <c r="G281" s="114"/>
      <c r="H281" s="114"/>
      <c r="I281" s="114"/>
      <c r="J281" s="114"/>
      <c r="K281" s="114"/>
      <c r="L281" s="114"/>
      <c r="M281" s="114"/>
      <c r="N281" s="114"/>
      <c r="O281" s="242"/>
      <c r="P281" s="243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  <c r="AB281" s="114"/>
      <c r="AC281" s="114"/>
      <c r="AD281" s="114"/>
      <c r="AE281" s="114"/>
      <c r="AF281" s="114"/>
      <c r="AM281" s="114"/>
      <c r="AN281" s="236"/>
      <c r="AO281" s="114"/>
    </row>
    <row r="282" ht="15.75" customHeight="1">
      <c r="C282" s="114"/>
      <c r="D282" s="114"/>
      <c r="E282" s="114"/>
      <c r="F282" s="114"/>
      <c r="G282" s="114"/>
      <c r="H282" s="114"/>
      <c r="I282" s="114"/>
      <c r="J282" s="114"/>
      <c r="K282" s="114"/>
      <c r="L282" s="114"/>
      <c r="M282" s="114"/>
      <c r="N282" s="114"/>
      <c r="O282" s="242"/>
      <c r="P282" s="243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  <c r="AB282" s="114"/>
      <c r="AC282" s="114"/>
      <c r="AD282" s="114"/>
      <c r="AE282" s="114"/>
      <c r="AF282" s="114"/>
      <c r="AM282" s="114"/>
      <c r="AN282" s="236"/>
      <c r="AO282" s="114"/>
    </row>
    <row r="283" ht="15.75" customHeight="1">
      <c r="C283" s="114"/>
      <c r="D283" s="114"/>
      <c r="E283" s="114"/>
      <c r="F283" s="114"/>
      <c r="G283" s="114"/>
      <c r="H283" s="114"/>
      <c r="I283" s="114"/>
      <c r="J283" s="114"/>
      <c r="K283" s="114"/>
      <c r="L283" s="114"/>
      <c r="M283" s="114"/>
      <c r="N283" s="114"/>
      <c r="O283" s="242"/>
      <c r="P283" s="243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  <c r="AB283" s="114"/>
      <c r="AC283" s="114"/>
      <c r="AD283" s="114"/>
      <c r="AE283" s="114"/>
      <c r="AF283" s="114"/>
      <c r="AM283" s="114"/>
      <c r="AN283" s="236"/>
      <c r="AO283" s="114"/>
    </row>
    <row r="284" ht="15.75" customHeight="1">
      <c r="C284" s="114"/>
      <c r="D284" s="114"/>
      <c r="E284" s="114"/>
      <c r="F284" s="114"/>
      <c r="G284" s="114"/>
      <c r="H284" s="114"/>
      <c r="I284" s="114"/>
      <c r="J284" s="114"/>
      <c r="K284" s="114"/>
      <c r="L284" s="114"/>
      <c r="M284" s="114"/>
      <c r="N284" s="114"/>
      <c r="O284" s="242"/>
      <c r="P284" s="243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  <c r="AA284" s="114"/>
      <c r="AB284" s="114"/>
      <c r="AC284" s="114"/>
      <c r="AD284" s="114"/>
      <c r="AE284" s="114"/>
      <c r="AF284" s="114"/>
      <c r="AM284" s="114"/>
      <c r="AN284" s="236"/>
      <c r="AO284" s="114"/>
    </row>
    <row r="285" ht="15.75" customHeight="1">
      <c r="C285" s="114"/>
      <c r="D285" s="114"/>
      <c r="E285" s="114"/>
      <c r="F285" s="114"/>
      <c r="G285" s="114"/>
      <c r="H285" s="114"/>
      <c r="I285" s="114"/>
      <c r="J285" s="114"/>
      <c r="K285" s="114"/>
      <c r="L285" s="114"/>
      <c r="M285" s="114"/>
      <c r="N285" s="114"/>
      <c r="O285" s="242"/>
      <c r="P285" s="243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  <c r="AB285" s="114"/>
      <c r="AC285" s="114"/>
      <c r="AD285" s="114"/>
      <c r="AE285" s="114"/>
      <c r="AF285" s="114"/>
      <c r="AM285" s="114"/>
      <c r="AN285" s="236"/>
      <c r="AO285" s="114"/>
    </row>
    <row r="286" ht="15.75" customHeight="1">
      <c r="C286" s="114"/>
      <c r="D286" s="114"/>
      <c r="E286" s="114"/>
      <c r="F286" s="114"/>
      <c r="G286" s="114"/>
      <c r="H286" s="114"/>
      <c r="I286" s="114"/>
      <c r="J286" s="114"/>
      <c r="K286" s="114"/>
      <c r="L286" s="114"/>
      <c r="M286" s="114"/>
      <c r="N286" s="114"/>
      <c r="O286" s="242"/>
      <c r="P286" s="243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  <c r="AB286" s="114"/>
      <c r="AC286" s="114"/>
      <c r="AD286" s="114"/>
      <c r="AE286" s="114"/>
      <c r="AF286" s="114"/>
      <c r="AM286" s="114"/>
      <c r="AN286" s="236"/>
      <c r="AO286" s="114"/>
    </row>
    <row r="287" ht="15.75" customHeight="1">
      <c r="C287" s="114"/>
      <c r="D287" s="114"/>
      <c r="E287" s="114"/>
      <c r="F287" s="114"/>
      <c r="G287" s="114"/>
      <c r="H287" s="114"/>
      <c r="I287" s="114"/>
      <c r="J287" s="114"/>
      <c r="K287" s="114"/>
      <c r="L287" s="114"/>
      <c r="M287" s="114"/>
      <c r="N287" s="114"/>
      <c r="O287" s="242"/>
      <c r="P287" s="243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  <c r="AB287" s="114"/>
      <c r="AC287" s="114"/>
      <c r="AD287" s="114"/>
      <c r="AE287" s="114"/>
      <c r="AF287" s="114"/>
      <c r="AM287" s="114"/>
      <c r="AN287" s="236"/>
      <c r="AO287" s="114"/>
    </row>
    <row r="288" ht="15.75" customHeight="1">
      <c r="C288" s="114"/>
      <c r="D288" s="114"/>
      <c r="E288" s="114"/>
      <c r="F288" s="114"/>
      <c r="G288" s="114"/>
      <c r="H288" s="114"/>
      <c r="I288" s="114"/>
      <c r="J288" s="114"/>
      <c r="K288" s="114"/>
      <c r="L288" s="114"/>
      <c r="M288" s="114"/>
      <c r="N288" s="114"/>
      <c r="O288" s="242"/>
      <c r="P288" s="243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  <c r="AB288" s="114"/>
      <c r="AC288" s="114"/>
      <c r="AD288" s="114"/>
      <c r="AE288" s="114"/>
      <c r="AF288" s="114"/>
      <c r="AM288" s="114"/>
      <c r="AN288" s="236"/>
      <c r="AO288" s="114"/>
    </row>
    <row r="289" ht="15.75" customHeight="1">
      <c r="C289" s="114"/>
      <c r="D289" s="114"/>
      <c r="E289" s="114"/>
      <c r="F289" s="114"/>
      <c r="G289" s="114"/>
      <c r="H289" s="114"/>
      <c r="I289" s="114"/>
      <c r="J289" s="114"/>
      <c r="K289" s="114"/>
      <c r="L289" s="114"/>
      <c r="M289" s="114"/>
      <c r="N289" s="114"/>
      <c r="O289" s="242"/>
      <c r="P289" s="243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114"/>
      <c r="AD289" s="114"/>
      <c r="AE289" s="114"/>
      <c r="AF289" s="114"/>
      <c r="AM289" s="114"/>
      <c r="AN289" s="236"/>
      <c r="AO289" s="114"/>
    </row>
    <row r="290" ht="15.75" customHeight="1">
      <c r="C290" s="114"/>
      <c r="D290" s="114"/>
      <c r="E290" s="114"/>
      <c r="F290" s="114"/>
      <c r="G290" s="114"/>
      <c r="H290" s="114"/>
      <c r="I290" s="114"/>
      <c r="J290" s="114"/>
      <c r="K290" s="114"/>
      <c r="L290" s="114"/>
      <c r="M290" s="114"/>
      <c r="N290" s="114"/>
      <c r="O290" s="242"/>
      <c r="P290" s="243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  <c r="AB290" s="114"/>
      <c r="AC290" s="114"/>
      <c r="AD290" s="114"/>
      <c r="AE290" s="114"/>
      <c r="AF290" s="114"/>
      <c r="AM290" s="114"/>
      <c r="AN290" s="236"/>
      <c r="AO290" s="114"/>
    </row>
    <row r="291" ht="15.75" customHeight="1">
      <c r="C291" s="114"/>
      <c r="D291" s="114"/>
      <c r="E291" s="114"/>
      <c r="F291" s="114"/>
      <c r="G291" s="114"/>
      <c r="H291" s="114"/>
      <c r="I291" s="114"/>
      <c r="J291" s="114"/>
      <c r="K291" s="114"/>
      <c r="L291" s="114"/>
      <c r="M291" s="114"/>
      <c r="N291" s="114"/>
      <c r="O291" s="242"/>
      <c r="P291" s="243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  <c r="AB291" s="114"/>
      <c r="AC291" s="114"/>
      <c r="AD291" s="114"/>
      <c r="AE291" s="114"/>
      <c r="AF291" s="114"/>
      <c r="AM291" s="114"/>
      <c r="AN291" s="236"/>
      <c r="AO291" s="114"/>
    </row>
    <row r="292" ht="15.75" customHeight="1">
      <c r="C292" s="114"/>
      <c r="D292" s="114"/>
      <c r="E292" s="114"/>
      <c r="F292" s="114"/>
      <c r="G292" s="114"/>
      <c r="H292" s="114"/>
      <c r="I292" s="114"/>
      <c r="J292" s="114"/>
      <c r="K292" s="114"/>
      <c r="L292" s="114"/>
      <c r="M292" s="114"/>
      <c r="N292" s="114"/>
      <c r="O292" s="242"/>
      <c r="P292" s="243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  <c r="AB292" s="114"/>
      <c r="AC292" s="114"/>
      <c r="AD292" s="114"/>
      <c r="AE292" s="114"/>
      <c r="AF292" s="114"/>
      <c r="AM292" s="114"/>
      <c r="AN292" s="236"/>
      <c r="AO292" s="114"/>
    </row>
    <row r="293" ht="15.75" customHeight="1">
      <c r="C293" s="114"/>
      <c r="D293" s="114"/>
      <c r="E293" s="114"/>
      <c r="F293" s="114"/>
      <c r="G293" s="114"/>
      <c r="H293" s="114"/>
      <c r="I293" s="114"/>
      <c r="J293" s="114"/>
      <c r="K293" s="114"/>
      <c r="L293" s="114"/>
      <c r="M293" s="114"/>
      <c r="N293" s="114"/>
      <c r="O293" s="242"/>
      <c r="P293" s="243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  <c r="AB293" s="114"/>
      <c r="AC293" s="114"/>
      <c r="AD293" s="114"/>
      <c r="AE293" s="114"/>
      <c r="AF293" s="114"/>
      <c r="AM293" s="114"/>
      <c r="AN293" s="236"/>
      <c r="AO293" s="114"/>
    </row>
    <row r="294" ht="15.75" customHeight="1">
      <c r="C294" s="114"/>
      <c r="D294" s="114"/>
      <c r="E294" s="114"/>
      <c r="F294" s="114"/>
      <c r="G294" s="114"/>
      <c r="H294" s="114"/>
      <c r="I294" s="114"/>
      <c r="J294" s="114"/>
      <c r="K294" s="114"/>
      <c r="L294" s="114"/>
      <c r="M294" s="114"/>
      <c r="N294" s="114"/>
      <c r="O294" s="242"/>
      <c r="P294" s="243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  <c r="AB294" s="114"/>
      <c r="AC294" s="114"/>
      <c r="AD294" s="114"/>
      <c r="AE294" s="114"/>
      <c r="AF294" s="114"/>
      <c r="AM294" s="114"/>
      <c r="AN294" s="236"/>
      <c r="AO294" s="114"/>
    </row>
    <row r="295" ht="15.75" customHeight="1">
      <c r="C295" s="114"/>
      <c r="D295" s="114"/>
      <c r="E295" s="114"/>
      <c r="F295" s="114"/>
      <c r="G295" s="114"/>
      <c r="H295" s="114"/>
      <c r="I295" s="114"/>
      <c r="J295" s="114"/>
      <c r="K295" s="114"/>
      <c r="L295" s="114"/>
      <c r="M295" s="114"/>
      <c r="N295" s="114"/>
      <c r="O295" s="242"/>
      <c r="P295" s="243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  <c r="AB295" s="114"/>
      <c r="AC295" s="114"/>
      <c r="AD295" s="114"/>
      <c r="AE295" s="114"/>
      <c r="AF295" s="114"/>
      <c r="AM295" s="114"/>
      <c r="AN295" s="236"/>
      <c r="AO295" s="114"/>
    </row>
    <row r="296" ht="15.75" customHeight="1">
      <c r="C296" s="114"/>
      <c r="D296" s="114"/>
      <c r="E296" s="114"/>
      <c r="F296" s="114"/>
      <c r="G296" s="114"/>
      <c r="H296" s="114"/>
      <c r="I296" s="114"/>
      <c r="J296" s="114"/>
      <c r="K296" s="114"/>
      <c r="L296" s="114"/>
      <c r="M296" s="114"/>
      <c r="N296" s="114"/>
      <c r="O296" s="242"/>
      <c r="P296" s="243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  <c r="AB296" s="114"/>
      <c r="AC296" s="114"/>
      <c r="AD296" s="114"/>
      <c r="AE296" s="114"/>
      <c r="AF296" s="114"/>
      <c r="AM296" s="114"/>
      <c r="AN296" s="236"/>
      <c r="AO296" s="114"/>
    </row>
    <row r="297" ht="15.75" customHeight="1">
      <c r="C297" s="114"/>
      <c r="D297" s="114"/>
      <c r="E297" s="114"/>
      <c r="F297" s="114"/>
      <c r="G297" s="114"/>
      <c r="H297" s="114"/>
      <c r="I297" s="114"/>
      <c r="J297" s="114"/>
      <c r="K297" s="114"/>
      <c r="L297" s="114"/>
      <c r="M297" s="114"/>
      <c r="N297" s="114"/>
      <c r="O297" s="242"/>
      <c r="P297" s="243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  <c r="AB297" s="114"/>
      <c r="AC297" s="114"/>
      <c r="AD297" s="114"/>
      <c r="AE297" s="114"/>
      <c r="AF297" s="114"/>
      <c r="AM297" s="114"/>
      <c r="AN297" s="236"/>
      <c r="AO297" s="114"/>
    </row>
    <row r="298" ht="15.75" customHeight="1">
      <c r="C298" s="114"/>
      <c r="D298" s="114"/>
      <c r="E298" s="114"/>
      <c r="F298" s="114"/>
      <c r="G298" s="114"/>
      <c r="H298" s="114"/>
      <c r="I298" s="114"/>
      <c r="J298" s="114"/>
      <c r="K298" s="114"/>
      <c r="L298" s="114"/>
      <c r="M298" s="114"/>
      <c r="N298" s="114"/>
      <c r="O298" s="242"/>
      <c r="P298" s="243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  <c r="AA298" s="114"/>
      <c r="AB298" s="114"/>
      <c r="AC298" s="114"/>
      <c r="AD298" s="114"/>
      <c r="AE298" s="114"/>
      <c r="AF298" s="114"/>
      <c r="AM298" s="114"/>
      <c r="AN298" s="236"/>
      <c r="AO298" s="114"/>
    </row>
    <row r="299" ht="15.75" customHeight="1">
      <c r="C299" s="114"/>
      <c r="D299" s="114"/>
      <c r="E299" s="114"/>
      <c r="F299" s="114"/>
      <c r="G299" s="114"/>
      <c r="H299" s="114"/>
      <c r="I299" s="114"/>
      <c r="J299" s="114"/>
      <c r="K299" s="114"/>
      <c r="L299" s="114"/>
      <c r="M299" s="114"/>
      <c r="N299" s="114"/>
      <c r="O299" s="242"/>
      <c r="P299" s="243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  <c r="AB299" s="114"/>
      <c r="AC299" s="114"/>
      <c r="AD299" s="114"/>
      <c r="AE299" s="114"/>
      <c r="AF299" s="114"/>
      <c r="AM299" s="114"/>
      <c r="AN299" s="236"/>
      <c r="AO299" s="114"/>
    </row>
    <row r="300" ht="15.75" customHeight="1">
      <c r="C300" s="114"/>
      <c r="D300" s="114"/>
      <c r="E300" s="114"/>
      <c r="F300" s="114"/>
      <c r="G300" s="114"/>
      <c r="H300" s="114"/>
      <c r="I300" s="114"/>
      <c r="J300" s="114"/>
      <c r="K300" s="114"/>
      <c r="L300" s="114"/>
      <c r="M300" s="114"/>
      <c r="N300" s="114"/>
      <c r="O300" s="242"/>
      <c r="P300" s="243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  <c r="AB300" s="114"/>
      <c r="AC300" s="114"/>
      <c r="AD300" s="114"/>
      <c r="AE300" s="114"/>
      <c r="AF300" s="114"/>
      <c r="AM300" s="114"/>
      <c r="AN300" s="236"/>
      <c r="AO300" s="114"/>
    </row>
    <row r="301" ht="15.75" customHeight="1">
      <c r="C301" s="114"/>
      <c r="D301" s="114"/>
      <c r="E301" s="114"/>
      <c r="F301" s="114"/>
      <c r="G301" s="114"/>
      <c r="H301" s="114"/>
      <c r="I301" s="114"/>
      <c r="J301" s="114"/>
      <c r="K301" s="114"/>
      <c r="L301" s="114"/>
      <c r="M301" s="114"/>
      <c r="N301" s="114"/>
      <c r="O301" s="242"/>
      <c r="P301" s="243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  <c r="AB301" s="114"/>
      <c r="AC301" s="114"/>
      <c r="AD301" s="114"/>
      <c r="AE301" s="114"/>
      <c r="AF301" s="114"/>
      <c r="AM301" s="114"/>
      <c r="AN301" s="236"/>
      <c r="AO301" s="114"/>
    </row>
    <row r="302" ht="15.75" customHeight="1">
      <c r="C302" s="114"/>
      <c r="D302" s="114"/>
      <c r="E302" s="114"/>
      <c r="F302" s="114"/>
      <c r="G302" s="114"/>
      <c r="H302" s="114"/>
      <c r="I302" s="114"/>
      <c r="J302" s="114"/>
      <c r="K302" s="114"/>
      <c r="L302" s="114"/>
      <c r="M302" s="114"/>
      <c r="N302" s="114"/>
      <c r="O302" s="242"/>
      <c r="P302" s="243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  <c r="AA302" s="114"/>
      <c r="AB302" s="114"/>
      <c r="AC302" s="114"/>
      <c r="AD302" s="114"/>
      <c r="AE302" s="114"/>
      <c r="AF302" s="114"/>
      <c r="AM302" s="114"/>
      <c r="AN302" s="236"/>
      <c r="AO302" s="114"/>
    </row>
    <row r="303" ht="15.75" customHeight="1">
      <c r="C303" s="114"/>
      <c r="D303" s="114"/>
      <c r="E303" s="114"/>
      <c r="F303" s="114"/>
      <c r="G303" s="114"/>
      <c r="H303" s="114"/>
      <c r="I303" s="114"/>
      <c r="J303" s="114"/>
      <c r="K303" s="114"/>
      <c r="L303" s="114"/>
      <c r="M303" s="114"/>
      <c r="N303" s="114"/>
      <c r="O303" s="242"/>
      <c r="P303" s="243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  <c r="AB303" s="114"/>
      <c r="AC303" s="114"/>
      <c r="AD303" s="114"/>
      <c r="AE303" s="114"/>
      <c r="AF303" s="114"/>
      <c r="AM303" s="114"/>
      <c r="AN303" s="236"/>
      <c r="AO303" s="114"/>
    </row>
    <row r="304" ht="15.75" customHeight="1">
      <c r="C304" s="114"/>
      <c r="D304" s="114"/>
      <c r="E304" s="114"/>
      <c r="F304" s="114"/>
      <c r="G304" s="114"/>
      <c r="H304" s="114"/>
      <c r="I304" s="114"/>
      <c r="J304" s="114"/>
      <c r="K304" s="114"/>
      <c r="L304" s="114"/>
      <c r="M304" s="114"/>
      <c r="N304" s="114"/>
      <c r="O304" s="242"/>
      <c r="P304" s="243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  <c r="AB304" s="114"/>
      <c r="AC304" s="114"/>
      <c r="AD304" s="114"/>
      <c r="AE304" s="114"/>
      <c r="AF304" s="114"/>
      <c r="AM304" s="114"/>
      <c r="AN304" s="236"/>
      <c r="AO304" s="114"/>
    </row>
    <row r="305" ht="15.75" customHeight="1">
      <c r="C305" s="114"/>
      <c r="D305" s="114"/>
      <c r="E305" s="114"/>
      <c r="F305" s="114"/>
      <c r="G305" s="114"/>
      <c r="H305" s="114"/>
      <c r="I305" s="114"/>
      <c r="J305" s="114"/>
      <c r="K305" s="114"/>
      <c r="L305" s="114"/>
      <c r="M305" s="114"/>
      <c r="N305" s="114"/>
      <c r="O305" s="242"/>
      <c r="P305" s="243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  <c r="AB305" s="114"/>
      <c r="AC305" s="114"/>
      <c r="AD305" s="114"/>
      <c r="AE305" s="114"/>
      <c r="AF305" s="114"/>
      <c r="AM305" s="114"/>
      <c r="AN305" s="236"/>
      <c r="AO305" s="114"/>
    </row>
    <row r="306" ht="15.75" customHeight="1">
      <c r="C306" s="114"/>
      <c r="D306" s="114"/>
      <c r="E306" s="114"/>
      <c r="F306" s="114"/>
      <c r="G306" s="114"/>
      <c r="H306" s="114"/>
      <c r="I306" s="114"/>
      <c r="J306" s="114"/>
      <c r="K306" s="114"/>
      <c r="L306" s="114"/>
      <c r="M306" s="114"/>
      <c r="N306" s="114"/>
      <c r="O306" s="242"/>
      <c r="P306" s="243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  <c r="AB306" s="114"/>
      <c r="AC306" s="114"/>
      <c r="AD306" s="114"/>
      <c r="AE306" s="114"/>
      <c r="AF306" s="114"/>
      <c r="AM306" s="114"/>
      <c r="AN306" s="236"/>
      <c r="AO306" s="114"/>
    </row>
    <row r="307" ht="15.75" customHeight="1">
      <c r="C307" s="114"/>
      <c r="D307" s="114"/>
      <c r="E307" s="114"/>
      <c r="F307" s="114"/>
      <c r="G307" s="114"/>
      <c r="H307" s="114"/>
      <c r="I307" s="114"/>
      <c r="J307" s="114"/>
      <c r="K307" s="114"/>
      <c r="L307" s="114"/>
      <c r="M307" s="114"/>
      <c r="N307" s="114"/>
      <c r="O307" s="242"/>
      <c r="P307" s="243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  <c r="AB307" s="114"/>
      <c r="AC307" s="114"/>
      <c r="AD307" s="114"/>
      <c r="AE307" s="114"/>
      <c r="AF307" s="114"/>
      <c r="AM307" s="114"/>
      <c r="AN307" s="236"/>
      <c r="AO307" s="114"/>
    </row>
    <row r="308" ht="15.75" customHeight="1">
      <c r="C308" s="114"/>
      <c r="D308" s="114"/>
      <c r="E308" s="114"/>
      <c r="F308" s="114"/>
      <c r="G308" s="114"/>
      <c r="H308" s="114"/>
      <c r="I308" s="114"/>
      <c r="J308" s="114"/>
      <c r="K308" s="114"/>
      <c r="L308" s="114"/>
      <c r="M308" s="114"/>
      <c r="N308" s="114"/>
      <c r="O308" s="242"/>
      <c r="P308" s="243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  <c r="AB308" s="114"/>
      <c r="AC308" s="114"/>
      <c r="AD308" s="114"/>
      <c r="AE308" s="114"/>
      <c r="AF308" s="114"/>
      <c r="AM308" s="114"/>
      <c r="AN308" s="236"/>
      <c r="AO308" s="114"/>
    </row>
    <row r="309" ht="15.75" customHeight="1">
      <c r="C309" s="114"/>
      <c r="D309" s="114"/>
      <c r="E309" s="114"/>
      <c r="F309" s="114"/>
      <c r="G309" s="114"/>
      <c r="H309" s="114"/>
      <c r="I309" s="114"/>
      <c r="J309" s="114"/>
      <c r="K309" s="114"/>
      <c r="L309" s="114"/>
      <c r="M309" s="114"/>
      <c r="N309" s="114"/>
      <c r="O309" s="242"/>
      <c r="P309" s="243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  <c r="AB309" s="114"/>
      <c r="AC309" s="114"/>
      <c r="AD309" s="114"/>
      <c r="AE309" s="114"/>
      <c r="AF309" s="114"/>
      <c r="AM309" s="114"/>
      <c r="AN309" s="236"/>
      <c r="AO309" s="114"/>
    </row>
    <row r="310" ht="15.75" customHeight="1">
      <c r="C310" s="114"/>
      <c r="D310" s="114"/>
      <c r="E310" s="114"/>
      <c r="F310" s="114"/>
      <c r="G310" s="114"/>
      <c r="H310" s="114"/>
      <c r="I310" s="114"/>
      <c r="J310" s="114"/>
      <c r="K310" s="114"/>
      <c r="L310" s="114"/>
      <c r="M310" s="114"/>
      <c r="N310" s="114"/>
      <c r="O310" s="242"/>
      <c r="P310" s="243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  <c r="AB310" s="114"/>
      <c r="AC310" s="114"/>
      <c r="AD310" s="114"/>
      <c r="AE310" s="114"/>
      <c r="AF310" s="114"/>
      <c r="AM310" s="114"/>
      <c r="AN310" s="236"/>
      <c r="AO310" s="114"/>
    </row>
    <row r="311" ht="15.75" customHeight="1">
      <c r="C311" s="114"/>
      <c r="D311" s="114"/>
      <c r="E311" s="114"/>
      <c r="F311" s="114"/>
      <c r="G311" s="114"/>
      <c r="H311" s="114"/>
      <c r="I311" s="114"/>
      <c r="J311" s="114"/>
      <c r="K311" s="114"/>
      <c r="L311" s="114"/>
      <c r="M311" s="114"/>
      <c r="N311" s="114"/>
      <c r="O311" s="242"/>
      <c r="P311" s="243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  <c r="AB311" s="114"/>
      <c r="AC311" s="114"/>
      <c r="AD311" s="114"/>
      <c r="AE311" s="114"/>
      <c r="AF311" s="114"/>
      <c r="AM311" s="114"/>
      <c r="AN311" s="236"/>
      <c r="AO311" s="114"/>
    </row>
    <row r="312" ht="15.75" customHeight="1">
      <c r="C312" s="114"/>
      <c r="D312" s="114"/>
      <c r="E312" s="114"/>
      <c r="F312" s="114"/>
      <c r="G312" s="114"/>
      <c r="H312" s="114"/>
      <c r="I312" s="114"/>
      <c r="J312" s="114"/>
      <c r="K312" s="114"/>
      <c r="L312" s="114"/>
      <c r="M312" s="114"/>
      <c r="N312" s="114"/>
      <c r="O312" s="242"/>
      <c r="P312" s="243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  <c r="AB312" s="114"/>
      <c r="AC312" s="114"/>
      <c r="AD312" s="114"/>
      <c r="AE312" s="114"/>
      <c r="AF312" s="114"/>
      <c r="AM312" s="114"/>
      <c r="AN312" s="236"/>
      <c r="AO312" s="114"/>
    </row>
    <row r="313" ht="15.75" customHeight="1">
      <c r="C313" s="114"/>
      <c r="D313" s="114"/>
      <c r="E313" s="114"/>
      <c r="F313" s="114"/>
      <c r="G313" s="114"/>
      <c r="H313" s="114"/>
      <c r="I313" s="114"/>
      <c r="J313" s="114"/>
      <c r="K313" s="114"/>
      <c r="L313" s="114"/>
      <c r="M313" s="114"/>
      <c r="N313" s="114"/>
      <c r="O313" s="242"/>
      <c r="P313" s="243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  <c r="AB313" s="114"/>
      <c r="AC313" s="114"/>
      <c r="AD313" s="114"/>
      <c r="AE313" s="114"/>
      <c r="AF313" s="114"/>
      <c r="AM313" s="114"/>
      <c r="AN313" s="236"/>
      <c r="AO313" s="114"/>
    </row>
    <row r="314" ht="15.75" customHeight="1">
      <c r="C314" s="114"/>
      <c r="D314" s="114"/>
      <c r="E314" s="114"/>
      <c r="F314" s="114"/>
      <c r="G314" s="114"/>
      <c r="H314" s="114"/>
      <c r="I314" s="114"/>
      <c r="J314" s="114"/>
      <c r="K314" s="114"/>
      <c r="L314" s="114"/>
      <c r="M314" s="114"/>
      <c r="N314" s="114"/>
      <c r="O314" s="242"/>
      <c r="P314" s="243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  <c r="AB314" s="114"/>
      <c r="AC314" s="114"/>
      <c r="AD314" s="114"/>
      <c r="AE314" s="114"/>
      <c r="AF314" s="114"/>
      <c r="AM314" s="114"/>
      <c r="AN314" s="236"/>
      <c r="AO314" s="114"/>
    </row>
    <row r="315" ht="15.75" customHeight="1">
      <c r="C315" s="114"/>
      <c r="D315" s="114"/>
      <c r="E315" s="114"/>
      <c r="F315" s="114"/>
      <c r="G315" s="114"/>
      <c r="H315" s="114"/>
      <c r="I315" s="114"/>
      <c r="J315" s="114"/>
      <c r="K315" s="114"/>
      <c r="L315" s="114"/>
      <c r="M315" s="114"/>
      <c r="N315" s="114"/>
      <c r="O315" s="242"/>
      <c r="P315" s="243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  <c r="AB315" s="114"/>
      <c r="AC315" s="114"/>
      <c r="AD315" s="114"/>
      <c r="AE315" s="114"/>
      <c r="AF315" s="114"/>
      <c r="AM315" s="114"/>
      <c r="AN315" s="236"/>
      <c r="AO315" s="114"/>
    </row>
    <row r="316" ht="15.75" customHeight="1">
      <c r="C316" s="114"/>
      <c r="D316" s="114"/>
      <c r="E316" s="114"/>
      <c r="F316" s="114"/>
      <c r="G316" s="114"/>
      <c r="H316" s="114"/>
      <c r="I316" s="114"/>
      <c r="J316" s="114"/>
      <c r="K316" s="114"/>
      <c r="L316" s="114"/>
      <c r="M316" s="114"/>
      <c r="N316" s="114"/>
      <c r="O316" s="242"/>
      <c r="P316" s="243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  <c r="AB316" s="114"/>
      <c r="AC316" s="114"/>
      <c r="AD316" s="114"/>
      <c r="AE316" s="114"/>
      <c r="AF316" s="114"/>
      <c r="AM316" s="114"/>
      <c r="AN316" s="236"/>
      <c r="AO316" s="114"/>
    </row>
    <row r="317" ht="15.75" customHeight="1">
      <c r="C317" s="114"/>
      <c r="D317" s="114"/>
      <c r="E317" s="114"/>
      <c r="F317" s="114"/>
      <c r="G317" s="114"/>
      <c r="H317" s="114"/>
      <c r="I317" s="114"/>
      <c r="J317" s="114"/>
      <c r="K317" s="114"/>
      <c r="L317" s="114"/>
      <c r="M317" s="114"/>
      <c r="N317" s="114"/>
      <c r="O317" s="242"/>
      <c r="P317" s="243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  <c r="AB317" s="114"/>
      <c r="AC317" s="114"/>
      <c r="AD317" s="114"/>
      <c r="AE317" s="114"/>
      <c r="AF317" s="114"/>
      <c r="AM317" s="114"/>
      <c r="AN317" s="236"/>
      <c r="AO317" s="114"/>
    </row>
    <row r="318" ht="15.75" customHeight="1">
      <c r="C318" s="114"/>
      <c r="D318" s="114"/>
      <c r="E318" s="114"/>
      <c r="F318" s="114"/>
      <c r="G318" s="114"/>
      <c r="H318" s="114"/>
      <c r="I318" s="114"/>
      <c r="J318" s="114"/>
      <c r="K318" s="114"/>
      <c r="L318" s="114"/>
      <c r="M318" s="114"/>
      <c r="N318" s="114"/>
      <c r="O318" s="242"/>
      <c r="P318" s="243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  <c r="AA318" s="114"/>
      <c r="AB318" s="114"/>
      <c r="AC318" s="114"/>
      <c r="AD318" s="114"/>
      <c r="AE318" s="114"/>
      <c r="AF318" s="114"/>
      <c r="AM318" s="114"/>
      <c r="AN318" s="236"/>
      <c r="AO318" s="114"/>
    </row>
    <row r="319" ht="15.75" customHeight="1">
      <c r="C319" s="114"/>
      <c r="D319" s="114"/>
      <c r="E319" s="114"/>
      <c r="F319" s="114"/>
      <c r="G319" s="114"/>
      <c r="H319" s="114"/>
      <c r="I319" s="114"/>
      <c r="J319" s="114"/>
      <c r="K319" s="114"/>
      <c r="L319" s="114"/>
      <c r="M319" s="114"/>
      <c r="N319" s="114"/>
      <c r="O319" s="242"/>
      <c r="P319" s="243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  <c r="AB319" s="114"/>
      <c r="AC319" s="114"/>
      <c r="AD319" s="114"/>
      <c r="AE319" s="114"/>
      <c r="AF319" s="114"/>
      <c r="AM319" s="114"/>
      <c r="AN319" s="236"/>
      <c r="AO319" s="114"/>
    </row>
    <row r="320" ht="15.75" customHeight="1">
      <c r="C320" s="114"/>
      <c r="D320" s="114"/>
      <c r="E320" s="114"/>
      <c r="F320" s="114"/>
      <c r="G320" s="114"/>
      <c r="H320" s="114"/>
      <c r="I320" s="114"/>
      <c r="J320" s="114"/>
      <c r="K320" s="114"/>
      <c r="L320" s="114"/>
      <c r="M320" s="114"/>
      <c r="N320" s="114"/>
      <c r="O320" s="242"/>
      <c r="P320" s="243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  <c r="AB320" s="114"/>
      <c r="AC320" s="114"/>
      <c r="AD320" s="114"/>
      <c r="AE320" s="114"/>
      <c r="AF320" s="114"/>
      <c r="AM320" s="114"/>
      <c r="AN320" s="236"/>
      <c r="AO320" s="114"/>
    </row>
    <row r="321" ht="15.75" customHeight="1">
      <c r="C321" s="114"/>
      <c r="D321" s="114"/>
      <c r="E321" s="114"/>
      <c r="F321" s="114"/>
      <c r="G321" s="114"/>
      <c r="H321" s="114"/>
      <c r="I321" s="114"/>
      <c r="J321" s="114"/>
      <c r="K321" s="114"/>
      <c r="L321" s="114"/>
      <c r="M321" s="114"/>
      <c r="N321" s="114"/>
      <c r="O321" s="242"/>
      <c r="P321" s="243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  <c r="AB321" s="114"/>
      <c r="AC321" s="114"/>
      <c r="AD321" s="114"/>
      <c r="AE321" s="114"/>
      <c r="AF321" s="114"/>
      <c r="AM321" s="114"/>
      <c r="AN321" s="236"/>
      <c r="AO321" s="114"/>
    </row>
    <row r="322" ht="15.75" customHeight="1">
      <c r="C322" s="114"/>
      <c r="D322" s="114"/>
      <c r="E322" s="114"/>
      <c r="F322" s="114"/>
      <c r="G322" s="114"/>
      <c r="H322" s="114"/>
      <c r="I322" s="114"/>
      <c r="J322" s="114"/>
      <c r="K322" s="114"/>
      <c r="L322" s="114"/>
      <c r="M322" s="114"/>
      <c r="N322" s="114"/>
      <c r="O322" s="242"/>
      <c r="P322" s="243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  <c r="AA322" s="114"/>
      <c r="AB322" s="114"/>
      <c r="AC322" s="114"/>
      <c r="AD322" s="114"/>
      <c r="AE322" s="114"/>
      <c r="AF322" s="114"/>
      <c r="AM322" s="114"/>
      <c r="AN322" s="236"/>
      <c r="AO322" s="114"/>
    </row>
    <row r="323" ht="15.75" customHeight="1">
      <c r="C323" s="114"/>
      <c r="D323" s="114"/>
      <c r="E323" s="114"/>
      <c r="F323" s="114"/>
      <c r="G323" s="114"/>
      <c r="H323" s="114"/>
      <c r="I323" s="114"/>
      <c r="J323" s="114"/>
      <c r="K323" s="114"/>
      <c r="L323" s="114"/>
      <c r="M323" s="114"/>
      <c r="N323" s="114"/>
      <c r="O323" s="242"/>
      <c r="P323" s="243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  <c r="AB323" s="114"/>
      <c r="AC323" s="114"/>
      <c r="AD323" s="114"/>
      <c r="AE323" s="114"/>
      <c r="AF323" s="114"/>
      <c r="AM323" s="114"/>
      <c r="AN323" s="236"/>
      <c r="AO323" s="114"/>
    </row>
    <row r="324" ht="15.75" customHeight="1">
      <c r="C324" s="114"/>
      <c r="D324" s="114"/>
      <c r="E324" s="114"/>
      <c r="F324" s="114"/>
      <c r="G324" s="114"/>
      <c r="H324" s="114"/>
      <c r="I324" s="114"/>
      <c r="J324" s="114"/>
      <c r="K324" s="114"/>
      <c r="L324" s="114"/>
      <c r="M324" s="114"/>
      <c r="N324" s="114"/>
      <c r="O324" s="242"/>
      <c r="P324" s="243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  <c r="AB324" s="114"/>
      <c r="AC324" s="114"/>
      <c r="AD324" s="114"/>
      <c r="AE324" s="114"/>
      <c r="AF324" s="114"/>
      <c r="AM324" s="114"/>
      <c r="AN324" s="236"/>
      <c r="AO324" s="114"/>
    </row>
    <row r="325" ht="15.75" customHeight="1">
      <c r="C325" s="114"/>
      <c r="D325" s="114"/>
      <c r="E325" s="114"/>
      <c r="F325" s="114"/>
      <c r="G325" s="114"/>
      <c r="H325" s="114"/>
      <c r="I325" s="114"/>
      <c r="J325" s="114"/>
      <c r="K325" s="114"/>
      <c r="L325" s="114"/>
      <c r="M325" s="114"/>
      <c r="N325" s="114"/>
      <c r="O325" s="242"/>
      <c r="P325" s="243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  <c r="AB325" s="114"/>
      <c r="AC325" s="114"/>
      <c r="AD325" s="114"/>
      <c r="AE325" s="114"/>
      <c r="AF325" s="114"/>
      <c r="AM325" s="114"/>
      <c r="AN325" s="236"/>
      <c r="AO325" s="114"/>
    </row>
    <row r="326" ht="15.75" customHeight="1">
      <c r="C326" s="114"/>
      <c r="D326" s="114"/>
      <c r="E326" s="114"/>
      <c r="F326" s="114"/>
      <c r="G326" s="114"/>
      <c r="H326" s="114"/>
      <c r="I326" s="114"/>
      <c r="J326" s="114"/>
      <c r="K326" s="114"/>
      <c r="L326" s="114"/>
      <c r="M326" s="114"/>
      <c r="N326" s="114"/>
      <c r="O326" s="242"/>
      <c r="P326" s="243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  <c r="AB326" s="114"/>
      <c r="AC326" s="114"/>
      <c r="AD326" s="114"/>
      <c r="AE326" s="114"/>
      <c r="AF326" s="114"/>
      <c r="AM326" s="114"/>
      <c r="AN326" s="236"/>
      <c r="AO326" s="114"/>
    </row>
    <row r="327" ht="15.75" customHeight="1">
      <c r="C327" s="114"/>
      <c r="D327" s="114"/>
      <c r="E327" s="114"/>
      <c r="F327" s="114"/>
      <c r="G327" s="114"/>
      <c r="H327" s="114"/>
      <c r="I327" s="114"/>
      <c r="J327" s="114"/>
      <c r="K327" s="114"/>
      <c r="L327" s="114"/>
      <c r="M327" s="114"/>
      <c r="N327" s="114"/>
      <c r="O327" s="242"/>
      <c r="P327" s="243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  <c r="AB327" s="114"/>
      <c r="AC327" s="114"/>
      <c r="AD327" s="114"/>
      <c r="AE327" s="114"/>
      <c r="AF327" s="114"/>
      <c r="AM327" s="114"/>
      <c r="AN327" s="236"/>
      <c r="AO327" s="114"/>
    </row>
    <row r="328" ht="15.75" customHeight="1">
      <c r="C328" s="114"/>
      <c r="D328" s="114"/>
      <c r="E328" s="114"/>
      <c r="F328" s="114"/>
      <c r="G328" s="114"/>
      <c r="H328" s="114"/>
      <c r="I328" s="114"/>
      <c r="J328" s="114"/>
      <c r="K328" s="114"/>
      <c r="L328" s="114"/>
      <c r="M328" s="114"/>
      <c r="N328" s="114"/>
      <c r="O328" s="242"/>
      <c r="P328" s="243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  <c r="AB328" s="114"/>
      <c r="AC328" s="114"/>
      <c r="AD328" s="114"/>
      <c r="AE328" s="114"/>
      <c r="AF328" s="114"/>
      <c r="AM328" s="114"/>
      <c r="AN328" s="236"/>
      <c r="AO328" s="114"/>
    </row>
    <row r="329" ht="15.75" customHeight="1">
      <c r="C329" s="114"/>
      <c r="D329" s="114"/>
      <c r="E329" s="114"/>
      <c r="F329" s="114"/>
      <c r="G329" s="114"/>
      <c r="H329" s="114"/>
      <c r="I329" s="114"/>
      <c r="J329" s="114"/>
      <c r="K329" s="114"/>
      <c r="L329" s="114"/>
      <c r="M329" s="114"/>
      <c r="N329" s="114"/>
      <c r="O329" s="242"/>
      <c r="P329" s="243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  <c r="AB329" s="114"/>
      <c r="AC329" s="114"/>
      <c r="AD329" s="114"/>
      <c r="AE329" s="114"/>
      <c r="AF329" s="114"/>
      <c r="AM329" s="114"/>
      <c r="AN329" s="236"/>
      <c r="AO329" s="114"/>
    </row>
    <row r="330" ht="15.75" customHeight="1">
      <c r="C330" s="114"/>
      <c r="D330" s="114"/>
      <c r="E330" s="114"/>
      <c r="F330" s="114"/>
      <c r="G330" s="114"/>
      <c r="H330" s="114"/>
      <c r="I330" s="114"/>
      <c r="J330" s="114"/>
      <c r="K330" s="114"/>
      <c r="L330" s="114"/>
      <c r="M330" s="114"/>
      <c r="N330" s="114"/>
      <c r="O330" s="242"/>
      <c r="P330" s="243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  <c r="AB330" s="114"/>
      <c r="AC330" s="114"/>
      <c r="AD330" s="114"/>
      <c r="AE330" s="114"/>
      <c r="AF330" s="114"/>
      <c r="AM330" s="114"/>
      <c r="AN330" s="236"/>
      <c r="AO330" s="114"/>
    </row>
    <row r="331" ht="15.75" customHeight="1">
      <c r="C331" s="114"/>
      <c r="D331" s="114"/>
      <c r="E331" s="114"/>
      <c r="F331" s="114"/>
      <c r="G331" s="114"/>
      <c r="H331" s="114"/>
      <c r="I331" s="114"/>
      <c r="J331" s="114"/>
      <c r="K331" s="114"/>
      <c r="L331" s="114"/>
      <c r="M331" s="114"/>
      <c r="N331" s="114"/>
      <c r="O331" s="242"/>
      <c r="P331" s="243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  <c r="AB331" s="114"/>
      <c r="AC331" s="114"/>
      <c r="AD331" s="114"/>
      <c r="AE331" s="114"/>
      <c r="AF331" s="114"/>
      <c r="AM331" s="114"/>
      <c r="AN331" s="236"/>
      <c r="AO331" s="114"/>
    </row>
    <row r="332" ht="15.75" customHeight="1">
      <c r="C332" s="114"/>
      <c r="D332" s="114"/>
      <c r="E332" s="114"/>
      <c r="F332" s="114"/>
      <c r="G332" s="114"/>
      <c r="H332" s="114"/>
      <c r="I332" s="114"/>
      <c r="J332" s="114"/>
      <c r="K332" s="114"/>
      <c r="L332" s="114"/>
      <c r="M332" s="114"/>
      <c r="N332" s="114"/>
      <c r="O332" s="242"/>
      <c r="P332" s="243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  <c r="AB332" s="114"/>
      <c r="AC332" s="114"/>
      <c r="AD332" s="114"/>
      <c r="AE332" s="114"/>
      <c r="AF332" s="114"/>
      <c r="AM332" s="114"/>
      <c r="AN332" s="236"/>
      <c r="AO332" s="114"/>
    </row>
    <row r="333" ht="15.75" customHeight="1">
      <c r="C333" s="114"/>
      <c r="D333" s="114"/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  <c r="O333" s="242"/>
      <c r="P333" s="243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  <c r="AB333" s="114"/>
      <c r="AC333" s="114"/>
      <c r="AD333" s="114"/>
      <c r="AE333" s="114"/>
      <c r="AF333" s="114"/>
      <c r="AM333" s="114"/>
      <c r="AN333" s="236"/>
      <c r="AO333" s="114"/>
    </row>
    <row r="334" ht="15.75" customHeight="1">
      <c r="C334" s="114"/>
      <c r="D334" s="114"/>
      <c r="E334" s="114"/>
      <c r="F334" s="114"/>
      <c r="G334" s="114"/>
      <c r="H334" s="114"/>
      <c r="I334" s="114"/>
      <c r="J334" s="114"/>
      <c r="K334" s="114"/>
      <c r="L334" s="114"/>
      <c r="M334" s="114"/>
      <c r="N334" s="114"/>
      <c r="O334" s="242"/>
      <c r="P334" s="243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  <c r="AB334" s="114"/>
      <c r="AC334" s="114"/>
      <c r="AD334" s="114"/>
      <c r="AE334" s="114"/>
      <c r="AF334" s="114"/>
      <c r="AM334" s="114"/>
      <c r="AN334" s="236"/>
      <c r="AO334" s="114"/>
    </row>
    <row r="335" ht="15.75" customHeight="1">
      <c r="C335" s="114"/>
      <c r="D335" s="114"/>
      <c r="E335" s="114"/>
      <c r="F335" s="114"/>
      <c r="G335" s="114"/>
      <c r="H335" s="114"/>
      <c r="I335" s="114"/>
      <c r="J335" s="114"/>
      <c r="K335" s="114"/>
      <c r="L335" s="114"/>
      <c r="M335" s="114"/>
      <c r="N335" s="114"/>
      <c r="O335" s="242"/>
      <c r="P335" s="243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  <c r="AB335" s="114"/>
      <c r="AC335" s="114"/>
      <c r="AD335" s="114"/>
      <c r="AE335" s="114"/>
      <c r="AF335" s="114"/>
      <c r="AM335" s="114"/>
      <c r="AN335" s="236"/>
      <c r="AO335" s="114"/>
    </row>
    <row r="336" ht="15.75" customHeight="1">
      <c r="C336" s="114"/>
      <c r="D336" s="114"/>
      <c r="E336" s="114"/>
      <c r="F336" s="114"/>
      <c r="G336" s="114"/>
      <c r="H336" s="114"/>
      <c r="I336" s="114"/>
      <c r="J336" s="114"/>
      <c r="K336" s="114"/>
      <c r="L336" s="114"/>
      <c r="M336" s="114"/>
      <c r="N336" s="114"/>
      <c r="O336" s="242"/>
      <c r="P336" s="243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  <c r="AB336" s="114"/>
      <c r="AC336" s="114"/>
      <c r="AD336" s="114"/>
      <c r="AE336" s="114"/>
      <c r="AF336" s="114"/>
      <c r="AM336" s="114"/>
      <c r="AN336" s="236"/>
      <c r="AO336" s="114"/>
    </row>
    <row r="337" ht="15.75" customHeight="1">
      <c r="C337" s="114"/>
      <c r="D337" s="114"/>
      <c r="E337" s="114"/>
      <c r="F337" s="114"/>
      <c r="G337" s="114"/>
      <c r="H337" s="114"/>
      <c r="I337" s="114"/>
      <c r="J337" s="114"/>
      <c r="K337" s="114"/>
      <c r="L337" s="114"/>
      <c r="M337" s="114"/>
      <c r="N337" s="114"/>
      <c r="O337" s="242"/>
      <c r="P337" s="243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  <c r="AB337" s="114"/>
      <c r="AC337" s="114"/>
      <c r="AD337" s="114"/>
      <c r="AE337" s="114"/>
      <c r="AF337" s="114"/>
      <c r="AM337" s="114"/>
      <c r="AN337" s="236"/>
      <c r="AO337" s="114"/>
    </row>
    <row r="338" ht="15.75" customHeight="1">
      <c r="C338" s="114"/>
      <c r="D338" s="114"/>
      <c r="E338" s="114"/>
      <c r="F338" s="114"/>
      <c r="G338" s="114"/>
      <c r="H338" s="114"/>
      <c r="I338" s="114"/>
      <c r="J338" s="114"/>
      <c r="K338" s="114"/>
      <c r="L338" s="114"/>
      <c r="M338" s="114"/>
      <c r="N338" s="114"/>
      <c r="O338" s="242"/>
      <c r="P338" s="243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  <c r="AB338" s="114"/>
      <c r="AC338" s="114"/>
      <c r="AD338" s="114"/>
      <c r="AE338" s="114"/>
      <c r="AF338" s="114"/>
      <c r="AM338" s="114"/>
      <c r="AN338" s="236"/>
      <c r="AO338" s="114"/>
    </row>
    <row r="339" ht="15.75" customHeight="1">
      <c r="C339" s="114"/>
      <c r="D339" s="114"/>
      <c r="E339" s="114"/>
      <c r="F339" s="114"/>
      <c r="G339" s="114"/>
      <c r="H339" s="114"/>
      <c r="I339" s="114"/>
      <c r="J339" s="114"/>
      <c r="K339" s="114"/>
      <c r="L339" s="114"/>
      <c r="M339" s="114"/>
      <c r="N339" s="114"/>
      <c r="O339" s="242"/>
      <c r="P339" s="243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  <c r="AA339" s="114"/>
      <c r="AB339" s="114"/>
      <c r="AC339" s="114"/>
      <c r="AD339" s="114"/>
      <c r="AE339" s="114"/>
      <c r="AF339" s="114"/>
      <c r="AM339" s="114"/>
      <c r="AN339" s="236"/>
      <c r="AO339" s="114"/>
    </row>
    <row r="340" ht="15.75" customHeight="1">
      <c r="C340" s="114"/>
      <c r="D340" s="114"/>
      <c r="E340" s="114"/>
      <c r="F340" s="114"/>
      <c r="G340" s="114"/>
      <c r="H340" s="114"/>
      <c r="I340" s="114"/>
      <c r="J340" s="114"/>
      <c r="K340" s="114"/>
      <c r="L340" s="114"/>
      <c r="M340" s="114"/>
      <c r="N340" s="114"/>
      <c r="O340" s="242"/>
      <c r="P340" s="243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  <c r="AB340" s="114"/>
      <c r="AC340" s="114"/>
      <c r="AD340" s="114"/>
      <c r="AE340" s="114"/>
      <c r="AF340" s="114"/>
      <c r="AM340" s="114"/>
      <c r="AN340" s="236"/>
      <c r="AO340" s="114"/>
    </row>
    <row r="341" ht="15.75" customHeight="1">
      <c r="C341" s="114"/>
      <c r="D341" s="114"/>
      <c r="E341" s="114"/>
      <c r="F341" s="114"/>
      <c r="G341" s="114"/>
      <c r="H341" s="114"/>
      <c r="I341" s="114"/>
      <c r="J341" s="114"/>
      <c r="K341" s="114"/>
      <c r="L341" s="114"/>
      <c r="M341" s="114"/>
      <c r="N341" s="114"/>
      <c r="O341" s="242"/>
      <c r="P341" s="243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  <c r="AB341" s="114"/>
      <c r="AC341" s="114"/>
      <c r="AD341" s="114"/>
      <c r="AE341" s="114"/>
      <c r="AF341" s="114"/>
      <c r="AM341" s="114"/>
      <c r="AN341" s="236"/>
      <c r="AO341" s="114"/>
    </row>
    <row r="342" ht="15.75" customHeight="1">
      <c r="C342" s="114"/>
      <c r="D342" s="114"/>
      <c r="E342" s="114"/>
      <c r="F342" s="114"/>
      <c r="G342" s="114"/>
      <c r="H342" s="114"/>
      <c r="I342" s="114"/>
      <c r="J342" s="114"/>
      <c r="K342" s="114"/>
      <c r="L342" s="114"/>
      <c r="M342" s="114"/>
      <c r="N342" s="114"/>
      <c r="O342" s="242"/>
      <c r="P342" s="243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  <c r="AB342" s="114"/>
      <c r="AC342" s="114"/>
      <c r="AD342" s="114"/>
      <c r="AE342" s="114"/>
      <c r="AF342" s="114"/>
      <c r="AM342" s="114"/>
      <c r="AN342" s="236"/>
      <c r="AO342" s="114"/>
    </row>
    <row r="343" ht="15.75" customHeight="1">
      <c r="C343" s="114"/>
      <c r="D343" s="114"/>
      <c r="E343" s="114"/>
      <c r="F343" s="114"/>
      <c r="G343" s="114"/>
      <c r="H343" s="114"/>
      <c r="I343" s="114"/>
      <c r="J343" s="114"/>
      <c r="K343" s="114"/>
      <c r="L343" s="114"/>
      <c r="M343" s="114"/>
      <c r="N343" s="114"/>
      <c r="O343" s="242"/>
      <c r="P343" s="243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  <c r="AA343" s="114"/>
      <c r="AB343" s="114"/>
      <c r="AC343" s="114"/>
      <c r="AD343" s="114"/>
      <c r="AE343" s="114"/>
      <c r="AF343" s="114"/>
      <c r="AM343" s="114"/>
      <c r="AN343" s="236"/>
      <c r="AO343" s="114"/>
    </row>
    <row r="344" ht="15.75" customHeight="1">
      <c r="C344" s="114"/>
      <c r="D344" s="114"/>
      <c r="E344" s="114"/>
      <c r="F344" s="114"/>
      <c r="G344" s="114"/>
      <c r="H344" s="114"/>
      <c r="I344" s="114"/>
      <c r="J344" s="114"/>
      <c r="K344" s="114"/>
      <c r="L344" s="114"/>
      <c r="M344" s="114"/>
      <c r="N344" s="114"/>
      <c r="O344" s="242"/>
      <c r="P344" s="243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  <c r="AB344" s="114"/>
      <c r="AC344" s="114"/>
      <c r="AD344" s="114"/>
      <c r="AE344" s="114"/>
      <c r="AF344" s="114"/>
      <c r="AM344" s="114"/>
      <c r="AN344" s="236"/>
      <c r="AO344" s="114"/>
    </row>
    <row r="345" ht="15.75" customHeight="1">
      <c r="C345" s="114"/>
      <c r="D345" s="114"/>
      <c r="E345" s="114"/>
      <c r="F345" s="114"/>
      <c r="G345" s="114"/>
      <c r="H345" s="114"/>
      <c r="I345" s="114"/>
      <c r="J345" s="114"/>
      <c r="K345" s="114"/>
      <c r="L345" s="114"/>
      <c r="M345" s="114"/>
      <c r="N345" s="114"/>
      <c r="O345" s="242"/>
      <c r="P345" s="243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  <c r="AB345" s="114"/>
      <c r="AC345" s="114"/>
      <c r="AD345" s="114"/>
      <c r="AE345" s="114"/>
      <c r="AF345" s="114"/>
      <c r="AM345" s="114"/>
      <c r="AN345" s="236"/>
      <c r="AO345" s="114"/>
    </row>
    <row r="346" ht="15.75" customHeight="1">
      <c r="C346" s="114"/>
      <c r="D346" s="114"/>
      <c r="E346" s="114"/>
      <c r="F346" s="114"/>
      <c r="G346" s="114"/>
      <c r="H346" s="114"/>
      <c r="I346" s="114"/>
      <c r="J346" s="114"/>
      <c r="K346" s="114"/>
      <c r="L346" s="114"/>
      <c r="M346" s="114"/>
      <c r="N346" s="114"/>
      <c r="O346" s="242"/>
      <c r="P346" s="243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  <c r="AB346" s="114"/>
      <c r="AC346" s="114"/>
      <c r="AD346" s="114"/>
      <c r="AE346" s="114"/>
      <c r="AF346" s="114"/>
      <c r="AM346" s="114"/>
      <c r="AN346" s="236"/>
      <c r="AO346" s="114"/>
    </row>
    <row r="347" ht="15.75" customHeight="1">
      <c r="C347" s="114"/>
      <c r="D347" s="114"/>
      <c r="E347" s="114"/>
      <c r="F347" s="114"/>
      <c r="G347" s="114"/>
      <c r="H347" s="114"/>
      <c r="I347" s="114"/>
      <c r="J347" s="114"/>
      <c r="K347" s="114"/>
      <c r="L347" s="114"/>
      <c r="M347" s="114"/>
      <c r="N347" s="114"/>
      <c r="O347" s="242"/>
      <c r="P347" s="243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  <c r="AB347" s="114"/>
      <c r="AC347" s="114"/>
      <c r="AD347" s="114"/>
      <c r="AE347" s="114"/>
      <c r="AF347" s="114"/>
      <c r="AM347" s="114"/>
      <c r="AN347" s="236"/>
      <c r="AO347" s="114"/>
    </row>
    <row r="348" ht="15.75" customHeight="1">
      <c r="C348" s="114"/>
      <c r="D348" s="114"/>
      <c r="E348" s="114"/>
      <c r="F348" s="114"/>
      <c r="G348" s="114"/>
      <c r="H348" s="114"/>
      <c r="I348" s="114"/>
      <c r="J348" s="114"/>
      <c r="K348" s="114"/>
      <c r="L348" s="114"/>
      <c r="M348" s="114"/>
      <c r="N348" s="114"/>
      <c r="O348" s="242"/>
      <c r="P348" s="243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  <c r="AB348" s="114"/>
      <c r="AC348" s="114"/>
      <c r="AD348" s="114"/>
      <c r="AE348" s="114"/>
      <c r="AF348" s="114"/>
      <c r="AM348" s="114"/>
      <c r="AN348" s="236"/>
      <c r="AO348" s="114"/>
    </row>
    <row r="349" ht="15.75" customHeight="1">
      <c r="C349" s="114"/>
      <c r="D349" s="114"/>
      <c r="E349" s="114"/>
      <c r="F349" s="114"/>
      <c r="G349" s="114"/>
      <c r="H349" s="114"/>
      <c r="I349" s="114"/>
      <c r="J349" s="114"/>
      <c r="K349" s="114"/>
      <c r="L349" s="114"/>
      <c r="M349" s="114"/>
      <c r="N349" s="114"/>
      <c r="O349" s="242"/>
      <c r="P349" s="243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  <c r="AB349" s="114"/>
      <c r="AC349" s="114"/>
      <c r="AD349" s="114"/>
      <c r="AE349" s="114"/>
      <c r="AF349" s="114"/>
      <c r="AM349" s="114"/>
      <c r="AN349" s="236"/>
      <c r="AO349" s="114"/>
    </row>
    <row r="350" ht="15.75" customHeight="1">
      <c r="C350" s="114"/>
      <c r="D350" s="114"/>
      <c r="E350" s="114"/>
      <c r="F350" s="114"/>
      <c r="G350" s="114"/>
      <c r="H350" s="114"/>
      <c r="I350" s="114"/>
      <c r="J350" s="114"/>
      <c r="K350" s="114"/>
      <c r="L350" s="114"/>
      <c r="M350" s="114"/>
      <c r="N350" s="114"/>
      <c r="O350" s="242"/>
      <c r="P350" s="243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  <c r="AB350" s="114"/>
      <c r="AC350" s="114"/>
      <c r="AD350" s="114"/>
      <c r="AE350" s="114"/>
      <c r="AF350" s="114"/>
      <c r="AM350" s="114"/>
      <c r="AN350" s="236"/>
      <c r="AO350" s="114"/>
    </row>
    <row r="351" ht="15.75" customHeight="1">
      <c r="C351" s="114"/>
      <c r="D351" s="114"/>
      <c r="E351" s="114"/>
      <c r="F351" s="114"/>
      <c r="G351" s="114"/>
      <c r="H351" s="114"/>
      <c r="I351" s="114"/>
      <c r="J351" s="114"/>
      <c r="K351" s="114"/>
      <c r="L351" s="114"/>
      <c r="M351" s="114"/>
      <c r="N351" s="114"/>
      <c r="O351" s="242"/>
      <c r="P351" s="243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  <c r="AB351" s="114"/>
      <c r="AC351" s="114"/>
      <c r="AD351" s="114"/>
      <c r="AE351" s="114"/>
      <c r="AF351" s="114"/>
      <c r="AM351" s="114"/>
      <c r="AN351" s="236"/>
      <c r="AO351" s="114"/>
    </row>
    <row r="352" ht="15.75" customHeight="1">
      <c r="C352" s="114"/>
      <c r="D352" s="114"/>
      <c r="E352" s="114"/>
      <c r="F352" s="114"/>
      <c r="G352" s="114"/>
      <c r="H352" s="114"/>
      <c r="I352" s="114"/>
      <c r="J352" s="114"/>
      <c r="K352" s="114"/>
      <c r="L352" s="114"/>
      <c r="M352" s="114"/>
      <c r="N352" s="114"/>
      <c r="O352" s="242"/>
      <c r="P352" s="243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  <c r="AB352" s="114"/>
      <c r="AC352" s="114"/>
      <c r="AD352" s="114"/>
      <c r="AE352" s="114"/>
      <c r="AF352" s="114"/>
      <c r="AM352" s="114"/>
      <c r="AN352" s="236"/>
      <c r="AO352" s="114"/>
    </row>
    <row r="353" ht="15.75" customHeight="1">
      <c r="C353" s="114"/>
      <c r="D353" s="114"/>
      <c r="E353" s="114"/>
      <c r="F353" s="114"/>
      <c r="G353" s="114"/>
      <c r="H353" s="114"/>
      <c r="I353" s="114"/>
      <c r="J353" s="114"/>
      <c r="K353" s="114"/>
      <c r="L353" s="114"/>
      <c r="M353" s="114"/>
      <c r="N353" s="114"/>
      <c r="O353" s="242"/>
      <c r="P353" s="243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  <c r="AB353" s="114"/>
      <c r="AC353" s="114"/>
      <c r="AD353" s="114"/>
      <c r="AE353" s="114"/>
      <c r="AF353" s="114"/>
      <c r="AM353" s="114"/>
      <c r="AN353" s="236"/>
      <c r="AO353" s="114"/>
    </row>
    <row r="354" ht="15.75" customHeight="1">
      <c r="C354" s="114"/>
      <c r="D354" s="114"/>
      <c r="E354" s="114"/>
      <c r="F354" s="114"/>
      <c r="G354" s="114"/>
      <c r="H354" s="114"/>
      <c r="I354" s="114"/>
      <c r="J354" s="114"/>
      <c r="K354" s="114"/>
      <c r="L354" s="114"/>
      <c r="M354" s="114"/>
      <c r="N354" s="114"/>
      <c r="O354" s="242"/>
      <c r="P354" s="243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  <c r="AB354" s="114"/>
      <c r="AC354" s="114"/>
      <c r="AD354" s="114"/>
      <c r="AE354" s="114"/>
      <c r="AF354" s="114"/>
      <c r="AM354" s="114"/>
      <c r="AN354" s="236"/>
      <c r="AO354" s="114"/>
    </row>
    <row r="355" ht="15.75" customHeight="1">
      <c r="C355" s="114"/>
      <c r="D355" s="114"/>
      <c r="E355" s="114"/>
      <c r="F355" s="114"/>
      <c r="G355" s="114"/>
      <c r="H355" s="114"/>
      <c r="I355" s="114"/>
      <c r="J355" s="114"/>
      <c r="K355" s="114"/>
      <c r="L355" s="114"/>
      <c r="M355" s="114"/>
      <c r="N355" s="114"/>
      <c r="O355" s="242"/>
      <c r="P355" s="243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  <c r="AB355" s="114"/>
      <c r="AC355" s="114"/>
      <c r="AD355" s="114"/>
      <c r="AE355" s="114"/>
      <c r="AF355" s="114"/>
      <c r="AM355" s="114"/>
      <c r="AN355" s="236"/>
      <c r="AO355" s="114"/>
    </row>
    <row r="356" ht="15.75" customHeight="1">
      <c r="C356" s="114"/>
      <c r="D356" s="114"/>
      <c r="E356" s="114"/>
      <c r="F356" s="114"/>
      <c r="G356" s="114"/>
      <c r="H356" s="114"/>
      <c r="I356" s="114"/>
      <c r="J356" s="114"/>
      <c r="K356" s="114"/>
      <c r="L356" s="114"/>
      <c r="M356" s="114"/>
      <c r="N356" s="114"/>
      <c r="O356" s="242"/>
      <c r="P356" s="243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  <c r="AB356" s="114"/>
      <c r="AC356" s="114"/>
      <c r="AD356" s="114"/>
      <c r="AE356" s="114"/>
      <c r="AF356" s="114"/>
      <c r="AM356" s="114"/>
      <c r="AN356" s="236"/>
      <c r="AO356" s="114"/>
    </row>
    <row r="357" ht="15.75" customHeight="1">
      <c r="C357" s="114"/>
      <c r="D357" s="114"/>
      <c r="E357" s="114"/>
      <c r="F357" s="114"/>
      <c r="G357" s="114"/>
      <c r="H357" s="114"/>
      <c r="I357" s="114"/>
      <c r="J357" s="114"/>
      <c r="K357" s="114"/>
      <c r="L357" s="114"/>
      <c r="M357" s="114"/>
      <c r="N357" s="114"/>
      <c r="O357" s="242"/>
      <c r="P357" s="243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  <c r="AB357" s="114"/>
      <c r="AC357" s="114"/>
      <c r="AD357" s="114"/>
      <c r="AE357" s="114"/>
      <c r="AF357" s="114"/>
      <c r="AM357" s="114"/>
      <c r="AN357" s="236"/>
      <c r="AO357" s="114"/>
    </row>
    <row r="358" ht="15.75" customHeight="1">
      <c r="C358" s="114"/>
      <c r="D358" s="114"/>
      <c r="E358" s="114"/>
      <c r="F358" s="114"/>
      <c r="G358" s="114"/>
      <c r="H358" s="114"/>
      <c r="I358" s="114"/>
      <c r="J358" s="114"/>
      <c r="K358" s="114"/>
      <c r="L358" s="114"/>
      <c r="M358" s="114"/>
      <c r="N358" s="114"/>
      <c r="O358" s="242"/>
      <c r="P358" s="243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  <c r="AB358" s="114"/>
      <c r="AC358" s="114"/>
      <c r="AD358" s="114"/>
      <c r="AE358" s="114"/>
      <c r="AF358" s="114"/>
      <c r="AM358" s="114"/>
      <c r="AN358" s="236"/>
      <c r="AO358" s="114"/>
    </row>
    <row r="359" ht="15.75" customHeight="1">
      <c r="C359" s="114"/>
      <c r="D359" s="114"/>
      <c r="E359" s="114"/>
      <c r="F359" s="114"/>
      <c r="G359" s="114"/>
      <c r="H359" s="114"/>
      <c r="I359" s="114"/>
      <c r="J359" s="114"/>
      <c r="K359" s="114"/>
      <c r="L359" s="114"/>
      <c r="M359" s="114"/>
      <c r="N359" s="114"/>
      <c r="O359" s="242"/>
      <c r="P359" s="243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  <c r="AA359" s="114"/>
      <c r="AB359" s="114"/>
      <c r="AC359" s="114"/>
      <c r="AD359" s="114"/>
      <c r="AE359" s="114"/>
      <c r="AF359" s="114"/>
      <c r="AM359" s="114"/>
      <c r="AN359" s="236"/>
      <c r="AO359" s="114"/>
    </row>
    <row r="360" ht="15.75" customHeight="1">
      <c r="C360" s="114"/>
      <c r="D360" s="114"/>
      <c r="E360" s="114"/>
      <c r="F360" s="114"/>
      <c r="G360" s="114"/>
      <c r="H360" s="114"/>
      <c r="I360" s="114"/>
      <c r="J360" s="114"/>
      <c r="K360" s="114"/>
      <c r="L360" s="114"/>
      <c r="M360" s="114"/>
      <c r="N360" s="114"/>
      <c r="O360" s="242"/>
      <c r="P360" s="243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  <c r="AB360" s="114"/>
      <c r="AC360" s="114"/>
      <c r="AD360" s="114"/>
      <c r="AE360" s="114"/>
      <c r="AF360" s="114"/>
      <c r="AM360" s="114"/>
      <c r="AN360" s="236"/>
      <c r="AO360" s="114"/>
    </row>
    <row r="361" ht="15.75" customHeight="1">
      <c r="C361" s="114"/>
      <c r="D361" s="114"/>
      <c r="E361" s="114"/>
      <c r="F361" s="114"/>
      <c r="G361" s="114"/>
      <c r="H361" s="114"/>
      <c r="I361" s="114"/>
      <c r="J361" s="114"/>
      <c r="K361" s="114"/>
      <c r="L361" s="114"/>
      <c r="M361" s="114"/>
      <c r="N361" s="114"/>
      <c r="O361" s="242"/>
      <c r="P361" s="243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  <c r="AB361" s="114"/>
      <c r="AC361" s="114"/>
      <c r="AD361" s="114"/>
      <c r="AE361" s="114"/>
      <c r="AF361" s="114"/>
      <c r="AM361" s="114"/>
      <c r="AN361" s="236"/>
      <c r="AO361" s="114"/>
    </row>
    <row r="362" ht="15.75" customHeight="1">
      <c r="C362" s="114"/>
      <c r="D362" s="114"/>
      <c r="E362" s="114"/>
      <c r="F362" s="114"/>
      <c r="G362" s="114"/>
      <c r="H362" s="114"/>
      <c r="I362" s="114"/>
      <c r="J362" s="114"/>
      <c r="K362" s="114"/>
      <c r="L362" s="114"/>
      <c r="M362" s="114"/>
      <c r="N362" s="114"/>
      <c r="O362" s="242"/>
      <c r="P362" s="243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  <c r="AB362" s="114"/>
      <c r="AC362" s="114"/>
      <c r="AD362" s="114"/>
      <c r="AE362" s="114"/>
      <c r="AF362" s="114"/>
      <c r="AM362" s="114"/>
      <c r="AN362" s="236"/>
      <c r="AO362" s="114"/>
    </row>
    <row r="363" ht="15.75" customHeight="1">
      <c r="C363" s="114"/>
      <c r="D363" s="114"/>
      <c r="E363" s="114"/>
      <c r="F363" s="114"/>
      <c r="G363" s="114"/>
      <c r="H363" s="114"/>
      <c r="I363" s="114"/>
      <c r="J363" s="114"/>
      <c r="K363" s="114"/>
      <c r="L363" s="114"/>
      <c r="M363" s="114"/>
      <c r="N363" s="114"/>
      <c r="O363" s="242"/>
      <c r="P363" s="243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  <c r="AA363" s="114"/>
      <c r="AB363" s="114"/>
      <c r="AC363" s="114"/>
      <c r="AD363" s="114"/>
      <c r="AE363" s="114"/>
      <c r="AF363" s="114"/>
      <c r="AM363" s="114"/>
      <c r="AN363" s="236"/>
      <c r="AO363" s="114"/>
    </row>
    <row r="364" ht="15.75" customHeight="1">
      <c r="C364" s="114"/>
      <c r="D364" s="114"/>
      <c r="E364" s="114"/>
      <c r="F364" s="114"/>
      <c r="G364" s="114"/>
      <c r="H364" s="114"/>
      <c r="I364" s="114"/>
      <c r="J364" s="114"/>
      <c r="K364" s="114"/>
      <c r="L364" s="114"/>
      <c r="M364" s="114"/>
      <c r="N364" s="114"/>
      <c r="O364" s="242"/>
      <c r="P364" s="243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  <c r="AB364" s="114"/>
      <c r="AC364" s="114"/>
      <c r="AD364" s="114"/>
      <c r="AE364" s="114"/>
      <c r="AF364" s="114"/>
      <c r="AM364" s="114"/>
      <c r="AN364" s="236"/>
      <c r="AO364" s="114"/>
    </row>
    <row r="365" ht="15.75" customHeight="1">
      <c r="C365" s="114"/>
      <c r="D365" s="114"/>
      <c r="E365" s="114"/>
      <c r="F365" s="114"/>
      <c r="G365" s="114"/>
      <c r="H365" s="114"/>
      <c r="I365" s="114"/>
      <c r="J365" s="114"/>
      <c r="K365" s="114"/>
      <c r="L365" s="114"/>
      <c r="M365" s="114"/>
      <c r="N365" s="114"/>
      <c r="O365" s="242"/>
      <c r="P365" s="243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  <c r="AB365" s="114"/>
      <c r="AC365" s="114"/>
      <c r="AD365" s="114"/>
      <c r="AE365" s="114"/>
      <c r="AF365" s="114"/>
      <c r="AM365" s="114"/>
      <c r="AN365" s="236"/>
      <c r="AO365" s="114"/>
    </row>
    <row r="366" ht="15.75" customHeight="1">
      <c r="C366" s="114"/>
      <c r="D366" s="114"/>
      <c r="E366" s="114"/>
      <c r="F366" s="114"/>
      <c r="G366" s="114"/>
      <c r="H366" s="114"/>
      <c r="I366" s="114"/>
      <c r="J366" s="114"/>
      <c r="K366" s="114"/>
      <c r="L366" s="114"/>
      <c r="M366" s="114"/>
      <c r="N366" s="114"/>
      <c r="O366" s="242"/>
      <c r="P366" s="243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  <c r="AB366" s="114"/>
      <c r="AC366" s="114"/>
      <c r="AD366" s="114"/>
      <c r="AE366" s="114"/>
      <c r="AF366" s="114"/>
      <c r="AM366" s="114"/>
      <c r="AN366" s="236"/>
      <c r="AO366" s="114"/>
    </row>
    <row r="367" ht="15.75" customHeight="1">
      <c r="C367" s="114"/>
      <c r="D367" s="114"/>
      <c r="E367" s="114"/>
      <c r="F367" s="114"/>
      <c r="G367" s="114"/>
      <c r="H367" s="114"/>
      <c r="I367" s="114"/>
      <c r="J367" s="114"/>
      <c r="K367" s="114"/>
      <c r="L367" s="114"/>
      <c r="M367" s="114"/>
      <c r="N367" s="114"/>
      <c r="O367" s="242"/>
      <c r="P367" s="243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  <c r="AB367" s="114"/>
      <c r="AC367" s="114"/>
      <c r="AD367" s="114"/>
      <c r="AE367" s="114"/>
      <c r="AF367" s="114"/>
      <c r="AM367" s="114"/>
      <c r="AN367" s="236"/>
      <c r="AO367" s="114"/>
    </row>
    <row r="368" ht="15.75" customHeight="1">
      <c r="C368" s="114"/>
      <c r="D368" s="114"/>
      <c r="E368" s="114"/>
      <c r="F368" s="114"/>
      <c r="G368" s="114"/>
      <c r="H368" s="114"/>
      <c r="I368" s="114"/>
      <c r="J368" s="114"/>
      <c r="K368" s="114"/>
      <c r="L368" s="114"/>
      <c r="M368" s="114"/>
      <c r="N368" s="114"/>
      <c r="O368" s="242"/>
      <c r="P368" s="243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  <c r="AB368" s="114"/>
      <c r="AC368" s="114"/>
      <c r="AD368" s="114"/>
      <c r="AE368" s="114"/>
      <c r="AF368" s="114"/>
      <c r="AM368" s="114"/>
      <c r="AN368" s="236"/>
      <c r="AO368" s="114"/>
    </row>
    <row r="369" ht="15.75" customHeight="1">
      <c r="C369" s="114"/>
      <c r="D369" s="114"/>
      <c r="E369" s="114"/>
      <c r="F369" s="114"/>
      <c r="G369" s="114"/>
      <c r="H369" s="114"/>
      <c r="I369" s="114"/>
      <c r="J369" s="114"/>
      <c r="K369" s="114"/>
      <c r="L369" s="114"/>
      <c r="M369" s="114"/>
      <c r="N369" s="114"/>
      <c r="O369" s="242"/>
      <c r="P369" s="243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  <c r="AB369" s="114"/>
      <c r="AC369" s="114"/>
      <c r="AD369" s="114"/>
      <c r="AE369" s="114"/>
      <c r="AF369" s="114"/>
      <c r="AM369" s="114"/>
      <c r="AN369" s="236"/>
      <c r="AO369" s="114"/>
    </row>
    <row r="370" ht="15.75" customHeight="1">
      <c r="C370" s="114"/>
      <c r="D370" s="114"/>
      <c r="E370" s="114"/>
      <c r="F370" s="114"/>
      <c r="G370" s="114"/>
      <c r="H370" s="114"/>
      <c r="I370" s="114"/>
      <c r="J370" s="114"/>
      <c r="K370" s="114"/>
      <c r="L370" s="114"/>
      <c r="M370" s="114"/>
      <c r="N370" s="114"/>
      <c r="O370" s="242"/>
      <c r="P370" s="243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  <c r="AB370" s="114"/>
      <c r="AC370" s="114"/>
      <c r="AD370" s="114"/>
      <c r="AE370" s="114"/>
      <c r="AF370" s="114"/>
      <c r="AM370" s="114"/>
      <c r="AN370" s="236"/>
      <c r="AO370" s="114"/>
    </row>
    <row r="371" ht="15.75" customHeight="1">
      <c r="C371" s="114"/>
      <c r="D371" s="114"/>
      <c r="E371" s="114"/>
      <c r="F371" s="114"/>
      <c r="G371" s="114"/>
      <c r="H371" s="114"/>
      <c r="I371" s="114"/>
      <c r="J371" s="114"/>
      <c r="K371" s="114"/>
      <c r="L371" s="114"/>
      <c r="M371" s="114"/>
      <c r="N371" s="114"/>
      <c r="O371" s="242"/>
      <c r="P371" s="243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  <c r="AB371" s="114"/>
      <c r="AC371" s="114"/>
      <c r="AD371" s="114"/>
      <c r="AE371" s="114"/>
      <c r="AF371" s="114"/>
      <c r="AM371" s="114"/>
      <c r="AN371" s="236"/>
      <c r="AO371" s="114"/>
    </row>
    <row r="372" ht="15.75" customHeight="1">
      <c r="C372" s="114"/>
      <c r="D372" s="114"/>
      <c r="E372" s="114"/>
      <c r="F372" s="114"/>
      <c r="G372" s="114"/>
      <c r="H372" s="114"/>
      <c r="I372" s="114"/>
      <c r="J372" s="114"/>
      <c r="K372" s="114"/>
      <c r="L372" s="114"/>
      <c r="M372" s="114"/>
      <c r="N372" s="114"/>
      <c r="O372" s="242"/>
      <c r="P372" s="243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  <c r="AB372" s="114"/>
      <c r="AC372" s="114"/>
      <c r="AD372" s="114"/>
      <c r="AE372" s="114"/>
      <c r="AF372" s="114"/>
      <c r="AM372" s="114"/>
      <c r="AN372" s="236"/>
      <c r="AO372" s="114"/>
    </row>
    <row r="373" ht="15.75" customHeight="1">
      <c r="C373" s="114"/>
      <c r="D373" s="114"/>
      <c r="E373" s="114"/>
      <c r="F373" s="114"/>
      <c r="G373" s="114"/>
      <c r="H373" s="114"/>
      <c r="I373" s="114"/>
      <c r="J373" s="114"/>
      <c r="K373" s="114"/>
      <c r="L373" s="114"/>
      <c r="M373" s="114"/>
      <c r="N373" s="114"/>
      <c r="O373" s="242"/>
      <c r="P373" s="243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  <c r="AB373" s="114"/>
      <c r="AC373" s="114"/>
      <c r="AD373" s="114"/>
      <c r="AE373" s="114"/>
      <c r="AF373" s="114"/>
      <c r="AM373" s="114"/>
      <c r="AN373" s="236"/>
      <c r="AO373" s="114"/>
    </row>
    <row r="374" ht="15.75" customHeight="1">
      <c r="C374" s="114"/>
      <c r="D374" s="114"/>
      <c r="E374" s="114"/>
      <c r="F374" s="114"/>
      <c r="G374" s="114"/>
      <c r="H374" s="114"/>
      <c r="I374" s="114"/>
      <c r="J374" s="114"/>
      <c r="K374" s="114"/>
      <c r="L374" s="114"/>
      <c r="M374" s="114"/>
      <c r="N374" s="114"/>
      <c r="O374" s="242"/>
      <c r="P374" s="243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  <c r="AB374" s="114"/>
      <c r="AC374" s="114"/>
      <c r="AD374" s="114"/>
      <c r="AE374" s="114"/>
      <c r="AF374" s="114"/>
      <c r="AM374" s="114"/>
      <c r="AN374" s="236"/>
      <c r="AO374" s="114"/>
    </row>
    <row r="375" ht="15.75" customHeight="1">
      <c r="C375" s="114"/>
      <c r="D375" s="114"/>
      <c r="E375" s="114"/>
      <c r="F375" s="114"/>
      <c r="G375" s="114"/>
      <c r="H375" s="114"/>
      <c r="I375" s="114"/>
      <c r="J375" s="114"/>
      <c r="K375" s="114"/>
      <c r="L375" s="114"/>
      <c r="M375" s="114"/>
      <c r="N375" s="114"/>
      <c r="O375" s="242"/>
      <c r="P375" s="243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  <c r="AB375" s="114"/>
      <c r="AC375" s="114"/>
      <c r="AD375" s="114"/>
      <c r="AE375" s="114"/>
      <c r="AF375" s="114"/>
      <c r="AM375" s="114"/>
      <c r="AN375" s="236"/>
      <c r="AO375" s="114"/>
    </row>
    <row r="376" ht="15.75" customHeight="1">
      <c r="C376" s="114"/>
      <c r="D376" s="114"/>
      <c r="E376" s="114"/>
      <c r="F376" s="114"/>
      <c r="G376" s="114"/>
      <c r="H376" s="114"/>
      <c r="I376" s="114"/>
      <c r="J376" s="114"/>
      <c r="K376" s="114"/>
      <c r="L376" s="114"/>
      <c r="M376" s="114"/>
      <c r="N376" s="114"/>
      <c r="O376" s="242"/>
      <c r="P376" s="243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  <c r="AB376" s="114"/>
      <c r="AC376" s="114"/>
      <c r="AD376" s="114"/>
      <c r="AE376" s="114"/>
      <c r="AF376" s="114"/>
      <c r="AM376" s="114"/>
      <c r="AN376" s="236"/>
      <c r="AO376" s="114"/>
    </row>
    <row r="377" ht="15.75" customHeight="1">
      <c r="C377" s="114"/>
      <c r="D377" s="114"/>
      <c r="E377" s="114"/>
      <c r="F377" s="114"/>
      <c r="G377" s="114"/>
      <c r="H377" s="114"/>
      <c r="I377" s="114"/>
      <c r="J377" s="114"/>
      <c r="K377" s="114"/>
      <c r="L377" s="114"/>
      <c r="M377" s="114"/>
      <c r="N377" s="114"/>
      <c r="O377" s="242"/>
      <c r="P377" s="243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  <c r="AB377" s="114"/>
      <c r="AC377" s="114"/>
      <c r="AD377" s="114"/>
      <c r="AE377" s="114"/>
      <c r="AF377" s="114"/>
      <c r="AM377" s="114"/>
      <c r="AN377" s="236"/>
      <c r="AO377" s="114"/>
    </row>
    <row r="378" ht="15.75" customHeight="1">
      <c r="C378" s="114"/>
      <c r="D378" s="114"/>
      <c r="E378" s="114"/>
      <c r="F378" s="114"/>
      <c r="G378" s="114"/>
      <c r="H378" s="114"/>
      <c r="I378" s="114"/>
      <c r="J378" s="114"/>
      <c r="K378" s="114"/>
      <c r="L378" s="114"/>
      <c r="M378" s="114"/>
      <c r="N378" s="114"/>
      <c r="O378" s="242"/>
      <c r="P378" s="243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  <c r="AB378" s="114"/>
      <c r="AC378" s="114"/>
      <c r="AD378" s="114"/>
      <c r="AE378" s="114"/>
      <c r="AF378" s="114"/>
      <c r="AM378" s="114"/>
      <c r="AN378" s="236"/>
      <c r="AO378" s="114"/>
    </row>
    <row r="379" ht="15.75" customHeight="1">
      <c r="C379" s="114"/>
      <c r="D379" s="114"/>
      <c r="E379" s="114"/>
      <c r="F379" s="114"/>
      <c r="G379" s="114"/>
      <c r="H379" s="114"/>
      <c r="I379" s="114"/>
      <c r="J379" s="114"/>
      <c r="K379" s="114"/>
      <c r="L379" s="114"/>
      <c r="M379" s="114"/>
      <c r="N379" s="114"/>
      <c r="O379" s="242"/>
      <c r="P379" s="243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114"/>
      <c r="AD379" s="114"/>
      <c r="AE379" s="114"/>
      <c r="AF379" s="114"/>
      <c r="AM379" s="114"/>
      <c r="AN379" s="236"/>
      <c r="AO379" s="114"/>
    </row>
    <row r="380" ht="15.75" customHeight="1">
      <c r="C380" s="114"/>
      <c r="D380" s="114"/>
      <c r="E380" s="114"/>
      <c r="F380" s="114"/>
      <c r="G380" s="114"/>
      <c r="H380" s="114"/>
      <c r="I380" s="114"/>
      <c r="J380" s="114"/>
      <c r="K380" s="114"/>
      <c r="L380" s="114"/>
      <c r="M380" s="114"/>
      <c r="N380" s="114"/>
      <c r="O380" s="242"/>
      <c r="P380" s="243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  <c r="AB380" s="114"/>
      <c r="AC380" s="114"/>
      <c r="AD380" s="114"/>
      <c r="AE380" s="114"/>
      <c r="AF380" s="114"/>
      <c r="AM380" s="114"/>
      <c r="AN380" s="236"/>
      <c r="AO380" s="114"/>
    </row>
    <row r="381" ht="15.75" customHeight="1">
      <c r="C381" s="114"/>
      <c r="D381" s="114"/>
      <c r="E381" s="114"/>
      <c r="F381" s="114"/>
      <c r="G381" s="114"/>
      <c r="H381" s="114"/>
      <c r="I381" s="114"/>
      <c r="J381" s="114"/>
      <c r="K381" s="114"/>
      <c r="L381" s="114"/>
      <c r="M381" s="114"/>
      <c r="N381" s="114"/>
      <c r="O381" s="242"/>
      <c r="P381" s="243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  <c r="AB381" s="114"/>
      <c r="AC381" s="114"/>
      <c r="AD381" s="114"/>
      <c r="AE381" s="114"/>
      <c r="AF381" s="114"/>
      <c r="AM381" s="114"/>
      <c r="AN381" s="236"/>
      <c r="AO381" s="114"/>
    </row>
    <row r="382" ht="15.75" customHeight="1">
      <c r="C382" s="114"/>
      <c r="D382" s="114"/>
      <c r="E382" s="114"/>
      <c r="F382" s="114"/>
      <c r="G382" s="114"/>
      <c r="H382" s="114"/>
      <c r="I382" s="114"/>
      <c r="J382" s="114"/>
      <c r="K382" s="114"/>
      <c r="L382" s="114"/>
      <c r="M382" s="114"/>
      <c r="N382" s="114"/>
      <c r="O382" s="242"/>
      <c r="P382" s="243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  <c r="AB382" s="114"/>
      <c r="AC382" s="114"/>
      <c r="AD382" s="114"/>
      <c r="AE382" s="114"/>
      <c r="AF382" s="114"/>
      <c r="AM382" s="114"/>
      <c r="AN382" s="236"/>
      <c r="AO382" s="114"/>
    </row>
    <row r="383" ht="15.75" customHeight="1">
      <c r="C383" s="114"/>
      <c r="D383" s="114"/>
      <c r="E383" s="114"/>
      <c r="F383" s="114"/>
      <c r="G383" s="114"/>
      <c r="H383" s="114"/>
      <c r="I383" s="114"/>
      <c r="J383" s="114"/>
      <c r="K383" s="114"/>
      <c r="L383" s="114"/>
      <c r="M383" s="114"/>
      <c r="N383" s="114"/>
      <c r="O383" s="242"/>
      <c r="P383" s="243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  <c r="AB383" s="114"/>
      <c r="AC383" s="114"/>
      <c r="AD383" s="114"/>
      <c r="AE383" s="114"/>
      <c r="AF383" s="114"/>
      <c r="AM383" s="114"/>
      <c r="AN383" s="236"/>
      <c r="AO383" s="114"/>
    </row>
    <row r="384" ht="15.75" customHeight="1">
      <c r="C384" s="114"/>
      <c r="D384" s="114"/>
      <c r="E384" s="114"/>
      <c r="F384" s="114"/>
      <c r="G384" s="114"/>
      <c r="H384" s="114"/>
      <c r="I384" s="114"/>
      <c r="J384" s="114"/>
      <c r="K384" s="114"/>
      <c r="L384" s="114"/>
      <c r="M384" s="114"/>
      <c r="N384" s="114"/>
      <c r="O384" s="242"/>
      <c r="P384" s="243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  <c r="AB384" s="114"/>
      <c r="AC384" s="114"/>
      <c r="AD384" s="114"/>
      <c r="AE384" s="114"/>
      <c r="AF384" s="114"/>
      <c r="AM384" s="114"/>
      <c r="AN384" s="236"/>
      <c r="AO384" s="114"/>
    </row>
    <row r="385" ht="15.75" customHeight="1">
      <c r="C385" s="114"/>
      <c r="D385" s="114"/>
      <c r="E385" s="114"/>
      <c r="F385" s="114"/>
      <c r="G385" s="114"/>
      <c r="H385" s="114"/>
      <c r="I385" s="114"/>
      <c r="J385" s="114"/>
      <c r="K385" s="114"/>
      <c r="L385" s="114"/>
      <c r="M385" s="114"/>
      <c r="N385" s="114"/>
      <c r="O385" s="242"/>
      <c r="P385" s="243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  <c r="AB385" s="114"/>
      <c r="AC385" s="114"/>
      <c r="AD385" s="114"/>
      <c r="AE385" s="114"/>
      <c r="AF385" s="114"/>
      <c r="AM385" s="114"/>
      <c r="AN385" s="236"/>
      <c r="AO385" s="114"/>
    </row>
    <row r="386" ht="15.75" customHeight="1">
      <c r="C386" s="114"/>
      <c r="D386" s="114"/>
      <c r="E386" s="114"/>
      <c r="F386" s="114"/>
      <c r="G386" s="114"/>
      <c r="H386" s="114"/>
      <c r="I386" s="114"/>
      <c r="J386" s="114"/>
      <c r="K386" s="114"/>
      <c r="L386" s="114"/>
      <c r="M386" s="114"/>
      <c r="N386" s="114"/>
      <c r="O386" s="242"/>
      <c r="P386" s="243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  <c r="AB386" s="114"/>
      <c r="AC386" s="114"/>
      <c r="AD386" s="114"/>
      <c r="AE386" s="114"/>
      <c r="AF386" s="114"/>
      <c r="AM386" s="114"/>
      <c r="AN386" s="236"/>
      <c r="AO386" s="114"/>
    </row>
    <row r="387" ht="15.75" customHeight="1">
      <c r="C387" s="114"/>
      <c r="D387" s="114"/>
      <c r="E387" s="114"/>
      <c r="F387" s="114"/>
      <c r="G387" s="114"/>
      <c r="H387" s="114"/>
      <c r="I387" s="114"/>
      <c r="J387" s="114"/>
      <c r="K387" s="114"/>
      <c r="L387" s="114"/>
      <c r="M387" s="114"/>
      <c r="N387" s="114"/>
      <c r="O387" s="242"/>
      <c r="P387" s="243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  <c r="AB387" s="114"/>
      <c r="AC387" s="114"/>
      <c r="AD387" s="114"/>
      <c r="AE387" s="114"/>
      <c r="AF387" s="114"/>
      <c r="AM387" s="114"/>
      <c r="AN387" s="236"/>
      <c r="AO387" s="114"/>
    </row>
    <row r="388" ht="15.75" customHeight="1">
      <c r="C388" s="114"/>
      <c r="D388" s="114"/>
      <c r="E388" s="114"/>
      <c r="F388" s="114"/>
      <c r="G388" s="114"/>
      <c r="H388" s="114"/>
      <c r="I388" s="114"/>
      <c r="J388" s="114"/>
      <c r="K388" s="114"/>
      <c r="L388" s="114"/>
      <c r="M388" s="114"/>
      <c r="N388" s="114"/>
      <c r="O388" s="242"/>
      <c r="P388" s="243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  <c r="AB388" s="114"/>
      <c r="AC388" s="114"/>
      <c r="AD388" s="114"/>
      <c r="AE388" s="114"/>
      <c r="AF388" s="114"/>
      <c r="AM388" s="114"/>
      <c r="AN388" s="236"/>
      <c r="AO388" s="114"/>
    </row>
    <row r="389" ht="15.75" customHeight="1">
      <c r="C389" s="114"/>
      <c r="D389" s="114"/>
      <c r="E389" s="114"/>
      <c r="F389" s="114"/>
      <c r="G389" s="114"/>
      <c r="H389" s="114"/>
      <c r="I389" s="114"/>
      <c r="J389" s="114"/>
      <c r="K389" s="114"/>
      <c r="L389" s="114"/>
      <c r="M389" s="114"/>
      <c r="N389" s="114"/>
      <c r="O389" s="242"/>
      <c r="P389" s="243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  <c r="AB389" s="114"/>
      <c r="AC389" s="114"/>
      <c r="AD389" s="114"/>
      <c r="AE389" s="114"/>
      <c r="AF389" s="114"/>
      <c r="AM389" s="114"/>
      <c r="AN389" s="236"/>
      <c r="AO389" s="114"/>
    </row>
    <row r="390" ht="15.75" customHeight="1">
      <c r="C390" s="114"/>
      <c r="D390" s="114"/>
      <c r="E390" s="114"/>
      <c r="F390" s="114"/>
      <c r="G390" s="114"/>
      <c r="H390" s="114"/>
      <c r="I390" s="114"/>
      <c r="J390" s="114"/>
      <c r="K390" s="114"/>
      <c r="L390" s="114"/>
      <c r="M390" s="114"/>
      <c r="N390" s="114"/>
      <c r="O390" s="242"/>
      <c r="P390" s="243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  <c r="AB390" s="114"/>
      <c r="AC390" s="114"/>
      <c r="AD390" s="114"/>
      <c r="AE390" s="114"/>
      <c r="AF390" s="114"/>
      <c r="AM390" s="114"/>
      <c r="AN390" s="236"/>
      <c r="AO390" s="114"/>
    </row>
    <row r="391" ht="15.75" customHeight="1">
      <c r="C391" s="114"/>
      <c r="D391" s="114"/>
      <c r="E391" s="114"/>
      <c r="F391" s="114"/>
      <c r="G391" s="114"/>
      <c r="H391" s="114"/>
      <c r="I391" s="114"/>
      <c r="J391" s="114"/>
      <c r="K391" s="114"/>
      <c r="L391" s="114"/>
      <c r="M391" s="114"/>
      <c r="N391" s="114"/>
      <c r="O391" s="242"/>
      <c r="P391" s="243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  <c r="AB391" s="114"/>
      <c r="AC391" s="114"/>
      <c r="AD391" s="114"/>
      <c r="AE391" s="114"/>
      <c r="AF391" s="114"/>
      <c r="AM391" s="114"/>
      <c r="AN391" s="236"/>
      <c r="AO391" s="114"/>
    </row>
    <row r="392" ht="15.75" customHeight="1">
      <c r="C392" s="114"/>
      <c r="D392" s="114"/>
      <c r="E392" s="114"/>
      <c r="F392" s="114"/>
      <c r="G392" s="114"/>
      <c r="H392" s="114"/>
      <c r="I392" s="114"/>
      <c r="J392" s="114"/>
      <c r="K392" s="114"/>
      <c r="L392" s="114"/>
      <c r="M392" s="114"/>
      <c r="N392" s="114"/>
      <c r="O392" s="242"/>
      <c r="P392" s="243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  <c r="AB392" s="114"/>
      <c r="AC392" s="114"/>
      <c r="AD392" s="114"/>
      <c r="AE392" s="114"/>
      <c r="AF392" s="114"/>
      <c r="AM392" s="114"/>
      <c r="AN392" s="236"/>
      <c r="AO392" s="114"/>
    </row>
    <row r="393" ht="15.75" customHeight="1">
      <c r="C393" s="114"/>
      <c r="D393" s="114"/>
      <c r="E393" s="114"/>
      <c r="F393" s="114"/>
      <c r="G393" s="114"/>
      <c r="H393" s="114"/>
      <c r="I393" s="114"/>
      <c r="J393" s="114"/>
      <c r="K393" s="114"/>
      <c r="L393" s="114"/>
      <c r="M393" s="114"/>
      <c r="N393" s="114"/>
      <c r="O393" s="242"/>
      <c r="P393" s="243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  <c r="AB393" s="114"/>
      <c r="AC393" s="114"/>
      <c r="AD393" s="114"/>
      <c r="AE393" s="114"/>
      <c r="AF393" s="114"/>
      <c r="AM393" s="114"/>
      <c r="AN393" s="236"/>
      <c r="AO393" s="114"/>
    </row>
    <row r="394" ht="15.75" customHeight="1">
      <c r="C394" s="114"/>
      <c r="D394" s="114"/>
      <c r="E394" s="114"/>
      <c r="F394" s="114"/>
      <c r="G394" s="114"/>
      <c r="H394" s="114"/>
      <c r="I394" s="114"/>
      <c r="J394" s="114"/>
      <c r="K394" s="114"/>
      <c r="L394" s="114"/>
      <c r="M394" s="114"/>
      <c r="N394" s="114"/>
      <c r="O394" s="242"/>
      <c r="P394" s="243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  <c r="AB394" s="114"/>
      <c r="AC394" s="114"/>
      <c r="AD394" s="114"/>
      <c r="AE394" s="114"/>
      <c r="AF394" s="114"/>
      <c r="AM394" s="114"/>
      <c r="AN394" s="236"/>
      <c r="AO394" s="114"/>
    </row>
    <row r="395" ht="15.75" customHeight="1">
      <c r="C395" s="114"/>
      <c r="D395" s="114"/>
      <c r="E395" s="114"/>
      <c r="F395" s="114"/>
      <c r="G395" s="114"/>
      <c r="H395" s="114"/>
      <c r="I395" s="114"/>
      <c r="J395" s="114"/>
      <c r="K395" s="114"/>
      <c r="L395" s="114"/>
      <c r="M395" s="114"/>
      <c r="N395" s="114"/>
      <c r="O395" s="242"/>
      <c r="P395" s="243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  <c r="AB395" s="114"/>
      <c r="AC395" s="114"/>
      <c r="AD395" s="114"/>
      <c r="AE395" s="114"/>
      <c r="AF395" s="114"/>
      <c r="AM395" s="114"/>
      <c r="AN395" s="236"/>
      <c r="AO395" s="114"/>
    </row>
    <row r="396" ht="15.75" customHeight="1">
      <c r="C396" s="114"/>
      <c r="D396" s="114"/>
      <c r="E396" s="114"/>
      <c r="F396" s="114"/>
      <c r="G396" s="114"/>
      <c r="H396" s="114"/>
      <c r="I396" s="114"/>
      <c r="J396" s="114"/>
      <c r="K396" s="114"/>
      <c r="L396" s="114"/>
      <c r="M396" s="114"/>
      <c r="N396" s="114"/>
      <c r="O396" s="242"/>
      <c r="P396" s="243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  <c r="AB396" s="114"/>
      <c r="AC396" s="114"/>
      <c r="AD396" s="114"/>
      <c r="AE396" s="114"/>
      <c r="AF396" s="114"/>
      <c r="AM396" s="114"/>
      <c r="AN396" s="236"/>
      <c r="AO396" s="114"/>
    </row>
    <row r="397" ht="15.75" customHeight="1">
      <c r="C397" s="114"/>
      <c r="D397" s="114"/>
      <c r="E397" s="114"/>
      <c r="F397" s="114"/>
      <c r="G397" s="114"/>
      <c r="H397" s="114"/>
      <c r="I397" s="114"/>
      <c r="J397" s="114"/>
      <c r="K397" s="114"/>
      <c r="L397" s="114"/>
      <c r="M397" s="114"/>
      <c r="N397" s="114"/>
      <c r="O397" s="242"/>
      <c r="P397" s="243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  <c r="AB397" s="114"/>
      <c r="AC397" s="114"/>
      <c r="AD397" s="114"/>
      <c r="AE397" s="114"/>
      <c r="AF397" s="114"/>
      <c r="AM397" s="114"/>
      <c r="AN397" s="236"/>
      <c r="AO397" s="114"/>
    </row>
    <row r="398" ht="15.75" customHeight="1">
      <c r="C398" s="114"/>
      <c r="D398" s="114"/>
      <c r="E398" s="114"/>
      <c r="F398" s="114"/>
      <c r="G398" s="114"/>
      <c r="H398" s="114"/>
      <c r="I398" s="114"/>
      <c r="J398" s="114"/>
      <c r="K398" s="114"/>
      <c r="L398" s="114"/>
      <c r="M398" s="114"/>
      <c r="N398" s="114"/>
      <c r="O398" s="242"/>
      <c r="P398" s="243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  <c r="AB398" s="114"/>
      <c r="AC398" s="114"/>
      <c r="AD398" s="114"/>
      <c r="AE398" s="114"/>
      <c r="AF398" s="114"/>
      <c r="AM398" s="114"/>
      <c r="AN398" s="236"/>
      <c r="AO398" s="114"/>
    </row>
    <row r="399" ht="15.75" customHeight="1">
      <c r="C399" s="114"/>
      <c r="D399" s="114"/>
      <c r="E399" s="114"/>
      <c r="F399" s="114"/>
      <c r="G399" s="114"/>
      <c r="H399" s="114"/>
      <c r="I399" s="114"/>
      <c r="J399" s="114"/>
      <c r="K399" s="114"/>
      <c r="L399" s="114"/>
      <c r="M399" s="114"/>
      <c r="N399" s="114"/>
      <c r="O399" s="242"/>
      <c r="P399" s="243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114"/>
      <c r="AD399" s="114"/>
      <c r="AE399" s="114"/>
      <c r="AF399" s="114"/>
      <c r="AM399" s="114"/>
      <c r="AN399" s="236"/>
      <c r="AO399" s="114"/>
    </row>
    <row r="400" ht="15.75" customHeight="1">
      <c r="C400" s="114"/>
      <c r="D400" s="114"/>
      <c r="E400" s="114"/>
      <c r="F400" s="114"/>
      <c r="G400" s="114"/>
      <c r="H400" s="114"/>
      <c r="I400" s="114"/>
      <c r="J400" s="114"/>
      <c r="K400" s="114"/>
      <c r="L400" s="114"/>
      <c r="M400" s="114"/>
      <c r="N400" s="114"/>
      <c r="O400" s="242"/>
      <c r="P400" s="243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  <c r="AB400" s="114"/>
      <c r="AC400" s="114"/>
      <c r="AD400" s="114"/>
      <c r="AE400" s="114"/>
      <c r="AF400" s="114"/>
      <c r="AM400" s="114"/>
      <c r="AN400" s="236"/>
      <c r="AO400" s="114"/>
    </row>
    <row r="401" ht="15.75" customHeight="1">
      <c r="C401" s="114"/>
      <c r="D401" s="114"/>
      <c r="E401" s="114"/>
      <c r="F401" s="114"/>
      <c r="G401" s="114"/>
      <c r="H401" s="114"/>
      <c r="I401" s="114"/>
      <c r="J401" s="114"/>
      <c r="K401" s="114"/>
      <c r="L401" s="114"/>
      <c r="M401" s="114"/>
      <c r="N401" s="114"/>
      <c r="O401" s="242"/>
      <c r="P401" s="243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  <c r="AB401" s="114"/>
      <c r="AC401" s="114"/>
      <c r="AD401" s="114"/>
      <c r="AE401" s="114"/>
      <c r="AF401" s="114"/>
      <c r="AM401" s="114"/>
      <c r="AN401" s="236"/>
      <c r="AO401" s="114"/>
    </row>
    <row r="402" ht="15.75" customHeight="1">
      <c r="C402" s="114"/>
      <c r="D402" s="114"/>
      <c r="E402" s="114"/>
      <c r="F402" s="114"/>
      <c r="G402" s="114"/>
      <c r="H402" s="114"/>
      <c r="I402" s="114"/>
      <c r="J402" s="114"/>
      <c r="K402" s="114"/>
      <c r="L402" s="114"/>
      <c r="M402" s="114"/>
      <c r="N402" s="114"/>
      <c r="O402" s="242"/>
      <c r="P402" s="243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  <c r="AB402" s="114"/>
      <c r="AC402" s="114"/>
      <c r="AD402" s="114"/>
      <c r="AE402" s="114"/>
      <c r="AF402" s="114"/>
      <c r="AM402" s="114"/>
      <c r="AN402" s="236"/>
      <c r="AO402" s="114"/>
    </row>
    <row r="403" ht="15.75" customHeight="1">
      <c r="C403" s="114"/>
      <c r="D403" s="114"/>
      <c r="E403" s="114"/>
      <c r="F403" s="114"/>
      <c r="G403" s="114"/>
      <c r="H403" s="114"/>
      <c r="I403" s="114"/>
      <c r="J403" s="114"/>
      <c r="K403" s="114"/>
      <c r="L403" s="114"/>
      <c r="M403" s="114"/>
      <c r="N403" s="114"/>
      <c r="O403" s="242"/>
      <c r="P403" s="243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  <c r="AA403" s="114"/>
      <c r="AB403" s="114"/>
      <c r="AC403" s="114"/>
      <c r="AD403" s="114"/>
      <c r="AE403" s="114"/>
      <c r="AF403" s="114"/>
      <c r="AM403" s="114"/>
      <c r="AN403" s="236"/>
      <c r="AO403" s="114"/>
    </row>
    <row r="404" ht="15.75" customHeight="1">
      <c r="C404" s="114"/>
      <c r="D404" s="114"/>
      <c r="E404" s="114"/>
      <c r="F404" s="114"/>
      <c r="G404" s="114"/>
      <c r="H404" s="114"/>
      <c r="I404" s="114"/>
      <c r="J404" s="114"/>
      <c r="K404" s="114"/>
      <c r="L404" s="114"/>
      <c r="M404" s="114"/>
      <c r="N404" s="114"/>
      <c r="O404" s="242"/>
      <c r="P404" s="243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  <c r="AB404" s="114"/>
      <c r="AC404" s="114"/>
      <c r="AD404" s="114"/>
      <c r="AE404" s="114"/>
      <c r="AF404" s="114"/>
      <c r="AM404" s="114"/>
      <c r="AN404" s="236"/>
      <c r="AO404" s="114"/>
    </row>
    <row r="405" ht="15.75" customHeight="1">
      <c r="C405" s="114"/>
      <c r="D405" s="114"/>
      <c r="E405" s="114"/>
      <c r="F405" s="114"/>
      <c r="G405" s="114"/>
      <c r="H405" s="114"/>
      <c r="I405" s="114"/>
      <c r="J405" s="114"/>
      <c r="K405" s="114"/>
      <c r="L405" s="114"/>
      <c r="M405" s="114"/>
      <c r="N405" s="114"/>
      <c r="O405" s="242"/>
      <c r="P405" s="243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  <c r="AB405" s="114"/>
      <c r="AC405" s="114"/>
      <c r="AD405" s="114"/>
      <c r="AE405" s="114"/>
      <c r="AF405" s="114"/>
      <c r="AM405" s="114"/>
      <c r="AN405" s="236"/>
      <c r="AO405" s="114"/>
    </row>
    <row r="406" ht="15.75" customHeight="1">
      <c r="C406" s="114"/>
      <c r="D406" s="114"/>
      <c r="E406" s="114"/>
      <c r="F406" s="114"/>
      <c r="G406" s="114"/>
      <c r="H406" s="114"/>
      <c r="I406" s="114"/>
      <c r="J406" s="114"/>
      <c r="K406" s="114"/>
      <c r="L406" s="114"/>
      <c r="M406" s="114"/>
      <c r="N406" s="114"/>
      <c r="O406" s="242"/>
      <c r="P406" s="243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  <c r="AB406" s="114"/>
      <c r="AC406" s="114"/>
      <c r="AD406" s="114"/>
      <c r="AE406" s="114"/>
      <c r="AF406" s="114"/>
      <c r="AM406" s="114"/>
      <c r="AN406" s="236"/>
      <c r="AO406" s="114"/>
    </row>
    <row r="407" ht="15.75" customHeight="1">
      <c r="C407" s="114"/>
      <c r="D407" s="114"/>
      <c r="E407" s="114"/>
      <c r="F407" s="114"/>
      <c r="G407" s="114"/>
      <c r="H407" s="114"/>
      <c r="I407" s="114"/>
      <c r="J407" s="114"/>
      <c r="K407" s="114"/>
      <c r="L407" s="114"/>
      <c r="M407" s="114"/>
      <c r="N407" s="114"/>
      <c r="O407" s="242"/>
      <c r="P407" s="243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  <c r="AB407" s="114"/>
      <c r="AC407" s="114"/>
      <c r="AD407" s="114"/>
      <c r="AE407" s="114"/>
      <c r="AF407" s="114"/>
      <c r="AM407" s="114"/>
      <c r="AN407" s="236"/>
      <c r="AO407" s="114"/>
    </row>
    <row r="408" ht="15.75" customHeight="1">
      <c r="C408" s="114"/>
      <c r="D408" s="114"/>
      <c r="E408" s="114"/>
      <c r="F408" s="114"/>
      <c r="G408" s="114"/>
      <c r="H408" s="114"/>
      <c r="I408" s="114"/>
      <c r="J408" s="114"/>
      <c r="K408" s="114"/>
      <c r="L408" s="114"/>
      <c r="M408" s="114"/>
      <c r="N408" s="114"/>
      <c r="O408" s="242"/>
      <c r="P408" s="243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  <c r="AB408" s="114"/>
      <c r="AC408" s="114"/>
      <c r="AD408" s="114"/>
      <c r="AE408" s="114"/>
      <c r="AF408" s="114"/>
      <c r="AM408" s="114"/>
      <c r="AN408" s="236"/>
      <c r="AO408" s="114"/>
    </row>
    <row r="409" ht="15.75" customHeight="1">
      <c r="C409" s="114"/>
      <c r="D409" s="114"/>
      <c r="E409" s="114"/>
      <c r="F409" s="114"/>
      <c r="G409" s="114"/>
      <c r="H409" s="114"/>
      <c r="I409" s="114"/>
      <c r="J409" s="114"/>
      <c r="K409" s="114"/>
      <c r="L409" s="114"/>
      <c r="M409" s="114"/>
      <c r="N409" s="114"/>
      <c r="O409" s="242"/>
      <c r="P409" s="243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  <c r="AB409" s="114"/>
      <c r="AC409" s="114"/>
      <c r="AD409" s="114"/>
      <c r="AE409" s="114"/>
      <c r="AF409" s="114"/>
      <c r="AM409" s="114"/>
      <c r="AN409" s="236"/>
      <c r="AO409" s="114"/>
    </row>
    <row r="410" ht="15.75" customHeight="1">
      <c r="C410" s="114"/>
      <c r="D410" s="114"/>
      <c r="E410" s="114"/>
      <c r="F410" s="114"/>
      <c r="G410" s="114"/>
      <c r="H410" s="114"/>
      <c r="I410" s="114"/>
      <c r="J410" s="114"/>
      <c r="K410" s="114"/>
      <c r="L410" s="114"/>
      <c r="M410" s="114"/>
      <c r="N410" s="114"/>
      <c r="O410" s="242"/>
      <c r="P410" s="243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  <c r="AB410" s="114"/>
      <c r="AC410" s="114"/>
      <c r="AD410" s="114"/>
      <c r="AE410" s="114"/>
      <c r="AF410" s="114"/>
      <c r="AM410" s="114"/>
      <c r="AN410" s="236"/>
      <c r="AO410" s="114"/>
    </row>
    <row r="411" ht="15.75" customHeight="1">
      <c r="C411" s="114"/>
      <c r="D411" s="114"/>
      <c r="E411" s="114"/>
      <c r="F411" s="114"/>
      <c r="G411" s="114"/>
      <c r="H411" s="114"/>
      <c r="I411" s="114"/>
      <c r="J411" s="114"/>
      <c r="K411" s="114"/>
      <c r="L411" s="114"/>
      <c r="M411" s="114"/>
      <c r="N411" s="114"/>
      <c r="O411" s="242"/>
      <c r="P411" s="243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  <c r="AB411" s="114"/>
      <c r="AC411" s="114"/>
      <c r="AD411" s="114"/>
      <c r="AE411" s="114"/>
      <c r="AF411" s="114"/>
      <c r="AM411" s="114"/>
      <c r="AN411" s="236"/>
      <c r="AO411" s="114"/>
    </row>
    <row r="412" ht="15.75" customHeight="1">
      <c r="C412" s="114"/>
      <c r="D412" s="114"/>
      <c r="E412" s="114"/>
      <c r="F412" s="114"/>
      <c r="G412" s="114"/>
      <c r="H412" s="114"/>
      <c r="I412" s="114"/>
      <c r="J412" s="114"/>
      <c r="K412" s="114"/>
      <c r="L412" s="114"/>
      <c r="M412" s="114"/>
      <c r="N412" s="114"/>
      <c r="O412" s="242"/>
      <c r="P412" s="243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  <c r="AB412" s="114"/>
      <c r="AC412" s="114"/>
      <c r="AD412" s="114"/>
      <c r="AE412" s="114"/>
      <c r="AF412" s="114"/>
      <c r="AM412" s="114"/>
      <c r="AN412" s="236"/>
      <c r="AO412" s="114"/>
    </row>
    <row r="413" ht="15.75" customHeight="1">
      <c r="C413" s="114"/>
      <c r="D413" s="114"/>
      <c r="E413" s="114"/>
      <c r="F413" s="114"/>
      <c r="G413" s="114"/>
      <c r="H413" s="114"/>
      <c r="I413" s="114"/>
      <c r="J413" s="114"/>
      <c r="K413" s="114"/>
      <c r="L413" s="114"/>
      <c r="M413" s="114"/>
      <c r="N413" s="114"/>
      <c r="O413" s="242"/>
      <c r="P413" s="243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  <c r="AB413" s="114"/>
      <c r="AC413" s="114"/>
      <c r="AD413" s="114"/>
      <c r="AE413" s="114"/>
      <c r="AF413" s="114"/>
      <c r="AM413" s="114"/>
      <c r="AN413" s="236"/>
      <c r="AO413" s="114"/>
    </row>
    <row r="414" ht="15.75" customHeight="1">
      <c r="C414" s="114"/>
      <c r="D414" s="114"/>
      <c r="E414" s="114"/>
      <c r="F414" s="114"/>
      <c r="G414" s="114"/>
      <c r="H414" s="114"/>
      <c r="I414" s="114"/>
      <c r="J414" s="114"/>
      <c r="K414" s="114"/>
      <c r="L414" s="114"/>
      <c r="M414" s="114"/>
      <c r="N414" s="114"/>
      <c r="O414" s="242"/>
      <c r="P414" s="243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  <c r="AB414" s="114"/>
      <c r="AC414" s="114"/>
      <c r="AD414" s="114"/>
      <c r="AE414" s="114"/>
      <c r="AF414" s="114"/>
      <c r="AM414" s="114"/>
      <c r="AN414" s="236"/>
      <c r="AO414" s="114"/>
    </row>
    <row r="415" ht="15.75" customHeight="1">
      <c r="C415" s="114"/>
      <c r="D415" s="114"/>
      <c r="E415" s="114"/>
      <c r="F415" s="114"/>
      <c r="G415" s="114"/>
      <c r="H415" s="114"/>
      <c r="I415" s="114"/>
      <c r="J415" s="114"/>
      <c r="K415" s="114"/>
      <c r="L415" s="114"/>
      <c r="M415" s="114"/>
      <c r="N415" s="114"/>
      <c r="O415" s="242"/>
      <c r="P415" s="243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  <c r="AB415" s="114"/>
      <c r="AC415" s="114"/>
      <c r="AD415" s="114"/>
      <c r="AE415" s="114"/>
      <c r="AF415" s="114"/>
      <c r="AM415" s="114"/>
      <c r="AN415" s="236"/>
      <c r="AO415" s="114"/>
    </row>
    <row r="416" ht="15.75" customHeight="1">
      <c r="C416" s="114"/>
      <c r="D416" s="114"/>
      <c r="E416" s="114"/>
      <c r="F416" s="114"/>
      <c r="G416" s="114"/>
      <c r="H416" s="114"/>
      <c r="I416" s="114"/>
      <c r="J416" s="114"/>
      <c r="K416" s="114"/>
      <c r="L416" s="114"/>
      <c r="M416" s="114"/>
      <c r="N416" s="114"/>
      <c r="O416" s="242"/>
      <c r="P416" s="243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  <c r="AB416" s="114"/>
      <c r="AC416" s="114"/>
      <c r="AD416" s="114"/>
      <c r="AE416" s="114"/>
      <c r="AF416" s="114"/>
      <c r="AM416" s="114"/>
      <c r="AN416" s="236"/>
      <c r="AO416" s="114"/>
    </row>
    <row r="417" ht="15.75" customHeight="1">
      <c r="C417" s="114"/>
      <c r="D417" s="114"/>
      <c r="E417" s="114"/>
      <c r="F417" s="114"/>
      <c r="G417" s="114"/>
      <c r="H417" s="114"/>
      <c r="I417" s="114"/>
      <c r="J417" s="114"/>
      <c r="K417" s="114"/>
      <c r="L417" s="114"/>
      <c r="M417" s="114"/>
      <c r="N417" s="114"/>
      <c r="O417" s="242"/>
      <c r="P417" s="243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  <c r="AB417" s="114"/>
      <c r="AC417" s="114"/>
      <c r="AD417" s="114"/>
      <c r="AE417" s="114"/>
      <c r="AF417" s="114"/>
      <c r="AM417" s="114"/>
      <c r="AN417" s="236"/>
      <c r="AO417" s="114"/>
    </row>
    <row r="418" ht="15.75" customHeight="1">
      <c r="C418" s="114"/>
      <c r="D418" s="114"/>
      <c r="E418" s="114"/>
      <c r="F418" s="114"/>
      <c r="G418" s="114"/>
      <c r="H418" s="114"/>
      <c r="I418" s="114"/>
      <c r="J418" s="114"/>
      <c r="K418" s="114"/>
      <c r="L418" s="114"/>
      <c r="M418" s="114"/>
      <c r="N418" s="114"/>
      <c r="O418" s="242"/>
      <c r="P418" s="243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  <c r="AB418" s="114"/>
      <c r="AC418" s="114"/>
      <c r="AD418" s="114"/>
      <c r="AE418" s="114"/>
      <c r="AF418" s="114"/>
      <c r="AM418" s="114"/>
      <c r="AN418" s="236"/>
      <c r="AO418" s="114"/>
    </row>
    <row r="419" ht="15.75" customHeight="1">
      <c r="C419" s="114"/>
      <c r="D419" s="114"/>
      <c r="E419" s="114"/>
      <c r="F419" s="114"/>
      <c r="G419" s="114"/>
      <c r="H419" s="114"/>
      <c r="I419" s="114"/>
      <c r="J419" s="114"/>
      <c r="K419" s="114"/>
      <c r="L419" s="114"/>
      <c r="M419" s="114"/>
      <c r="N419" s="114"/>
      <c r="O419" s="242"/>
      <c r="P419" s="243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  <c r="AB419" s="114"/>
      <c r="AC419" s="114"/>
      <c r="AD419" s="114"/>
      <c r="AE419" s="114"/>
      <c r="AF419" s="114"/>
      <c r="AM419" s="114"/>
      <c r="AN419" s="236"/>
      <c r="AO419" s="114"/>
    </row>
    <row r="420" ht="15.75" customHeight="1">
      <c r="C420" s="114"/>
      <c r="D420" s="114"/>
      <c r="E420" s="114"/>
      <c r="F420" s="114"/>
      <c r="G420" s="114"/>
      <c r="H420" s="114"/>
      <c r="I420" s="114"/>
      <c r="J420" s="114"/>
      <c r="K420" s="114"/>
      <c r="L420" s="114"/>
      <c r="M420" s="114"/>
      <c r="N420" s="114"/>
      <c r="O420" s="242"/>
      <c r="P420" s="243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  <c r="AA420" s="114"/>
      <c r="AB420" s="114"/>
      <c r="AC420" s="114"/>
      <c r="AD420" s="114"/>
      <c r="AE420" s="114"/>
      <c r="AF420" s="114"/>
      <c r="AM420" s="114"/>
      <c r="AN420" s="236"/>
      <c r="AO420" s="114"/>
    </row>
    <row r="421" ht="15.75" customHeight="1">
      <c r="C421" s="114"/>
      <c r="D421" s="114"/>
      <c r="E421" s="114"/>
      <c r="F421" s="114"/>
      <c r="G421" s="114"/>
      <c r="H421" s="114"/>
      <c r="I421" s="114"/>
      <c r="J421" s="114"/>
      <c r="K421" s="114"/>
      <c r="L421" s="114"/>
      <c r="M421" s="114"/>
      <c r="N421" s="114"/>
      <c r="O421" s="242"/>
      <c r="P421" s="243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  <c r="AB421" s="114"/>
      <c r="AC421" s="114"/>
      <c r="AD421" s="114"/>
      <c r="AE421" s="114"/>
      <c r="AF421" s="114"/>
      <c r="AM421" s="114"/>
      <c r="AN421" s="236"/>
      <c r="AO421" s="114"/>
    </row>
    <row r="422" ht="15.75" customHeight="1">
      <c r="C422" s="114"/>
      <c r="D422" s="114"/>
      <c r="E422" s="114"/>
      <c r="F422" s="114"/>
      <c r="G422" s="114"/>
      <c r="H422" s="114"/>
      <c r="I422" s="114"/>
      <c r="J422" s="114"/>
      <c r="K422" s="114"/>
      <c r="L422" s="114"/>
      <c r="M422" s="114"/>
      <c r="N422" s="114"/>
      <c r="O422" s="242"/>
      <c r="P422" s="243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  <c r="AB422" s="114"/>
      <c r="AC422" s="114"/>
      <c r="AD422" s="114"/>
      <c r="AE422" s="114"/>
      <c r="AF422" s="114"/>
      <c r="AM422" s="114"/>
      <c r="AN422" s="236"/>
      <c r="AO422" s="114"/>
    </row>
    <row r="423" ht="15.75" customHeight="1">
      <c r="C423" s="114"/>
      <c r="D423" s="114"/>
      <c r="E423" s="114"/>
      <c r="F423" s="114"/>
      <c r="G423" s="114"/>
      <c r="H423" s="114"/>
      <c r="I423" s="114"/>
      <c r="J423" s="114"/>
      <c r="K423" s="114"/>
      <c r="L423" s="114"/>
      <c r="M423" s="114"/>
      <c r="N423" s="114"/>
      <c r="O423" s="242"/>
      <c r="P423" s="243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  <c r="AB423" s="114"/>
      <c r="AC423" s="114"/>
      <c r="AD423" s="114"/>
      <c r="AE423" s="114"/>
      <c r="AF423" s="114"/>
      <c r="AM423" s="114"/>
      <c r="AN423" s="236"/>
      <c r="AO423" s="114"/>
    </row>
    <row r="424" ht="15.75" customHeight="1">
      <c r="C424" s="114"/>
      <c r="D424" s="114"/>
      <c r="E424" s="114"/>
      <c r="F424" s="114"/>
      <c r="G424" s="114"/>
      <c r="H424" s="114"/>
      <c r="I424" s="114"/>
      <c r="J424" s="114"/>
      <c r="K424" s="114"/>
      <c r="L424" s="114"/>
      <c r="M424" s="114"/>
      <c r="N424" s="114"/>
      <c r="O424" s="242"/>
      <c r="P424" s="243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  <c r="AA424" s="114"/>
      <c r="AB424" s="114"/>
      <c r="AC424" s="114"/>
      <c r="AD424" s="114"/>
      <c r="AE424" s="114"/>
      <c r="AF424" s="114"/>
      <c r="AM424" s="114"/>
      <c r="AN424" s="236"/>
      <c r="AO424" s="114"/>
    </row>
    <row r="425" ht="15.75" customHeight="1">
      <c r="C425" s="114"/>
      <c r="D425" s="114"/>
      <c r="E425" s="114"/>
      <c r="F425" s="114"/>
      <c r="G425" s="114"/>
      <c r="H425" s="114"/>
      <c r="I425" s="114"/>
      <c r="J425" s="114"/>
      <c r="K425" s="114"/>
      <c r="L425" s="114"/>
      <c r="M425" s="114"/>
      <c r="N425" s="114"/>
      <c r="O425" s="242"/>
      <c r="P425" s="243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  <c r="AB425" s="114"/>
      <c r="AC425" s="114"/>
      <c r="AD425" s="114"/>
      <c r="AE425" s="114"/>
      <c r="AF425" s="114"/>
      <c r="AM425" s="114"/>
      <c r="AN425" s="236"/>
      <c r="AO425" s="114"/>
    </row>
    <row r="426" ht="15.75" customHeight="1">
      <c r="C426" s="114"/>
      <c r="D426" s="114"/>
      <c r="E426" s="114"/>
      <c r="F426" s="114"/>
      <c r="G426" s="114"/>
      <c r="H426" s="114"/>
      <c r="I426" s="114"/>
      <c r="J426" s="114"/>
      <c r="K426" s="114"/>
      <c r="L426" s="114"/>
      <c r="M426" s="114"/>
      <c r="N426" s="114"/>
      <c r="O426" s="242"/>
      <c r="P426" s="243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  <c r="AB426" s="114"/>
      <c r="AC426" s="114"/>
      <c r="AD426" s="114"/>
      <c r="AE426" s="114"/>
      <c r="AF426" s="114"/>
      <c r="AM426" s="114"/>
      <c r="AN426" s="236"/>
      <c r="AO426" s="114"/>
    </row>
    <row r="427" ht="15.75" customHeight="1">
      <c r="C427" s="114"/>
      <c r="D427" s="114"/>
      <c r="E427" s="114"/>
      <c r="F427" s="114"/>
      <c r="G427" s="114"/>
      <c r="H427" s="114"/>
      <c r="I427" s="114"/>
      <c r="J427" s="114"/>
      <c r="K427" s="114"/>
      <c r="L427" s="114"/>
      <c r="M427" s="114"/>
      <c r="N427" s="114"/>
      <c r="O427" s="242"/>
      <c r="P427" s="243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  <c r="AB427" s="114"/>
      <c r="AC427" s="114"/>
      <c r="AD427" s="114"/>
      <c r="AE427" s="114"/>
      <c r="AF427" s="114"/>
      <c r="AM427" s="114"/>
      <c r="AN427" s="236"/>
      <c r="AO427" s="114"/>
    </row>
    <row r="428" ht="15.75" customHeight="1">
      <c r="C428" s="114"/>
      <c r="D428" s="114"/>
      <c r="E428" s="114"/>
      <c r="F428" s="114"/>
      <c r="G428" s="114"/>
      <c r="H428" s="114"/>
      <c r="I428" s="114"/>
      <c r="J428" s="114"/>
      <c r="K428" s="114"/>
      <c r="L428" s="114"/>
      <c r="M428" s="114"/>
      <c r="N428" s="114"/>
      <c r="O428" s="242"/>
      <c r="P428" s="243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  <c r="AB428" s="114"/>
      <c r="AC428" s="114"/>
      <c r="AD428" s="114"/>
      <c r="AE428" s="114"/>
      <c r="AF428" s="114"/>
      <c r="AM428" s="114"/>
      <c r="AN428" s="236"/>
      <c r="AO428" s="114"/>
    </row>
    <row r="429" ht="15.75" customHeight="1">
      <c r="C429" s="114"/>
      <c r="D429" s="114"/>
      <c r="E429" s="114"/>
      <c r="F429" s="114"/>
      <c r="G429" s="114"/>
      <c r="H429" s="114"/>
      <c r="I429" s="114"/>
      <c r="J429" s="114"/>
      <c r="K429" s="114"/>
      <c r="L429" s="114"/>
      <c r="M429" s="114"/>
      <c r="N429" s="114"/>
      <c r="O429" s="242"/>
      <c r="P429" s="243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  <c r="AB429" s="114"/>
      <c r="AC429" s="114"/>
      <c r="AD429" s="114"/>
      <c r="AE429" s="114"/>
      <c r="AF429" s="114"/>
      <c r="AM429" s="114"/>
      <c r="AN429" s="236"/>
      <c r="AO429" s="114"/>
    </row>
    <row r="430" ht="15.75" customHeight="1">
      <c r="C430" s="114"/>
      <c r="D430" s="114"/>
      <c r="E430" s="114"/>
      <c r="F430" s="114"/>
      <c r="G430" s="114"/>
      <c r="H430" s="114"/>
      <c r="I430" s="114"/>
      <c r="J430" s="114"/>
      <c r="K430" s="114"/>
      <c r="L430" s="114"/>
      <c r="M430" s="114"/>
      <c r="N430" s="114"/>
      <c r="O430" s="242"/>
      <c r="P430" s="243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  <c r="AB430" s="114"/>
      <c r="AC430" s="114"/>
      <c r="AD430" s="114"/>
      <c r="AE430" s="114"/>
      <c r="AF430" s="114"/>
      <c r="AM430" s="114"/>
      <c r="AN430" s="236"/>
      <c r="AO430" s="114"/>
    </row>
    <row r="431" ht="15.75" customHeight="1">
      <c r="C431" s="114"/>
      <c r="D431" s="114"/>
      <c r="E431" s="114"/>
      <c r="F431" s="114"/>
      <c r="G431" s="114"/>
      <c r="H431" s="114"/>
      <c r="I431" s="114"/>
      <c r="J431" s="114"/>
      <c r="K431" s="114"/>
      <c r="L431" s="114"/>
      <c r="M431" s="114"/>
      <c r="N431" s="114"/>
      <c r="O431" s="242"/>
      <c r="P431" s="243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  <c r="AB431" s="114"/>
      <c r="AC431" s="114"/>
      <c r="AD431" s="114"/>
      <c r="AE431" s="114"/>
      <c r="AF431" s="114"/>
      <c r="AM431" s="114"/>
      <c r="AN431" s="236"/>
      <c r="AO431" s="114"/>
    </row>
    <row r="432" ht="15.75" customHeight="1">
      <c r="C432" s="114"/>
      <c r="D432" s="114"/>
      <c r="E432" s="114"/>
      <c r="F432" s="114"/>
      <c r="G432" s="114"/>
      <c r="H432" s="114"/>
      <c r="I432" s="114"/>
      <c r="J432" s="114"/>
      <c r="K432" s="114"/>
      <c r="L432" s="114"/>
      <c r="M432" s="114"/>
      <c r="N432" s="114"/>
      <c r="O432" s="242"/>
      <c r="P432" s="243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  <c r="AB432" s="114"/>
      <c r="AC432" s="114"/>
      <c r="AD432" s="114"/>
      <c r="AE432" s="114"/>
      <c r="AF432" s="114"/>
      <c r="AM432" s="114"/>
      <c r="AN432" s="236"/>
      <c r="AO432" s="114"/>
    </row>
    <row r="433" ht="15.75" customHeight="1">
      <c r="C433" s="114"/>
      <c r="D433" s="114"/>
      <c r="E433" s="114"/>
      <c r="F433" s="114"/>
      <c r="G433" s="114"/>
      <c r="H433" s="114"/>
      <c r="I433" s="114"/>
      <c r="J433" s="114"/>
      <c r="K433" s="114"/>
      <c r="L433" s="114"/>
      <c r="M433" s="114"/>
      <c r="N433" s="114"/>
      <c r="O433" s="242"/>
      <c r="P433" s="243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  <c r="AB433" s="114"/>
      <c r="AC433" s="114"/>
      <c r="AD433" s="114"/>
      <c r="AE433" s="114"/>
      <c r="AF433" s="114"/>
      <c r="AM433" s="114"/>
      <c r="AN433" s="236"/>
      <c r="AO433" s="114"/>
    </row>
    <row r="434" ht="15.75" customHeight="1">
      <c r="C434" s="114"/>
      <c r="D434" s="114"/>
      <c r="E434" s="114"/>
      <c r="F434" s="114"/>
      <c r="G434" s="114"/>
      <c r="H434" s="114"/>
      <c r="I434" s="114"/>
      <c r="J434" s="114"/>
      <c r="K434" s="114"/>
      <c r="L434" s="114"/>
      <c r="M434" s="114"/>
      <c r="N434" s="114"/>
      <c r="O434" s="242"/>
      <c r="P434" s="243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  <c r="AB434" s="114"/>
      <c r="AC434" s="114"/>
      <c r="AD434" s="114"/>
      <c r="AE434" s="114"/>
      <c r="AF434" s="114"/>
      <c r="AM434" s="114"/>
      <c r="AN434" s="236"/>
      <c r="AO434" s="114"/>
    </row>
    <row r="435" ht="15.75" customHeight="1">
      <c r="C435" s="114"/>
      <c r="D435" s="114"/>
      <c r="E435" s="114"/>
      <c r="F435" s="114"/>
      <c r="G435" s="114"/>
      <c r="H435" s="114"/>
      <c r="I435" s="114"/>
      <c r="J435" s="114"/>
      <c r="K435" s="114"/>
      <c r="L435" s="114"/>
      <c r="M435" s="114"/>
      <c r="N435" s="114"/>
      <c r="O435" s="242"/>
      <c r="P435" s="243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  <c r="AB435" s="114"/>
      <c r="AC435" s="114"/>
      <c r="AD435" s="114"/>
      <c r="AE435" s="114"/>
      <c r="AF435" s="114"/>
      <c r="AM435" s="114"/>
      <c r="AN435" s="236"/>
      <c r="AO435" s="114"/>
    </row>
    <row r="436" ht="15.75" customHeight="1">
      <c r="C436" s="114"/>
      <c r="D436" s="114"/>
      <c r="E436" s="114"/>
      <c r="F436" s="114"/>
      <c r="G436" s="114"/>
      <c r="H436" s="114"/>
      <c r="I436" s="114"/>
      <c r="J436" s="114"/>
      <c r="K436" s="114"/>
      <c r="L436" s="114"/>
      <c r="M436" s="114"/>
      <c r="N436" s="114"/>
      <c r="O436" s="242"/>
      <c r="P436" s="243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  <c r="AB436" s="114"/>
      <c r="AC436" s="114"/>
      <c r="AD436" s="114"/>
      <c r="AE436" s="114"/>
      <c r="AF436" s="114"/>
      <c r="AM436" s="114"/>
      <c r="AN436" s="236"/>
      <c r="AO436" s="114"/>
    </row>
    <row r="437" ht="15.75" customHeight="1">
      <c r="C437" s="114"/>
      <c r="D437" s="114"/>
      <c r="E437" s="114"/>
      <c r="F437" s="114"/>
      <c r="G437" s="114"/>
      <c r="H437" s="114"/>
      <c r="I437" s="114"/>
      <c r="J437" s="114"/>
      <c r="K437" s="114"/>
      <c r="L437" s="114"/>
      <c r="M437" s="114"/>
      <c r="N437" s="114"/>
      <c r="O437" s="242"/>
      <c r="P437" s="243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  <c r="AB437" s="114"/>
      <c r="AC437" s="114"/>
      <c r="AD437" s="114"/>
      <c r="AE437" s="114"/>
      <c r="AF437" s="114"/>
      <c r="AM437" s="114"/>
      <c r="AN437" s="236"/>
      <c r="AO437" s="114"/>
    </row>
    <row r="438" ht="15.75" customHeight="1">
      <c r="C438" s="114"/>
      <c r="D438" s="114"/>
      <c r="E438" s="114"/>
      <c r="F438" s="114"/>
      <c r="G438" s="114"/>
      <c r="H438" s="114"/>
      <c r="I438" s="114"/>
      <c r="J438" s="114"/>
      <c r="K438" s="114"/>
      <c r="L438" s="114"/>
      <c r="M438" s="114"/>
      <c r="N438" s="114"/>
      <c r="O438" s="242"/>
      <c r="P438" s="243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  <c r="AB438" s="114"/>
      <c r="AC438" s="114"/>
      <c r="AD438" s="114"/>
      <c r="AE438" s="114"/>
      <c r="AF438" s="114"/>
      <c r="AM438" s="114"/>
      <c r="AN438" s="236"/>
      <c r="AO438" s="114"/>
    </row>
    <row r="439" ht="15.75" customHeight="1">
      <c r="C439" s="114"/>
      <c r="D439" s="114"/>
      <c r="E439" s="114"/>
      <c r="F439" s="114"/>
      <c r="G439" s="114"/>
      <c r="H439" s="114"/>
      <c r="I439" s="114"/>
      <c r="J439" s="114"/>
      <c r="K439" s="114"/>
      <c r="L439" s="114"/>
      <c r="M439" s="114"/>
      <c r="N439" s="114"/>
      <c r="O439" s="242"/>
      <c r="P439" s="243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  <c r="AB439" s="114"/>
      <c r="AC439" s="114"/>
      <c r="AD439" s="114"/>
      <c r="AE439" s="114"/>
      <c r="AF439" s="114"/>
      <c r="AM439" s="114"/>
      <c r="AN439" s="236"/>
      <c r="AO439" s="114"/>
    </row>
    <row r="440" ht="15.75" customHeight="1">
      <c r="C440" s="114"/>
      <c r="D440" s="114"/>
      <c r="E440" s="114"/>
      <c r="F440" s="114"/>
      <c r="G440" s="114"/>
      <c r="H440" s="114"/>
      <c r="I440" s="114"/>
      <c r="J440" s="114"/>
      <c r="K440" s="114"/>
      <c r="L440" s="114"/>
      <c r="M440" s="114"/>
      <c r="N440" s="114"/>
      <c r="O440" s="242"/>
      <c r="P440" s="243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  <c r="AB440" s="114"/>
      <c r="AC440" s="114"/>
      <c r="AD440" s="114"/>
      <c r="AE440" s="114"/>
      <c r="AF440" s="114"/>
      <c r="AM440" s="114"/>
      <c r="AN440" s="236"/>
      <c r="AO440" s="114"/>
    </row>
    <row r="441" ht="15.75" customHeight="1">
      <c r="C441" s="114"/>
      <c r="D441" s="114"/>
      <c r="E441" s="114"/>
      <c r="F441" s="114"/>
      <c r="G441" s="114"/>
      <c r="H441" s="114"/>
      <c r="I441" s="114"/>
      <c r="J441" s="114"/>
      <c r="K441" s="114"/>
      <c r="L441" s="114"/>
      <c r="M441" s="114"/>
      <c r="N441" s="114"/>
      <c r="O441" s="242"/>
      <c r="P441" s="243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  <c r="AB441" s="114"/>
      <c r="AC441" s="114"/>
      <c r="AD441" s="114"/>
      <c r="AE441" s="114"/>
      <c r="AF441" s="114"/>
      <c r="AM441" s="114"/>
      <c r="AN441" s="236"/>
      <c r="AO441" s="114"/>
    </row>
    <row r="442" ht="15.75" customHeight="1">
      <c r="C442" s="114"/>
      <c r="D442" s="114"/>
      <c r="E442" s="114"/>
      <c r="F442" s="114"/>
      <c r="G442" s="114"/>
      <c r="H442" s="114"/>
      <c r="I442" s="114"/>
      <c r="J442" s="114"/>
      <c r="K442" s="114"/>
      <c r="L442" s="114"/>
      <c r="M442" s="114"/>
      <c r="N442" s="114"/>
      <c r="O442" s="242"/>
      <c r="P442" s="243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  <c r="AB442" s="114"/>
      <c r="AC442" s="114"/>
      <c r="AD442" s="114"/>
      <c r="AE442" s="114"/>
      <c r="AF442" s="114"/>
      <c r="AM442" s="114"/>
      <c r="AN442" s="236"/>
      <c r="AO442" s="114"/>
    </row>
    <row r="443" ht="15.75" customHeight="1">
      <c r="C443" s="114"/>
      <c r="D443" s="114"/>
      <c r="E443" s="114"/>
      <c r="F443" s="114"/>
      <c r="G443" s="114"/>
      <c r="H443" s="114"/>
      <c r="I443" s="114"/>
      <c r="J443" s="114"/>
      <c r="K443" s="114"/>
      <c r="L443" s="114"/>
      <c r="M443" s="114"/>
      <c r="N443" s="114"/>
      <c r="O443" s="242"/>
      <c r="P443" s="243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  <c r="AB443" s="114"/>
      <c r="AC443" s="114"/>
      <c r="AD443" s="114"/>
      <c r="AE443" s="114"/>
      <c r="AF443" s="114"/>
      <c r="AM443" s="114"/>
      <c r="AN443" s="236"/>
      <c r="AO443" s="114"/>
    </row>
    <row r="444" ht="15.75" customHeight="1">
      <c r="C444" s="114"/>
      <c r="D444" s="114"/>
      <c r="E444" s="114"/>
      <c r="F444" s="114"/>
      <c r="G444" s="114"/>
      <c r="H444" s="114"/>
      <c r="I444" s="114"/>
      <c r="J444" s="114"/>
      <c r="K444" s="114"/>
      <c r="L444" s="114"/>
      <c r="M444" s="114"/>
      <c r="N444" s="114"/>
      <c r="O444" s="242"/>
      <c r="P444" s="243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  <c r="AA444" s="114"/>
      <c r="AB444" s="114"/>
      <c r="AC444" s="114"/>
      <c r="AD444" s="114"/>
      <c r="AE444" s="114"/>
      <c r="AF444" s="114"/>
      <c r="AM444" s="114"/>
      <c r="AN444" s="236"/>
      <c r="AO444" s="114"/>
    </row>
    <row r="445" ht="15.75" customHeight="1">
      <c r="C445" s="114"/>
      <c r="D445" s="114"/>
      <c r="E445" s="114"/>
      <c r="F445" s="114"/>
      <c r="G445" s="114"/>
      <c r="H445" s="114"/>
      <c r="I445" s="114"/>
      <c r="J445" s="114"/>
      <c r="K445" s="114"/>
      <c r="L445" s="114"/>
      <c r="M445" s="114"/>
      <c r="N445" s="114"/>
      <c r="O445" s="242"/>
      <c r="P445" s="243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  <c r="AB445" s="114"/>
      <c r="AC445" s="114"/>
      <c r="AD445" s="114"/>
      <c r="AE445" s="114"/>
      <c r="AF445" s="114"/>
      <c r="AM445" s="114"/>
      <c r="AN445" s="236"/>
      <c r="AO445" s="114"/>
    </row>
    <row r="446" ht="15.75" customHeight="1">
      <c r="C446" s="114"/>
      <c r="D446" s="114"/>
      <c r="E446" s="114"/>
      <c r="F446" s="114"/>
      <c r="G446" s="114"/>
      <c r="H446" s="114"/>
      <c r="I446" s="114"/>
      <c r="J446" s="114"/>
      <c r="K446" s="114"/>
      <c r="L446" s="114"/>
      <c r="M446" s="114"/>
      <c r="N446" s="114"/>
      <c r="O446" s="242"/>
      <c r="P446" s="243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  <c r="AB446" s="114"/>
      <c r="AC446" s="114"/>
      <c r="AD446" s="114"/>
      <c r="AE446" s="114"/>
      <c r="AF446" s="114"/>
      <c r="AM446" s="114"/>
      <c r="AN446" s="236"/>
      <c r="AO446" s="114"/>
    </row>
    <row r="447" ht="15.75" customHeight="1">
      <c r="C447" s="114"/>
      <c r="D447" s="114"/>
      <c r="E447" s="114"/>
      <c r="F447" s="114"/>
      <c r="G447" s="114"/>
      <c r="H447" s="114"/>
      <c r="I447" s="114"/>
      <c r="J447" s="114"/>
      <c r="K447" s="114"/>
      <c r="L447" s="114"/>
      <c r="M447" s="114"/>
      <c r="N447" s="114"/>
      <c r="O447" s="242"/>
      <c r="P447" s="243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  <c r="AB447" s="114"/>
      <c r="AC447" s="114"/>
      <c r="AD447" s="114"/>
      <c r="AE447" s="114"/>
      <c r="AF447" s="114"/>
      <c r="AM447" s="114"/>
      <c r="AN447" s="236"/>
      <c r="AO447" s="114"/>
    </row>
    <row r="448" ht="15.75" customHeight="1">
      <c r="C448" s="114"/>
      <c r="D448" s="114"/>
      <c r="E448" s="114"/>
      <c r="F448" s="114"/>
      <c r="G448" s="114"/>
      <c r="H448" s="114"/>
      <c r="I448" s="114"/>
      <c r="J448" s="114"/>
      <c r="K448" s="114"/>
      <c r="L448" s="114"/>
      <c r="M448" s="114"/>
      <c r="N448" s="114"/>
      <c r="O448" s="242"/>
      <c r="P448" s="243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  <c r="AB448" s="114"/>
      <c r="AC448" s="114"/>
      <c r="AD448" s="114"/>
      <c r="AE448" s="114"/>
      <c r="AF448" s="114"/>
      <c r="AM448" s="114"/>
      <c r="AN448" s="236"/>
      <c r="AO448" s="114"/>
    </row>
    <row r="449" ht="15.75" customHeight="1">
      <c r="C449" s="114"/>
      <c r="D449" s="114"/>
      <c r="E449" s="114"/>
      <c r="F449" s="114"/>
      <c r="G449" s="114"/>
      <c r="H449" s="114"/>
      <c r="I449" s="114"/>
      <c r="J449" s="114"/>
      <c r="K449" s="114"/>
      <c r="L449" s="114"/>
      <c r="M449" s="114"/>
      <c r="N449" s="114"/>
      <c r="O449" s="242"/>
      <c r="P449" s="243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  <c r="AB449" s="114"/>
      <c r="AC449" s="114"/>
      <c r="AD449" s="114"/>
      <c r="AE449" s="114"/>
      <c r="AF449" s="114"/>
      <c r="AM449" s="114"/>
      <c r="AN449" s="236"/>
      <c r="AO449" s="114"/>
    </row>
    <row r="450" ht="15.75" customHeight="1">
      <c r="C450" s="114"/>
      <c r="D450" s="114"/>
      <c r="E450" s="114"/>
      <c r="F450" s="114"/>
      <c r="G450" s="114"/>
      <c r="H450" s="114"/>
      <c r="I450" s="114"/>
      <c r="J450" s="114"/>
      <c r="K450" s="114"/>
      <c r="L450" s="114"/>
      <c r="M450" s="114"/>
      <c r="N450" s="114"/>
      <c r="O450" s="242"/>
      <c r="P450" s="243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  <c r="AB450" s="114"/>
      <c r="AC450" s="114"/>
      <c r="AD450" s="114"/>
      <c r="AE450" s="114"/>
      <c r="AF450" s="114"/>
      <c r="AM450" s="114"/>
      <c r="AN450" s="236"/>
      <c r="AO450" s="114"/>
    </row>
    <row r="451" ht="15.75" customHeight="1">
      <c r="C451" s="114"/>
      <c r="D451" s="114"/>
      <c r="E451" s="114"/>
      <c r="F451" s="114"/>
      <c r="G451" s="114"/>
      <c r="H451" s="114"/>
      <c r="I451" s="114"/>
      <c r="J451" s="114"/>
      <c r="K451" s="114"/>
      <c r="L451" s="114"/>
      <c r="M451" s="114"/>
      <c r="N451" s="114"/>
      <c r="O451" s="242"/>
      <c r="P451" s="243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  <c r="AB451" s="114"/>
      <c r="AC451" s="114"/>
      <c r="AD451" s="114"/>
      <c r="AE451" s="114"/>
      <c r="AF451" s="114"/>
      <c r="AM451" s="114"/>
      <c r="AN451" s="236"/>
      <c r="AO451" s="114"/>
    </row>
    <row r="452" ht="15.75" customHeight="1">
      <c r="C452" s="114"/>
      <c r="D452" s="114"/>
      <c r="E452" s="114"/>
      <c r="F452" s="114"/>
      <c r="G452" s="114"/>
      <c r="H452" s="114"/>
      <c r="I452" s="114"/>
      <c r="J452" s="114"/>
      <c r="K452" s="114"/>
      <c r="L452" s="114"/>
      <c r="M452" s="114"/>
      <c r="N452" s="114"/>
      <c r="O452" s="242"/>
      <c r="P452" s="243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  <c r="AB452" s="114"/>
      <c r="AC452" s="114"/>
      <c r="AD452" s="114"/>
      <c r="AE452" s="114"/>
      <c r="AF452" s="114"/>
      <c r="AM452" s="114"/>
      <c r="AN452" s="236"/>
      <c r="AO452" s="114"/>
    </row>
    <row r="453" ht="15.75" customHeight="1">
      <c r="C453" s="114"/>
      <c r="D453" s="114"/>
      <c r="E453" s="114"/>
      <c r="F453" s="114"/>
      <c r="G453" s="114"/>
      <c r="H453" s="114"/>
      <c r="I453" s="114"/>
      <c r="J453" s="114"/>
      <c r="K453" s="114"/>
      <c r="L453" s="114"/>
      <c r="M453" s="114"/>
      <c r="N453" s="114"/>
      <c r="O453" s="242"/>
      <c r="P453" s="243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  <c r="AB453" s="114"/>
      <c r="AC453" s="114"/>
      <c r="AD453" s="114"/>
      <c r="AE453" s="114"/>
      <c r="AF453" s="114"/>
      <c r="AM453" s="114"/>
      <c r="AN453" s="236"/>
      <c r="AO453" s="114"/>
    </row>
    <row r="454" ht="15.75" customHeight="1">
      <c r="C454" s="114"/>
      <c r="D454" s="114"/>
      <c r="E454" s="114"/>
      <c r="F454" s="114"/>
      <c r="G454" s="114"/>
      <c r="H454" s="114"/>
      <c r="I454" s="114"/>
      <c r="J454" s="114"/>
      <c r="K454" s="114"/>
      <c r="L454" s="114"/>
      <c r="M454" s="114"/>
      <c r="N454" s="114"/>
      <c r="O454" s="242"/>
      <c r="P454" s="243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114"/>
      <c r="AD454" s="114"/>
      <c r="AE454" s="114"/>
      <c r="AF454" s="114"/>
      <c r="AM454" s="114"/>
      <c r="AN454" s="236"/>
      <c r="AO454" s="114"/>
    </row>
    <row r="455" ht="15.75" customHeight="1">
      <c r="C455" s="114"/>
      <c r="D455" s="114"/>
      <c r="E455" s="114"/>
      <c r="F455" s="114"/>
      <c r="G455" s="114"/>
      <c r="H455" s="114"/>
      <c r="I455" s="114"/>
      <c r="J455" s="114"/>
      <c r="K455" s="114"/>
      <c r="L455" s="114"/>
      <c r="M455" s="114"/>
      <c r="N455" s="114"/>
      <c r="O455" s="242"/>
      <c r="P455" s="243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  <c r="AB455" s="114"/>
      <c r="AC455" s="114"/>
      <c r="AD455" s="114"/>
      <c r="AE455" s="114"/>
      <c r="AF455" s="114"/>
      <c r="AM455" s="114"/>
      <c r="AN455" s="236"/>
      <c r="AO455" s="114"/>
    </row>
    <row r="456" ht="15.75" customHeight="1">
      <c r="C456" s="114"/>
      <c r="D456" s="114"/>
      <c r="E456" s="114"/>
      <c r="F456" s="114"/>
      <c r="G456" s="114"/>
      <c r="H456" s="114"/>
      <c r="I456" s="114"/>
      <c r="J456" s="114"/>
      <c r="K456" s="114"/>
      <c r="L456" s="114"/>
      <c r="M456" s="114"/>
      <c r="N456" s="114"/>
      <c r="O456" s="242"/>
      <c r="P456" s="243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  <c r="AB456" s="114"/>
      <c r="AC456" s="114"/>
      <c r="AD456" s="114"/>
      <c r="AE456" s="114"/>
      <c r="AF456" s="114"/>
      <c r="AM456" s="114"/>
      <c r="AN456" s="236"/>
      <c r="AO456" s="114"/>
    </row>
    <row r="457" ht="15.75" customHeight="1">
      <c r="C457" s="114"/>
      <c r="D457" s="114"/>
      <c r="E457" s="114"/>
      <c r="F457" s="114"/>
      <c r="G457" s="114"/>
      <c r="H457" s="114"/>
      <c r="I457" s="114"/>
      <c r="J457" s="114"/>
      <c r="K457" s="114"/>
      <c r="L457" s="114"/>
      <c r="M457" s="114"/>
      <c r="N457" s="114"/>
      <c r="O457" s="242"/>
      <c r="P457" s="243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  <c r="AB457" s="114"/>
      <c r="AC457" s="114"/>
      <c r="AD457" s="114"/>
      <c r="AE457" s="114"/>
      <c r="AF457" s="114"/>
      <c r="AM457" s="114"/>
      <c r="AN457" s="236"/>
      <c r="AO457" s="114"/>
    </row>
    <row r="458" ht="15.75" customHeight="1">
      <c r="C458" s="114"/>
      <c r="D458" s="114"/>
      <c r="E458" s="114"/>
      <c r="F458" s="114"/>
      <c r="G458" s="114"/>
      <c r="H458" s="114"/>
      <c r="I458" s="114"/>
      <c r="J458" s="114"/>
      <c r="K458" s="114"/>
      <c r="L458" s="114"/>
      <c r="M458" s="114"/>
      <c r="N458" s="114"/>
      <c r="O458" s="242"/>
      <c r="P458" s="243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  <c r="AB458" s="114"/>
      <c r="AC458" s="114"/>
      <c r="AD458" s="114"/>
      <c r="AE458" s="114"/>
      <c r="AF458" s="114"/>
      <c r="AM458" s="114"/>
      <c r="AN458" s="236"/>
      <c r="AO458" s="114"/>
    </row>
    <row r="459" ht="15.75" customHeight="1">
      <c r="C459" s="114"/>
      <c r="D459" s="114"/>
      <c r="E459" s="114"/>
      <c r="F459" s="114"/>
      <c r="G459" s="114"/>
      <c r="H459" s="114"/>
      <c r="I459" s="114"/>
      <c r="J459" s="114"/>
      <c r="K459" s="114"/>
      <c r="L459" s="114"/>
      <c r="M459" s="114"/>
      <c r="N459" s="114"/>
      <c r="O459" s="242"/>
      <c r="P459" s="243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  <c r="AB459" s="114"/>
      <c r="AC459" s="114"/>
      <c r="AD459" s="114"/>
      <c r="AE459" s="114"/>
      <c r="AF459" s="114"/>
      <c r="AM459" s="114"/>
      <c r="AN459" s="236"/>
      <c r="AO459" s="114"/>
    </row>
    <row r="460" ht="15.75" customHeight="1">
      <c r="C460" s="114"/>
      <c r="D460" s="114"/>
      <c r="E460" s="114"/>
      <c r="F460" s="114"/>
      <c r="G460" s="114"/>
      <c r="H460" s="114"/>
      <c r="I460" s="114"/>
      <c r="J460" s="114"/>
      <c r="K460" s="114"/>
      <c r="L460" s="114"/>
      <c r="M460" s="114"/>
      <c r="N460" s="114"/>
      <c r="O460" s="242"/>
      <c r="P460" s="243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  <c r="AB460" s="114"/>
      <c r="AC460" s="114"/>
      <c r="AD460" s="114"/>
      <c r="AE460" s="114"/>
      <c r="AF460" s="114"/>
      <c r="AM460" s="114"/>
      <c r="AN460" s="236"/>
      <c r="AO460" s="114"/>
    </row>
    <row r="461" ht="15.75" customHeight="1">
      <c r="C461" s="114"/>
      <c r="D461" s="114"/>
      <c r="E461" s="114"/>
      <c r="F461" s="114"/>
      <c r="G461" s="114"/>
      <c r="H461" s="114"/>
      <c r="I461" s="114"/>
      <c r="J461" s="114"/>
      <c r="K461" s="114"/>
      <c r="L461" s="114"/>
      <c r="M461" s="114"/>
      <c r="N461" s="114"/>
      <c r="O461" s="242"/>
      <c r="P461" s="243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  <c r="AA461" s="114"/>
      <c r="AB461" s="114"/>
      <c r="AC461" s="114"/>
      <c r="AD461" s="114"/>
      <c r="AE461" s="114"/>
      <c r="AF461" s="114"/>
      <c r="AM461" s="114"/>
      <c r="AN461" s="236"/>
      <c r="AO461" s="114"/>
    </row>
    <row r="462" ht="15.75" customHeight="1">
      <c r="C462" s="114"/>
      <c r="D462" s="114"/>
      <c r="E462" s="114"/>
      <c r="F462" s="114"/>
      <c r="G462" s="114"/>
      <c r="H462" s="114"/>
      <c r="I462" s="114"/>
      <c r="J462" s="114"/>
      <c r="K462" s="114"/>
      <c r="L462" s="114"/>
      <c r="M462" s="114"/>
      <c r="N462" s="114"/>
      <c r="O462" s="242"/>
      <c r="P462" s="243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  <c r="AB462" s="114"/>
      <c r="AC462" s="114"/>
      <c r="AD462" s="114"/>
      <c r="AE462" s="114"/>
      <c r="AF462" s="114"/>
      <c r="AM462" s="114"/>
      <c r="AN462" s="236"/>
      <c r="AO462" s="114"/>
    </row>
    <row r="463" ht="15.75" customHeight="1">
      <c r="C463" s="114"/>
      <c r="D463" s="114"/>
      <c r="E463" s="114"/>
      <c r="F463" s="114"/>
      <c r="G463" s="114"/>
      <c r="H463" s="114"/>
      <c r="I463" s="114"/>
      <c r="J463" s="114"/>
      <c r="K463" s="114"/>
      <c r="L463" s="114"/>
      <c r="M463" s="114"/>
      <c r="N463" s="114"/>
      <c r="O463" s="242"/>
      <c r="P463" s="243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  <c r="AB463" s="114"/>
      <c r="AC463" s="114"/>
      <c r="AD463" s="114"/>
      <c r="AE463" s="114"/>
      <c r="AF463" s="114"/>
      <c r="AM463" s="114"/>
      <c r="AN463" s="236"/>
      <c r="AO463" s="114"/>
    </row>
    <row r="464" ht="15.75" customHeight="1">
      <c r="C464" s="114"/>
      <c r="D464" s="114"/>
      <c r="E464" s="114"/>
      <c r="F464" s="114"/>
      <c r="G464" s="114"/>
      <c r="H464" s="114"/>
      <c r="I464" s="114"/>
      <c r="J464" s="114"/>
      <c r="K464" s="114"/>
      <c r="L464" s="114"/>
      <c r="M464" s="114"/>
      <c r="N464" s="114"/>
      <c r="O464" s="242"/>
      <c r="P464" s="243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  <c r="AB464" s="114"/>
      <c r="AC464" s="114"/>
      <c r="AD464" s="114"/>
      <c r="AE464" s="114"/>
      <c r="AF464" s="114"/>
      <c r="AM464" s="114"/>
      <c r="AN464" s="236"/>
      <c r="AO464" s="114"/>
    </row>
    <row r="465" ht="15.75" customHeight="1">
      <c r="C465" s="114"/>
      <c r="D465" s="114"/>
      <c r="E465" s="114"/>
      <c r="F465" s="114"/>
      <c r="G465" s="114"/>
      <c r="H465" s="114"/>
      <c r="I465" s="114"/>
      <c r="J465" s="114"/>
      <c r="K465" s="114"/>
      <c r="L465" s="114"/>
      <c r="M465" s="114"/>
      <c r="N465" s="114"/>
      <c r="O465" s="242"/>
      <c r="P465" s="243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  <c r="AA465" s="114"/>
      <c r="AB465" s="114"/>
      <c r="AC465" s="114"/>
      <c r="AD465" s="114"/>
      <c r="AE465" s="114"/>
      <c r="AF465" s="114"/>
      <c r="AM465" s="114"/>
      <c r="AN465" s="236"/>
      <c r="AO465" s="114"/>
    </row>
    <row r="466" ht="15.75" customHeight="1">
      <c r="C466" s="114"/>
      <c r="D466" s="114"/>
      <c r="E466" s="114"/>
      <c r="F466" s="114"/>
      <c r="G466" s="114"/>
      <c r="H466" s="114"/>
      <c r="I466" s="114"/>
      <c r="J466" s="114"/>
      <c r="K466" s="114"/>
      <c r="L466" s="114"/>
      <c r="M466" s="114"/>
      <c r="N466" s="114"/>
      <c r="O466" s="242"/>
      <c r="P466" s="243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  <c r="AB466" s="114"/>
      <c r="AC466" s="114"/>
      <c r="AD466" s="114"/>
      <c r="AE466" s="114"/>
      <c r="AF466" s="114"/>
      <c r="AM466" s="114"/>
      <c r="AN466" s="236"/>
      <c r="AO466" s="114"/>
    </row>
    <row r="467" ht="15.75" customHeight="1">
      <c r="C467" s="114"/>
      <c r="D467" s="114"/>
      <c r="E467" s="114"/>
      <c r="F467" s="114"/>
      <c r="G467" s="114"/>
      <c r="H467" s="114"/>
      <c r="I467" s="114"/>
      <c r="J467" s="114"/>
      <c r="K467" s="114"/>
      <c r="L467" s="114"/>
      <c r="M467" s="114"/>
      <c r="N467" s="114"/>
      <c r="O467" s="242"/>
      <c r="P467" s="243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  <c r="AB467" s="114"/>
      <c r="AC467" s="114"/>
      <c r="AD467" s="114"/>
      <c r="AE467" s="114"/>
      <c r="AF467" s="114"/>
      <c r="AM467" s="114"/>
      <c r="AN467" s="236"/>
      <c r="AO467" s="114"/>
    </row>
    <row r="468" ht="15.75" customHeight="1">
      <c r="C468" s="114"/>
      <c r="D468" s="114"/>
      <c r="E468" s="114"/>
      <c r="F468" s="114"/>
      <c r="G468" s="114"/>
      <c r="H468" s="114"/>
      <c r="I468" s="114"/>
      <c r="J468" s="114"/>
      <c r="K468" s="114"/>
      <c r="L468" s="114"/>
      <c r="M468" s="114"/>
      <c r="N468" s="114"/>
      <c r="O468" s="242"/>
      <c r="P468" s="243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  <c r="AB468" s="114"/>
      <c r="AC468" s="114"/>
      <c r="AD468" s="114"/>
      <c r="AE468" s="114"/>
      <c r="AF468" s="114"/>
      <c r="AM468" s="114"/>
      <c r="AN468" s="236"/>
      <c r="AO468" s="114"/>
    </row>
    <row r="469" ht="15.75" customHeight="1">
      <c r="C469" s="114"/>
      <c r="D469" s="114"/>
      <c r="E469" s="114"/>
      <c r="F469" s="114"/>
      <c r="G469" s="114"/>
      <c r="H469" s="114"/>
      <c r="I469" s="114"/>
      <c r="J469" s="114"/>
      <c r="K469" s="114"/>
      <c r="L469" s="114"/>
      <c r="M469" s="114"/>
      <c r="N469" s="114"/>
      <c r="O469" s="242"/>
      <c r="P469" s="243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  <c r="AB469" s="114"/>
      <c r="AC469" s="114"/>
      <c r="AD469" s="114"/>
      <c r="AE469" s="114"/>
      <c r="AF469" s="114"/>
      <c r="AM469" s="114"/>
      <c r="AN469" s="236"/>
      <c r="AO469" s="114"/>
    </row>
    <row r="470" ht="15.75" customHeight="1">
      <c r="C470" s="114"/>
      <c r="D470" s="114"/>
      <c r="E470" s="114"/>
      <c r="F470" s="114"/>
      <c r="G470" s="114"/>
      <c r="H470" s="114"/>
      <c r="I470" s="114"/>
      <c r="J470" s="114"/>
      <c r="K470" s="114"/>
      <c r="L470" s="114"/>
      <c r="M470" s="114"/>
      <c r="N470" s="114"/>
      <c r="O470" s="242"/>
      <c r="P470" s="243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  <c r="AB470" s="114"/>
      <c r="AC470" s="114"/>
      <c r="AD470" s="114"/>
      <c r="AE470" s="114"/>
      <c r="AF470" s="114"/>
      <c r="AM470" s="114"/>
      <c r="AN470" s="236"/>
      <c r="AO470" s="114"/>
    </row>
    <row r="471" ht="15.75" customHeight="1">
      <c r="C471" s="114"/>
      <c r="D471" s="114"/>
      <c r="E471" s="114"/>
      <c r="F471" s="114"/>
      <c r="G471" s="114"/>
      <c r="H471" s="114"/>
      <c r="I471" s="114"/>
      <c r="J471" s="114"/>
      <c r="K471" s="114"/>
      <c r="L471" s="114"/>
      <c r="M471" s="114"/>
      <c r="N471" s="114"/>
      <c r="O471" s="242"/>
      <c r="P471" s="243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  <c r="AB471" s="114"/>
      <c r="AC471" s="114"/>
      <c r="AD471" s="114"/>
      <c r="AE471" s="114"/>
      <c r="AF471" s="114"/>
      <c r="AM471" s="114"/>
      <c r="AN471" s="236"/>
      <c r="AO471" s="114"/>
    </row>
    <row r="472" ht="15.75" customHeight="1">
      <c r="C472" s="114"/>
      <c r="D472" s="114"/>
      <c r="E472" s="114"/>
      <c r="F472" s="114"/>
      <c r="G472" s="114"/>
      <c r="H472" s="114"/>
      <c r="I472" s="114"/>
      <c r="J472" s="114"/>
      <c r="K472" s="114"/>
      <c r="L472" s="114"/>
      <c r="M472" s="114"/>
      <c r="N472" s="114"/>
      <c r="O472" s="242"/>
      <c r="P472" s="243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  <c r="AB472" s="114"/>
      <c r="AC472" s="114"/>
      <c r="AD472" s="114"/>
      <c r="AE472" s="114"/>
      <c r="AF472" s="114"/>
      <c r="AM472" s="114"/>
      <c r="AN472" s="236"/>
      <c r="AO472" s="114"/>
    </row>
    <row r="473" ht="15.75" customHeight="1">
      <c r="C473" s="114"/>
      <c r="D473" s="114"/>
      <c r="E473" s="114"/>
      <c r="F473" s="114"/>
      <c r="G473" s="114"/>
      <c r="H473" s="114"/>
      <c r="I473" s="114"/>
      <c r="J473" s="114"/>
      <c r="K473" s="114"/>
      <c r="L473" s="114"/>
      <c r="M473" s="114"/>
      <c r="N473" s="114"/>
      <c r="O473" s="242"/>
      <c r="P473" s="243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  <c r="AB473" s="114"/>
      <c r="AC473" s="114"/>
      <c r="AD473" s="114"/>
      <c r="AE473" s="114"/>
      <c r="AF473" s="114"/>
      <c r="AM473" s="114"/>
      <c r="AN473" s="236"/>
      <c r="AO473" s="114"/>
    </row>
    <row r="474" ht="15.75" customHeight="1">
      <c r="C474" s="114"/>
      <c r="D474" s="114"/>
      <c r="E474" s="114"/>
      <c r="F474" s="114"/>
      <c r="G474" s="114"/>
      <c r="H474" s="114"/>
      <c r="I474" s="114"/>
      <c r="J474" s="114"/>
      <c r="K474" s="114"/>
      <c r="L474" s="114"/>
      <c r="M474" s="114"/>
      <c r="N474" s="114"/>
      <c r="O474" s="242"/>
      <c r="P474" s="243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114"/>
      <c r="AD474" s="114"/>
      <c r="AE474" s="114"/>
      <c r="AF474" s="114"/>
      <c r="AM474" s="114"/>
      <c r="AN474" s="236"/>
      <c r="AO474" s="114"/>
    </row>
    <row r="475" ht="15.75" customHeight="1">
      <c r="C475" s="114"/>
      <c r="D475" s="114"/>
      <c r="E475" s="114"/>
      <c r="F475" s="114"/>
      <c r="G475" s="114"/>
      <c r="H475" s="114"/>
      <c r="I475" s="114"/>
      <c r="J475" s="114"/>
      <c r="K475" s="114"/>
      <c r="L475" s="114"/>
      <c r="M475" s="114"/>
      <c r="N475" s="114"/>
      <c r="O475" s="242"/>
      <c r="P475" s="243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  <c r="AB475" s="114"/>
      <c r="AC475" s="114"/>
      <c r="AD475" s="114"/>
      <c r="AE475" s="114"/>
      <c r="AF475" s="114"/>
      <c r="AM475" s="114"/>
      <c r="AN475" s="236"/>
      <c r="AO475" s="114"/>
    </row>
    <row r="476" ht="15.75" customHeight="1">
      <c r="C476" s="114"/>
      <c r="D476" s="114"/>
      <c r="E476" s="114"/>
      <c r="F476" s="114"/>
      <c r="G476" s="114"/>
      <c r="H476" s="114"/>
      <c r="I476" s="114"/>
      <c r="J476" s="114"/>
      <c r="K476" s="114"/>
      <c r="L476" s="114"/>
      <c r="M476" s="114"/>
      <c r="N476" s="114"/>
      <c r="O476" s="242"/>
      <c r="P476" s="243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  <c r="AB476" s="114"/>
      <c r="AC476" s="114"/>
      <c r="AD476" s="114"/>
      <c r="AE476" s="114"/>
      <c r="AF476" s="114"/>
      <c r="AM476" s="114"/>
      <c r="AN476" s="236"/>
      <c r="AO476" s="114"/>
    </row>
    <row r="477" ht="15.75" customHeight="1">
      <c r="C477" s="114"/>
      <c r="D477" s="114"/>
      <c r="E477" s="114"/>
      <c r="F477" s="114"/>
      <c r="G477" s="114"/>
      <c r="H477" s="114"/>
      <c r="I477" s="114"/>
      <c r="J477" s="114"/>
      <c r="K477" s="114"/>
      <c r="L477" s="114"/>
      <c r="M477" s="114"/>
      <c r="N477" s="114"/>
      <c r="O477" s="242"/>
      <c r="P477" s="243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  <c r="AB477" s="114"/>
      <c r="AC477" s="114"/>
      <c r="AD477" s="114"/>
      <c r="AE477" s="114"/>
      <c r="AF477" s="114"/>
      <c r="AM477" s="114"/>
      <c r="AN477" s="236"/>
      <c r="AO477" s="114"/>
    </row>
    <row r="478" ht="15.75" customHeight="1">
      <c r="C478" s="114"/>
      <c r="D478" s="114"/>
      <c r="E478" s="114"/>
      <c r="F478" s="114"/>
      <c r="G478" s="114"/>
      <c r="H478" s="114"/>
      <c r="I478" s="114"/>
      <c r="J478" s="114"/>
      <c r="K478" s="114"/>
      <c r="L478" s="114"/>
      <c r="M478" s="114"/>
      <c r="N478" s="114"/>
      <c r="O478" s="242"/>
      <c r="P478" s="243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  <c r="AB478" s="114"/>
      <c r="AC478" s="114"/>
      <c r="AD478" s="114"/>
      <c r="AE478" s="114"/>
      <c r="AF478" s="114"/>
      <c r="AM478" s="114"/>
      <c r="AN478" s="236"/>
      <c r="AO478" s="114"/>
    </row>
    <row r="479" ht="15.75" customHeight="1">
      <c r="C479" s="114"/>
      <c r="D479" s="114"/>
      <c r="E479" s="114"/>
      <c r="F479" s="114"/>
      <c r="G479" s="114"/>
      <c r="H479" s="114"/>
      <c r="I479" s="114"/>
      <c r="J479" s="114"/>
      <c r="K479" s="114"/>
      <c r="L479" s="114"/>
      <c r="M479" s="114"/>
      <c r="N479" s="114"/>
      <c r="O479" s="242"/>
      <c r="P479" s="243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  <c r="AB479" s="114"/>
      <c r="AC479" s="114"/>
      <c r="AD479" s="114"/>
      <c r="AE479" s="114"/>
      <c r="AF479" s="114"/>
      <c r="AM479" s="114"/>
      <c r="AN479" s="236"/>
      <c r="AO479" s="114"/>
    </row>
    <row r="480" ht="15.75" customHeight="1">
      <c r="C480" s="114"/>
      <c r="D480" s="114"/>
      <c r="E480" s="114"/>
      <c r="F480" s="114"/>
      <c r="G480" s="114"/>
      <c r="H480" s="114"/>
      <c r="I480" s="114"/>
      <c r="J480" s="114"/>
      <c r="K480" s="114"/>
      <c r="L480" s="114"/>
      <c r="M480" s="114"/>
      <c r="N480" s="114"/>
      <c r="O480" s="242"/>
      <c r="P480" s="243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  <c r="AB480" s="114"/>
      <c r="AC480" s="114"/>
      <c r="AD480" s="114"/>
      <c r="AE480" s="114"/>
      <c r="AF480" s="114"/>
      <c r="AM480" s="114"/>
      <c r="AN480" s="236"/>
      <c r="AO480" s="114"/>
    </row>
    <row r="481" ht="15.75" customHeight="1">
      <c r="C481" s="114"/>
      <c r="D481" s="114"/>
      <c r="E481" s="114"/>
      <c r="F481" s="114"/>
      <c r="G481" s="114"/>
      <c r="H481" s="114"/>
      <c r="I481" s="114"/>
      <c r="J481" s="114"/>
      <c r="K481" s="114"/>
      <c r="L481" s="114"/>
      <c r="M481" s="114"/>
      <c r="N481" s="114"/>
      <c r="O481" s="242"/>
      <c r="P481" s="243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  <c r="AB481" s="114"/>
      <c r="AC481" s="114"/>
      <c r="AD481" s="114"/>
      <c r="AE481" s="114"/>
      <c r="AF481" s="114"/>
      <c r="AM481" s="114"/>
      <c r="AN481" s="236"/>
      <c r="AO481" s="114"/>
    </row>
    <row r="482" ht="15.75" customHeight="1">
      <c r="C482" s="114"/>
      <c r="D482" s="114"/>
      <c r="E482" s="114"/>
      <c r="F482" s="114"/>
      <c r="G482" s="114"/>
      <c r="H482" s="114"/>
      <c r="I482" s="114"/>
      <c r="J482" s="114"/>
      <c r="K482" s="114"/>
      <c r="L482" s="114"/>
      <c r="M482" s="114"/>
      <c r="N482" s="114"/>
      <c r="O482" s="242"/>
      <c r="P482" s="243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  <c r="AA482" s="114"/>
      <c r="AB482" s="114"/>
      <c r="AC482" s="114"/>
      <c r="AD482" s="114"/>
      <c r="AE482" s="114"/>
      <c r="AF482" s="114"/>
      <c r="AM482" s="114"/>
      <c r="AN482" s="236"/>
      <c r="AO482" s="114"/>
    </row>
    <row r="483" ht="15.75" customHeight="1">
      <c r="C483" s="114"/>
      <c r="D483" s="114"/>
      <c r="E483" s="114"/>
      <c r="F483" s="114"/>
      <c r="G483" s="114"/>
      <c r="H483" s="114"/>
      <c r="I483" s="114"/>
      <c r="J483" s="114"/>
      <c r="K483" s="114"/>
      <c r="L483" s="114"/>
      <c r="M483" s="114"/>
      <c r="N483" s="114"/>
      <c r="O483" s="242"/>
      <c r="P483" s="243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  <c r="AB483" s="114"/>
      <c r="AC483" s="114"/>
      <c r="AD483" s="114"/>
      <c r="AE483" s="114"/>
      <c r="AF483" s="114"/>
      <c r="AM483" s="114"/>
      <c r="AN483" s="236"/>
      <c r="AO483" s="114"/>
    </row>
    <row r="484" ht="15.75" customHeight="1">
      <c r="C484" s="114"/>
      <c r="D484" s="114"/>
      <c r="E484" s="114"/>
      <c r="F484" s="114"/>
      <c r="G484" s="114"/>
      <c r="H484" s="114"/>
      <c r="I484" s="114"/>
      <c r="J484" s="114"/>
      <c r="K484" s="114"/>
      <c r="L484" s="114"/>
      <c r="M484" s="114"/>
      <c r="N484" s="114"/>
      <c r="O484" s="242"/>
      <c r="P484" s="243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  <c r="AB484" s="114"/>
      <c r="AC484" s="114"/>
      <c r="AD484" s="114"/>
      <c r="AE484" s="114"/>
      <c r="AF484" s="114"/>
      <c r="AM484" s="114"/>
      <c r="AN484" s="236"/>
      <c r="AO484" s="114"/>
    </row>
    <row r="485" ht="15.75" customHeight="1">
      <c r="C485" s="114"/>
      <c r="D485" s="114"/>
      <c r="E485" s="114"/>
      <c r="F485" s="114"/>
      <c r="G485" s="114"/>
      <c r="H485" s="114"/>
      <c r="I485" s="114"/>
      <c r="J485" s="114"/>
      <c r="K485" s="114"/>
      <c r="L485" s="114"/>
      <c r="M485" s="114"/>
      <c r="N485" s="114"/>
      <c r="O485" s="242"/>
      <c r="P485" s="243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  <c r="AB485" s="114"/>
      <c r="AC485" s="114"/>
      <c r="AD485" s="114"/>
      <c r="AE485" s="114"/>
      <c r="AF485" s="114"/>
      <c r="AM485" s="114"/>
      <c r="AN485" s="236"/>
      <c r="AO485" s="114"/>
    </row>
    <row r="486" ht="15.75" customHeight="1">
      <c r="C486" s="114"/>
      <c r="D486" s="114"/>
      <c r="E486" s="114"/>
      <c r="F486" s="114"/>
      <c r="G486" s="114"/>
      <c r="H486" s="114"/>
      <c r="I486" s="114"/>
      <c r="J486" s="114"/>
      <c r="K486" s="114"/>
      <c r="L486" s="114"/>
      <c r="M486" s="114"/>
      <c r="N486" s="114"/>
      <c r="O486" s="242"/>
      <c r="P486" s="243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  <c r="AA486" s="114"/>
      <c r="AB486" s="114"/>
      <c r="AC486" s="114"/>
      <c r="AD486" s="114"/>
      <c r="AE486" s="114"/>
      <c r="AF486" s="114"/>
      <c r="AM486" s="114"/>
      <c r="AN486" s="236"/>
      <c r="AO486" s="114"/>
    </row>
    <row r="487" ht="15.75" customHeight="1">
      <c r="C487" s="114"/>
      <c r="D487" s="114"/>
      <c r="E487" s="114"/>
      <c r="F487" s="114"/>
      <c r="G487" s="114"/>
      <c r="H487" s="114"/>
      <c r="I487" s="114"/>
      <c r="J487" s="114"/>
      <c r="K487" s="114"/>
      <c r="L487" s="114"/>
      <c r="M487" s="114"/>
      <c r="N487" s="114"/>
      <c r="O487" s="242"/>
      <c r="P487" s="243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  <c r="AB487" s="114"/>
      <c r="AC487" s="114"/>
      <c r="AD487" s="114"/>
      <c r="AE487" s="114"/>
      <c r="AF487" s="114"/>
      <c r="AM487" s="114"/>
      <c r="AN487" s="236"/>
      <c r="AO487" s="114"/>
    </row>
    <row r="488" ht="15.75" customHeight="1">
      <c r="C488" s="114"/>
      <c r="D488" s="114"/>
      <c r="E488" s="114"/>
      <c r="F488" s="114"/>
      <c r="G488" s="114"/>
      <c r="H488" s="114"/>
      <c r="I488" s="114"/>
      <c r="J488" s="114"/>
      <c r="K488" s="114"/>
      <c r="L488" s="114"/>
      <c r="M488" s="114"/>
      <c r="N488" s="114"/>
      <c r="O488" s="242"/>
      <c r="P488" s="243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  <c r="AB488" s="114"/>
      <c r="AC488" s="114"/>
      <c r="AD488" s="114"/>
      <c r="AE488" s="114"/>
      <c r="AF488" s="114"/>
      <c r="AM488" s="114"/>
      <c r="AN488" s="236"/>
      <c r="AO488" s="114"/>
    </row>
    <row r="489" ht="15.75" customHeight="1">
      <c r="C489" s="114"/>
      <c r="D489" s="114"/>
      <c r="E489" s="114"/>
      <c r="F489" s="114"/>
      <c r="G489" s="114"/>
      <c r="H489" s="114"/>
      <c r="I489" s="114"/>
      <c r="J489" s="114"/>
      <c r="K489" s="114"/>
      <c r="L489" s="114"/>
      <c r="M489" s="114"/>
      <c r="N489" s="114"/>
      <c r="O489" s="242"/>
      <c r="P489" s="243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  <c r="AB489" s="114"/>
      <c r="AC489" s="114"/>
      <c r="AD489" s="114"/>
      <c r="AE489" s="114"/>
      <c r="AF489" s="114"/>
      <c r="AM489" s="114"/>
      <c r="AN489" s="236"/>
      <c r="AO489" s="114"/>
    </row>
    <row r="490" ht="15.75" customHeight="1">
      <c r="C490" s="114"/>
      <c r="D490" s="114"/>
      <c r="E490" s="114"/>
      <c r="F490" s="114"/>
      <c r="G490" s="114"/>
      <c r="H490" s="114"/>
      <c r="I490" s="114"/>
      <c r="J490" s="114"/>
      <c r="K490" s="114"/>
      <c r="L490" s="114"/>
      <c r="M490" s="114"/>
      <c r="N490" s="114"/>
      <c r="O490" s="242"/>
      <c r="P490" s="243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  <c r="AB490" s="114"/>
      <c r="AC490" s="114"/>
      <c r="AD490" s="114"/>
      <c r="AE490" s="114"/>
      <c r="AF490" s="114"/>
      <c r="AM490" s="114"/>
      <c r="AN490" s="236"/>
      <c r="AO490" s="114"/>
    </row>
    <row r="491" ht="15.75" customHeight="1">
      <c r="C491" s="114"/>
      <c r="D491" s="114"/>
      <c r="E491" s="114"/>
      <c r="F491" s="114"/>
      <c r="G491" s="114"/>
      <c r="H491" s="114"/>
      <c r="I491" s="114"/>
      <c r="J491" s="114"/>
      <c r="K491" s="114"/>
      <c r="L491" s="114"/>
      <c r="M491" s="114"/>
      <c r="N491" s="114"/>
      <c r="O491" s="242"/>
      <c r="P491" s="243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  <c r="AB491" s="114"/>
      <c r="AC491" s="114"/>
      <c r="AD491" s="114"/>
      <c r="AE491" s="114"/>
      <c r="AF491" s="114"/>
      <c r="AM491" s="114"/>
      <c r="AN491" s="236"/>
      <c r="AO491" s="114"/>
    </row>
    <row r="492" ht="15.75" customHeight="1">
      <c r="C492" s="114"/>
      <c r="D492" s="114"/>
      <c r="E492" s="114"/>
      <c r="F492" s="114"/>
      <c r="G492" s="114"/>
      <c r="H492" s="114"/>
      <c r="I492" s="114"/>
      <c r="J492" s="114"/>
      <c r="K492" s="114"/>
      <c r="L492" s="114"/>
      <c r="M492" s="114"/>
      <c r="N492" s="114"/>
      <c r="O492" s="242"/>
      <c r="P492" s="243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  <c r="AB492" s="114"/>
      <c r="AC492" s="114"/>
      <c r="AD492" s="114"/>
      <c r="AE492" s="114"/>
      <c r="AF492" s="114"/>
      <c r="AM492" s="114"/>
      <c r="AN492" s="236"/>
      <c r="AO492" s="114"/>
    </row>
    <row r="493" ht="15.75" customHeight="1">
      <c r="C493" s="114"/>
      <c r="D493" s="114"/>
      <c r="E493" s="114"/>
      <c r="F493" s="114"/>
      <c r="G493" s="114"/>
      <c r="H493" s="114"/>
      <c r="I493" s="114"/>
      <c r="J493" s="114"/>
      <c r="K493" s="114"/>
      <c r="L493" s="114"/>
      <c r="M493" s="114"/>
      <c r="N493" s="114"/>
      <c r="O493" s="242"/>
      <c r="P493" s="243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  <c r="AB493" s="114"/>
      <c r="AC493" s="114"/>
      <c r="AD493" s="114"/>
      <c r="AE493" s="114"/>
      <c r="AF493" s="114"/>
      <c r="AM493" s="114"/>
      <c r="AN493" s="236"/>
      <c r="AO493" s="114"/>
    </row>
    <row r="494" ht="15.75" customHeight="1">
      <c r="C494" s="114"/>
      <c r="D494" s="114"/>
      <c r="E494" s="114"/>
      <c r="F494" s="114"/>
      <c r="G494" s="114"/>
      <c r="H494" s="114"/>
      <c r="I494" s="114"/>
      <c r="J494" s="114"/>
      <c r="K494" s="114"/>
      <c r="L494" s="114"/>
      <c r="M494" s="114"/>
      <c r="N494" s="114"/>
      <c r="O494" s="242"/>
      <c r="P494" s="243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  <c r="AB494" s="114"/>
      <c r="AC494" s="114"/>
      <c r="AD494" s="114"/>
      <c r="AE494" s="114"/>
      <c r="AF494" s="114"/>
      <c r="AM494" s="114"/>
      <c r="AN494" s="236"/>
      <c r="AO494" s="114"/>
    </row>
    <row r="495" ht="15.75" customHeight="1">
      <c r="C495" s="114"/>
      <c r="D495" s="114"/>
      <c r="E495" s="114"/>
      <c r="F495" s="114"/>
      <c r="G495" s="114"/>
      <c r="H495" s="114"/>
      <c r="I495" s="114"/>
      <c r="J495" s="114"/>
      <c r="K495" s="114"/>
      <c r="L495" s="114"/>
      <c r="M495" s="114"/>
      <c r="N495" s="114"/>
      <c r="O495" s="242"/>
      <c r="P495" s="243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  <c r="AB495" s="114"/>
      <c r="AC495" s="114"/>
      <c r="AD495" s="114"/>
      <c r="AE495" s="114"/>
      <c r="AF495" s="114"/>
      <c r="AM495" s="114"/>
      <c r="AN495" s="236"/>
      <c r="AO495" s="114"/>
    </row>
    <row r="496" ht="15.75" customHeight="1">
      <c r="C496" s="114"/>
      <c r="D496" s="114"/>
      <c r="E496" s="114"/>
      <c r="F496" s="114"/>
      <c r="G496" s="114"/>
      <c r="H496" s="114"/>
      <c r="I496" s="114"/>
      <c r="J496" s="114"/>
      <c r="K496" s="114"/>
      <c r="L496" s="114"/>
      <c r="M496" s="114"/>
      <c r="N496" s="114"/>
      <c r="O496" s="242"/>
      <c r="P496" s="243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  <c r="AB496" s="114"/>
      <c r="AC496" s="114"/>
      <c r="AD496" s="114"/>
      <c r="AE496" s="114"/>
      <c r="AF496" s="114"/>
      <c r="AM496" s="114"/>
      <c r="AN496" s="236"/>
      <c r="AO496" s="114"/>
    </row>
    <row r="497" ht="15.75" customHeight="1">
      <c r="C497" s="114"/>
      <c r="D497" s="114"/>
      <c r="E497" s="114"/>
      <c r="F497" s="114"/>
      <c r="G497" s="114"/>
      <c r="H497" s="114"/>
      <c r="I497" s="114"/>
      <c r="J497" s="114"/>
      <c r="K497" s="114"/>
      <c r="L497" s="114"/>
      <c r="M497" s="114"/>
      <c r="N497" s="114"/>
      <c r="O497" s="242"/>
      <c r="P497" s="243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  <c r="AB497" s="114"/>
      <c r="AC497" s="114"/>
      <c r="AD497" s="114"/>
      <c r="AE497" s="114"/>
      <c r="AF497" s="114"/>
      <c r="AM497" s="114"/>
      <c r="AN497" s="236"/>
      <c r="AO497" s="114"/>
    </row>
    <row r="498" ht="15.75" customHeight="1">
      <c r="C498" s="114"/>
      <c r="D498" s="114"/>
      <c r="E498" s="114"/>
      <c r="F498" s="114"/>
      <c r="G498" s="114"/>
      <c r="H498" s="114"/>
      <c r="I498" s="114"/>
      <c r="J498" s="114"/>
      <c r="K498" s="114"/>
      <c r="L498" s="114"/>
      <c r="M498" s="114"/>
      <c r="N498" s="114"/>
      <c r="O498" s="242"/>
      <c r="P498" s="243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  <c r="AB498" s="114"/>
      <c r="AC498" s="114"/>
      <c r="AD498" s="114"/>
      <c r="AE498" s="114"/>
      <c r="AF498" s="114"/>
      <c r="AM498" s="114"/>
      <c r="AN498" s="236"/>
      <c r="AO498" s="114"/>
    </row>
    <row r="499" ht="15.75" customHeight="1">
      <c r="C499" s="114"/>
      <c r="D499" s="114"/>
      <c r="E499" s="114"/>
      <c r="F499" s="114"/>
      <c r="G499" s="114"/>
      <c r="H499" s="114"/>
      <c r="I499" s="114"/>
      <c r="J499" s="114"/>
      <c r="K499" s="114"/>
      <c r="L499" s="114"/>
      <c r="M499" s="114"/>
      <c r="N499" s="114"/>
      <c r="O499" s="242"/>
      <c r="P499" s="243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  <c r="AB499" s="114"/>
      <c r="AC499" s="114"/>
      <c r="AD499" s="114"/>
      <c r="AE499" s="114"/>
      <c r="AF499" s="114"/>
      <c r="AM499" s="114"/>
      <c r="AN499" s="236"/>
      <c r="AO499" s="114"/>
    </row>
    <row r="500" ht="15.75" customHeight="1">
      <c r="C500" s="114"/>
      <c r="D500" s="114"/>
      <c r="E500" s="114"/>
      <c r="F500" s="114"/>
      <c r="G500" s="114"/>
      <c r="H500" s="114"/>
      <c r="I500" s="114"/>
      <c r="J500" s="114"/>
      <c r="K500" s="114"/>
      <c r="L500" s="114"/>
      <c r="M500" s="114"/>
      <c r="N500" s="114"/>
      <c r="O500" s="242"/>
      <c r="P500" s="243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  <c r="AB500" s="114"/>
      <c r="AC500" s="114"/>
      <c r="AD500" s="114"/>
      <c r="AE500" s="114"/>
      <c r="AF500" s="114"/>
      <c r="AM500" s="114"/>
      <c r="AN500" s="236"/>
      <c r="AO500" s="114"/>
    </row>
    <row r="501" ht="15.75" customHeight="1">
      <c r="C501" s="114"/>
      <c r="D501" s="114"/>
      <c r="E501" s="114"/>
      <c r="F501" s="114"/>
      <c r="G501" s="114"/>
      <c r="H501" s="114"/>
      <c r="I501" s="114"/>
      <c r="J501" s="114"/>
      <c r="K501" s="114"/>
      <c r="L501" s="114"/>
      <c r="M501" s="114"/>
      <c r="N501" s="114"/>
      <c r="O501" s="242"/>
      <c r="P501" s="243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  <c r="AB501" s="114"/>
      <c r="AC501" s="114"/>
      <c r="AD501" s="114"/>
      <c r="AE501" s="114"/>
      <c r="AF501" s="114"/>
      <c r="AM501" s="114"/>
      <c r="AN501" s="236"/>
      <c r="AO501" s="114"/>
    </row>
    <row r="502" ht="15.75" customHeight="1">
      <c r="C502" s="114"/>
      <c r="D502" s="114"/>
      <c r="E502" s="114"/>
      <c r="F502" s="114"/>
      <c r="G502" s="114"/>
      <c r="H502" s="114"/>
      <c r="I502" s="114"/>
      <c r="J502" s="114"/>
      <c r="K502" s="114"/>
      <c r="L502" s="114"/>
      <c r="M502" s="114"/>
      <c r="N502" s="114"/>
      <c r="O502" s="242"/>
      <c r="P502" s="243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  <c r="AA502" s="114"/>
      <c r="AB502" s="114"/>
      <c r="AC502" s="114"/>
      <c r="AD502" s="114"/>
      <c r="AE502" s="114"/>
      <c r="AF502" s="114"/>
      <c r="AM502" s="114"/>
      <c r="AN502" s="236"/>
      <c r="AO502" s="114"/>
    </row>
    <row r="503" ht="15.75" customHeight="1">
      <c r="C503" s="114"/>
      <c r="D503" s="114"/>
      <c r="E503" s="114"/>
      <c r="F503" s="114"/>
      <c r="G503" s="114"/>
      <c r="H503" s="114"/>
      <c r="I503" s="114"/>
      <c r="J503" s="114"/>
      <c r="K503" s="114"/>
      <c r="L503" s="114"/>
      <c r="M503" s="114"/>
      <c r="N503" s="114"/>
      <c r="O503" s="242"/>
      <c r="P503" s="243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  <c r="AB503" s="114"/>
      <c r="AC503" s="114"/>
      <c r="AD503" s="114"/>
      <c r="AE503" s="114"/>
      <c r="AF503" s="114"/>
      <c r="AM503" s="114"/>
      <c r="AN503" s="236"/>
      <c r="AO503" s="114"/>
    </row>
    <row r="504" ht="15.75" customHeight="1">
      <c r="C504" s="114"/>
      <c r="D504" s="114"/>
      <c r="E504" s="114"/>
      <c r="F504" s="114"/>
      <c r="G504" s="114"/>
      <c r="H504" s="114"/>
      <c r="I504" s="114"/>
      <c r="J504" s="114"/>
      <c r="K504" s="114"/>
      <c r="L504" s="114"/>
      <c r="M504" s="114"/>
      <c r="N504" s="114"/>
      <c r="O504" s="242"/>
      <c r="P504" s="243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  <c r="AB504" s="114"/>
      <c r="AC504" s="114"/>
      <c r="AD504" s="114"/>
      <c r="AE504" s="114"/>
      <c r="AF504" s="114"/>
      <c r="AM504" s="114"/>
      <c r="AN504" s="236"/>
      <c r="AO504" s="114"/>
    </row>
    <row r="505" ht="15.75" customHeight="1">
      <c r="C505" s="114"/>
      <c r="D505" s="114"/>
      <c r="E505" s="114"/>
      <c r="F505" s="114"/>
      <c r="G505" s="114"/>
      <c r="H505" s="114"/>
      <c r="I505" s="114"/>
      <c r="J505" s="114"/>
      <c r="K505" s="114"/>
      <c r="L505" s="114"/>
      <c r="M505" s="114"/>
      <c r="N505" s="114"/>
      <c r="O505" s="242"/>
      <c r="P505" s="243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  <c r="AB505" s="114"/>
      <c r="AC505" s="114"/>
      <c r="AD505" s="114"/>
      <c r="AE505" s="114"/>
      <c r="AF505" s="114"/>
      <c r="AM505" s="114"/>
      <c r="AN505" s="236"/>
      <c r="AO505" s="114"/>
    </row>
    <row r="506" ht="15.75" customHeight="1">
      <c r="C506" s="114"/>
      <c r="D506" s="114"/>
      <c r="E506" s="114"/>
      <c r="F506" s="114"/>
      <c r="G506" s="114"/>
      <c r="H506" s="114"/>
      <c r="I506" s="114"/>
      <c r="J506" s="114"/>
      <c r="K506" s="114"/>
      <c r="L506" s="114"/>
      <c r="M506" s="114"/>
      <c r="N506" s="114"/>
      <c r="O506" s="242"/>
      <c r="P506" s="243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  <c r="AA506" s="114"/>
      <c r="AB506" s="114"/>
      <c r="AC506" s="114"/>
      <c r="AD506" s="114"/>
      <c r="AE506" s="114"/>
      <c r="AF506" s="114"/>
      <c r="AM506" s="114"/>
      <c r="AN506" s="236"/>
      <c r="AO506" s="114"/>
    </row>
    <row r="507" ht="15.75" customHeight="1">
      <c r="C507" s="114"/>
      <c r="D507" s="114"/>
      <c r="E507" s="114"/>
      <c r="F507" s="114"/>
      <c r="G507" s="114"/>
      <c r="H507" s="114"/>
      <c r="I507" s="114"/>
      <c r="J507" s="114"/>
      <c r="K507" s="114"/>
      <c r="L507" s="114"/>
      <c r="M507" s="114"/>
      <c r="N507" s="114"/>
      <c r="O507" s="242"/>
      <c r="P507" s="243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  <c r="AB507" s="114"/>
      <c r="AC507" s="114"/>
      <c r="AD507" s="114"/>
      <c r="AE507" s="114"/>
      <c r="AF507" s="114"/>
      <c r="AM507" s="114"/>
      <c r="AN507" s="236"/>
      <c r="AO507" s="114"/>
    </row>
    <row r="508" ht="15.75" customHeight="1">
      <c r="C508" s="114"/>
      <c r="D508" s="114"/>
      <c r="E508" s="114"/>
      <c r="F508" s="114"/>
      <c r="G508" s="114"/>
      <c r="H508" s="114"/>
      <c r="I508" s="114"/>
      <c r="J508" s="114"/>
      <c r="K508" s="114"/>
      <c r="L508" s="114"/>
      <c r="M508" s="114"/>
      <c r="N508" s="114"/>
      <c r="O508" s="242"/>
      <c r="P508" s="243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  <c r="AB508" s="114"/>
      <c r="AC508" s="114"/>
      <c r="AD508" s="114"/>
      <c r="AE508" s="114"/>
      <c r="AF508" s="114"/>
      <c r="AM508" s="114"/>
      <c r="AN508" s="236"/>
      <c r="AO508" s="114"/>
    </row>
    <row r="509" ht="15.75" customHeight="1">
      <c r="C509" s="114"/>
      <c r="D509" s="114"/>
      <c r="E509" s="114"/>
      <c r="F509" s="114"/>
      <c r="G509" s="114"/>
      <c r="H509" s="114"/>
      <c r="I509" s="114"/>
      <c r="J509" s="114"/>
      <c r="K509" s="114"/>
      <c r="L509" s="114"/>
      <c r="M509" s="114"/>
      <c r="N509" s="114"/>
      <c r="O509" s="242"/>
      <c r="P509" s="243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  <c r="AB509" s="114"/>
      <c r="AC509" s="114"/>
      <c r="AD509" s="114"/>
      <c r="AE509" s="114"/>
      <c r="AF509" s="114"/>
      <c r="AM509" s="114"/>
      <c r="AN509" s="236"/>
      <c r="AO509" s="114"/>
    </row>
    <row r="510" ht="15.75" customHeight="1">
      <c r="C510" s="114"/>
      <c r="D510" s="114"/>
      <c r="E510" s="114"/>
      <c r="F510" s="114"/>
      <c r="G510" s="114"/>
      <c r="H510" s="114"/>
      <c r="I510" s="114"/>
      <c r="J510" s="114"/>
      <c r="K510" s="114"/>
      <c r="L510" s="114"/>
      <c r="M510" s="114"/>
      <c r="N510" s="114"/>
      <c r="O510" s="242"/>
      <c r="P510" s="243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  <c r="AB510" s="114"/>
      <c r="AC510" s="114"/>
      <c r="AD510" s="114"/>
      <c r="AE510" s="114"/>
      <c r="AF510" s="114"/>
      <c r="AM510" s="114"/>
      <c r="AN510" s="236"/>
      <c r="AO510" s="114"/>
    </row>
    <row r="511" ht="15.75" customHeight="1">
      <c r="C511" s="114"/>
      <c r="D511" s="114"/>
      <c r="E511" s="114"/>
      <c r="F511" s="114"/>
      <c r="G511" s="114"/>
      <c r="H511" s="114"/>
      <c r="I511" s="114"/>
      <c r="J511" s="114"/>
      <c r="K511" s="114"/>
      <c r="L511" s="114"/>
      <c r="M511" s="114"/>
      <c r="N511" s="114"/>
      <c r="O511" s="242"/>
      <c r="P511" s="243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  <c r="AB511" s="114"/>
      <c r="AC511" s="114"/>
      <c r="AD511" s="114"/>
      <c r="AE511" s="114"/>
      <c r="AF511" s="114"/>
      <c r="AM511" s="114"/>
      <c r="AN511" s="236"/>
      <c r="AO511" s="114"/>
    </row>
    <row r="512" ht="15.75" customHeight="1">
      <c r="C512" s="114"/>
      <c r="D512" s="114"/>
      <c r="E512" s="114"/>
      <c r="F512" s="114"/>
      <c r="G512" s="114"/>
      <c r="H512" s="114"/>
      <c r="I512" s="114"/>
      <c r="J512" s="114"/>
      <c r="K512" s="114"/>
      <c r="L512" s="114"/>
      <c r="M512" s="114"/>
      <c r="N512" s="114"/>
      <c r="O512" s="242"/>
      <c r="P512" s="243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  <c r="AB512" s="114"/>
      <c r="AC512" s="114"/>
      <c r="AD512" s="114"/>
      <c r="AE512" s="114"/>
      <c r="AF512" s="114"/>
      <c r="AM512" s="114"/>
      <c r="AN512" s="236"/>
      <c r="AO512" s="114"/>
    </row>
    <row r="513" ht="15.75" customHeight="1">
      <c r="C513" s="114"/>
      <c r="D513" s="114"/>
      <c r="E513" s="114"/>
      <c r="F513" s="114"/>
      <c r="G513" s="114"/>
      <c r="H513" s="114"/>
      <c r="I513" s="114"/>
      <c r="J513" s="114"/>
      <c r="K513" s="114"/>
      <c r="L513" s="114"/>
      <c r="M513" s="114"/>
      <c r="N513" s="114"/>
      <c r="O513" s="242"/>
      <c r="P513" s="243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  <c r="AB513" s="114"/>
      <c r="AC513" s="114"/>
      <c r="AD513" s="114"/>
      <c r="AE513" s="114"/>
      <c r="AF513" s="114"/>
      <c r="AM513" s="114"/>
      <c r="AN513" s="236"/>
      <c r="AO513" s="114"/>
    </row>
    <row r="514" ht="15.75" customHeight="1">
      <c r="C514" s="114"/>
      <c r="D514" s="114"/>
      <c r="E514" s="114"/>
      <c r="F514" s="114"/>
      <c r="G514" s="114"/>
      <c r="H514" s="114"/>
      <c r="I514" s="114"/>
      <c r="J514" s="114"/>
      <c r="K514" s="114"/>
      <c r="L514" s="114"/>
      <c r="M514" s="114"/>
      <c r="N514" s="114"/>
      <c r="O514" s="242"/>
      <c r="P514" s="243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  <c r="AB514" s="114"/>
      <c r="AC514" s="114"/>
      <c r="AD514" s="114"/>
      <c r="AE514" s="114"/>
      <c r="AF514" s="114"/>
      <c r="AM514" s="114"/>
      <c r="AN514" s="236"/>
      <c r="AO514" s="114"/>
    </row>
    <row r="515" ht="15.75" customHeight="1">
      <c r="C515" s="114"/>
      <c r="D515" s="114"/>
      <c r="E515" s="114"/>
      <c r="F515" s="114"/>
      <c r="G515" s="114"/>
      <c r="H515" s="114"/>
      <c r="I515" s="114"/>
      <c r="J515" s="114"/>
      <c r="K515" s="114"/>
      <c r="L515" s="114"/>
      <c r="M515" s="114"/>
      <c r="N515" s="114"/>
      <c r="O515" s="242"/>
      <c r="P515" s="243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  <c r="AB515" s="114"/>
      <c r="AC515" s="114"/>
      <c r="AD515" s="114"/>
      <c r="AE515" s="114"/>
      <c r="AF515" s="114"/>
      <c r="AM515" s="114"/>
      <c r="AN515" s="236"/>
      <c r="AO515" s="114"/>
    </row>
    <row r="516" ht="15.75" customHeight="1">
      <c r="C516" s="114"/>
      <c r="D516" s="114"/>
      <c r="E516" s="114"/>
      <c r="F516" s="114"/>
      <c r="G516" s="114"/>
      <c r="H516" s="114"/>
      <c r="I516" s="114"/>
      <c r="J516" s="114"/>
      <c r="K516" s="114"/>
      <c r="L516" s="114"/>
      <c r="M516" s="114"/>
      <c r="N516" s="114"/>
      <c r="O516" s="242"/>
      <c r="P516" s="243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  <c r="AB516" s="114"/>
      <c r="AC516" s="114"/>
      <c r="AD516" s="114"/>
      <c r="AE516" s="114"/>
      <c r="AF516" s="114"/>
      <c r="AM516" s="114"/>
      <c r="AN516" s="236"/>
      <c r="AO516" s="114"/>
    </row>
    <row r="517" ht="15.75" customHeight="1">
      <c r="C517" s="114"/>
      <c r="D517" s="114"/>
      <c r="E517" s="114"/>
      <c r="F517" s="114"/>
      <c r="G517" s="114"/>
      <c r="H517" s="114"/>
      <c r="I517" s="114"/>
      <c r="J517" s="114"/>
      <c r="K517" s="114"/>
      <c r="L517" s="114"/>
      <c r="M517" s="114"/>
      <c r="N517" s="114"/>
      <c r="O517" s="242"/>
      <c r="P517" s="243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  <c r="AB517" s="114"/>
      <c r="AC517" s="114"/>
      <c r="AD517" s="114"/>
      <c r="AE517" s="114"/>
      <c r="AF517" s="114"/>
      <c r="AM517" s="114"/>
      <c r="AN517" s="236"/>
      <c r="AO517" s="114"/>
    </row>
    <row r="518" ht="15.75" customHeight="1">
      <c r="C518" s="114"/>
      <c r="D518" s="114"/>
      <c r="E518" s="114"/>
      <c r="F518" s="114"/>
      <c r="G518" s="114"/>
      <c r="H518" s="114"/>
      <c r="I518" s="114"/>
      <c r="J518" s="114"/>
      <c r="K518" s="114"/>
      <c r="L518" s="114"/>
      <c r="M518" s="114"/>
      <c r="N518" s="114"/>
      <c r="O518" s="242"/>
      <c r="P518" s="243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  <c r="AB518" s="114"/>
      <c r="AC518" s="114"/>
      <c r="AD518" s="114"/>
      <c r="AE518" s="114"/>
      <c r="AF518" s="114"/>
      <c r="AM518" s="114"/>
      <c r="AN518" s="236"/>
      <c r="AO518" s="114"/>
    </row>
    <row r="519" ht="15.75" customHeight="1">
      <c r="C519" s="114"/>
      <c r="D519" s="114"/>
      <c r="E519" s="114"/>
      <c r="F519" s="114"/>
      <c r="G519" s="114"/>
      <c r="H519" s="114"/>
      <c r="I519" s="114"/>
      <c r="J519" s="114"/>
      <c r="K519" s="114"/>
      <c r="L519" s="114"/>
      <c r="M519" s="114"/>
      <c r="N519" s="114"/>
      <c r="O519" s="242"/>
      <c r="P519" s="243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  <c r="AB519" s="114"/>
      <c r="AC519" s="114"/>
      <c r="AD519" s="114"/>
      <c r="AE519" s="114"/>
      <c r="AF519" s="114"/>
      <c r="AM519" s="114"/>
      <c r="AN519" s="236"/>
      <c r="AO519" s="114"/>
    </row>
    <row r="520" ht="15.75" customHeight="1">
      <c r="C520" s="114"/>
      <c r="D520" s="114"/>
      <c r="E520" s="114"/>
      <c r="F520" s="114"/>
      <c r="G520" s="114"/>
      <c r="H520" s="114"/>
      <c r="I520" s="114"/>
      <c r="J520" s="114"/>
      <c r="K520" s="114"/>
      <c r="L520" s="114"/>
      <c r="M520" s="114"/>
      <c r="N520" s="114"/>
      <c r="O520" s="242"/>
      <c r="P520" s="243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  <c r="AB520" s="114"/>
      <c r="AC520" s="114"/>
      <c r="AD520" s="114"/>
      <c r="AE520" s="114"/>
      <c r="AF520" s="114"/>
      <c r="AM520" s="114"/>
      <c r="AN520" s="236"/>
      <c r="AO520" s="114"/>
    </row>
    <row r="521" ht="15.75" customHeight="1">
      <c r="C521" s="114"/>
      <c r="D521" s="114"/>
      <c r="E521" s="114"/>
      <c r="F521" s="114"/>
      <c r="G521" s="114"/>
      <c r="H521" s="114"/>
      <c r="I521" s="114"/>
      <c r="J521" s="114"/>
      <c r="K521" s="114"/>
      <c r="L521" s="114"/>
      <c r="M521" s="114"/>
      <c r="N521" s="114"/>
      <c r="O521" s="242"/>
      <c r="P521" s="243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  <c r="AB521" s="114"/>
      <c r="AC521" s="114"/>
      <c r="AD521" s="114"/>
      <c r="AE521" s="114"/>
      <c r="AF521" s="114"/>
      <c r="AM521" s="114"/>
      <c r="AN521" s="236"/>
      <c r="AO521" s="114"/>
    </row>
    <row r="522" ht="15.75" customHeight="1">
      <c r="C522" s="114"/>
      <c r="D522" s="114"/>
      <c r="E522" s="114"/>
      <c r="F522" s="114"/>
      <c r="G522" s="114"/>
      <c r="H522" s="114"/>
      <c r="I522" s="114"/>
      <c r="J522" s="114"/>
      <c r="K522" s="114"/>
      <c r="L522" s="114"/>
      <c r="M522" s="114"/>
      <c r="N522" s="114"/>
      <c r="O522" s="242"/>
      <c r="P522" s="243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  <c r="AA522" s="114"/>
      <c r="AB522" s="114"/>
      <c r="AC522" s="114"/>
      <c r="AD522" s="114"/>
      <c r="AE522" s="114"/>
      <c r="AF522" s="114"/>
      <c r="AM522" s="114"/>
      <c r="AN522" s="236"/>
      <c r="AO522" s="114"/>
    </row>
    <row r="523" ht="15.75" customHeight="1">
      <c r="C523" s="114"/>
      <c r="D523" s="114"/>
      <c r="E523" s="114"/>
      <c r="F523" s="114"/>
      <c r="G523" s="114"/>
      <c r="H523" s="114"/>
      <c r="I523" s="114"/>
      <c r="J523" s="114"/>
      <c r="K523" s="114"/>
      <c r="L523" s="114"/>
      <c r="M523" s="114"/>
      <c r="N523" s="114"/>
      <c r="O523" s="242"/>
      <c r="P523" s="243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  <c r="AB523" s="114"/>
      <c r="AC523" s="114"/>
      <c r="AD523" s="114"/>
      <c r="AE523" s="114"/>
      <c r="AF523" s="114"/>
      <c r="AM523" s="114"/>
      <c r="AN523" s="236"/>
      <c r="AO523" s="114"/>
    </row>
    <row r="524" ht="15.75" customHeight="1">
      <c r="C524" s="114"/>
      <c r="D524" s="114"/>
      <c r="E524" s="114"/>
      <c r="F524" s="114"/>
      <c r="G524" s="114"/>
      <c r="H524" s="114"/>
      <c r="I524" s="114"/>
      <c r="J524" s="114"/>
      <c r="K524" s="114"/>
      <c r="L524" s="114"/>
      <c r="M524" s="114"/>
      <c r="N524" s="114"/>
      <c r="O524" s="242"/>
      <c r="P524" s="243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  <c r="AB524" s="114"/>
      <c r="AC524" s="114"/>
      <c r="AD524" s="114"/>
      <c r="AE524" s="114"/>
      <c r="AF524" s="114"/>
      <c r="AM524" s="114"/>
      <c r="AN524" s="236"/>
      <c r="AO524" s="114"/>
    </row>
    <row r="525" ht="15.75" customHeight="1">
      <c r="C525" s="114"/>
      <c r="D525" s="114"/>
      <c r="E525" s="114"/>
      <c r="F525" s="114"/>
      <c r="G525" s="114"/>
      <c r="H525" s="114"/>
      <c r="I525" s="114"/>
      <c r="J525" s="114"/>
      <c r="K525" s="114"/>
      <c r="L525" s="114"/>
      <c r="M525" s="114"/>
      <c r="N525" s="114"/>
      <c r="O525" s="242"/>
      <c r="P525" s="243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  <c r="AB525" s="114"/>
      <c r="AC525" s="114"/>
      <c r="AD525" s="114"/>
      <c r="AE525" s="114"/>
      <c r="AF525" s="114"/>
      <c r="AM525" s="114"/>
      <c r="AN525" s="236"/>
      <c r="AO525" s="114"/>
    </row>
    <row r="526" ht="15.75" customHeight="1">
      <c r="C526" s="114"/>
      <c r="D526" s="114"/>
      <c r="E526" s="114"/>
      <c r="F526" s="114"/>
      <c r="G526" s="114"/>
      <c r="H526" s="114"/>
      <c r="I526" s="114"/>
      <c r="J526" s="114"/>
      <c r="K526" s="114"/>
      <c r="L526" s="114"/>
      <c r="M526" s="114"/>
      <c r="N526" s="114"/>
      <c r="O526" s="242"/>
      <c r="P526" s="243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  <c r="AA526" s="114"/>
      <c r="AB526" s="114"/>
      <c r="AC526" s="114"/>
      <c r="AD526" s="114"/>
      <c r="AE526" s="114"/>
      <c r="AF526" s="114"/>
      <c r="AM526" s="114"/>
      <c r="AN526" s="236"/>
      <c r="AO526" s="114"/>
    </row>
    <row r="527" ht="15.75" customHeight="1">
      <c r="C527" s="114"/>
      <c r="D527" s="114"/>
      <c r="E527" s="114"/>
      <c r="F527" s="114"/>
      <c r="G527" s="114"/>
      <c r="H527" s="114"/>
      <c r="I527" s="114"/>
      <c r="J527" s="114"/>
      <c r="K527" s="114"/>
      <c r="L527" s="114"/>
      <c r="M527" s="114"/>
      <c r="N527" s="114"/>
      <c r="O527" s="242"/>
      <c r="P527" s="243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  <c r="AB527" s="114"/>
      <c r="AC527" s="114"/>
      <c r="AD527" s="114"/>
      <c r="AE527" s="114"/>
      <c r="AF527" s="114"/>
      <c r="AM527" s="114"/>
      <c r="AN527" s="236"/>
      <c r="AO527" s="114"/>
    </row>
    <row r="528" ht="15.75" customHeight="1">
      <c r="C528" s="114"/>
      <c r="D528" s="114"/>
      <c r="E528" s="114"/>
      <c r="F528" s="114"/>
      <c r="G528" s="114"/>
      <c r="H528" s="114"/>
      <c r="I528" s="114"/>
      <c r="J528" s="114"/>
      <c r="K528" s="114"/>
      <c r="L528" s="114"/>
      <c r="M528" s="114"/>
      <c r="N528" s="114"/>
      <c r="O528" s="242"/>
      <c r="P528" s="243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  <c r="AB528" s="114"/>
      <c r="AC528" s="114"/>
      <c r="AD528" s="114"/>
      <c r="AE528" s="114"/>
      <c r="AF528" s="114"/>
      <c r="AM528" s="114"/>
      <c r="AN528" s="236"/>
      <c r="AO528" s="114"/>
    </row>
    <row r="529" ht="15.75" customHeight="1">
      <c r="C529" s="114"/>
      <c r="D529" s="114"/>
      <c r="E529" s="114"/>
      <c r="F529" s="114"/>
      <c r="G529" s="114"/>
      <c r="H529" s="114"/>
      <c r="I529" s="114"/>
      <c r="J529" s="114"/>
      <c r="K529" s="114"/>
      <c r="L529" s="114"/>
      <c r="M529" s="114"/>
      <c r="N529" s="114"/>
      <c r="O529" s="242"/>
      <c r="P529" s="243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  <c r="AB529" s="114"/>
      <c r="AC529" s="114"/>
      <c r="AD529" s="114"/>
      <c r="AE529" s="114"/>
      <c r="AF529" s="114"/>
      <c r="AM529" s="114"/>
      <c r="AN529" s="236"/>
      <c r="AO529" s="114"/>
    </row>
    <row r="530" ht="15.75" customHeight="1">
      <c r="C530" s="114"/>
      <c r="D530" s="114"/>
      <c r="E530" s="114"/>
      <c r="F530" s="114"/>
      <c r="G530" s="114"/>
      <c r="H530" s="114"/>
      <c r="I530" s="114"/>
      <c r="J530" s="114"/>
      <c r="K530" s="114"/>
      <c r="L530" s="114"/>
      <c r="M530" s="114"/>
      <c r="N530" s="114"/>
      <c r="O530" s="242"/>
      <c r="P530" s="243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  <c r="AB530" s="114"/>
      <c r="AC530" s="114"/>
      <c r="AD530" s="114"/>
      <c r="AE530" s="114"/>
      <c r="AF530" s="114"/>
      <c r="AM530" s="114"/>
      <c r="AN530" s="236"/>
      <c r="AO530" s="114"/>
    </row>
    <row r="531" ht="15.75" customHeight="1">
      <c r="C531" s="114"/>
      <c r="D531" s="114"/>
      <c r="E531" s="114"/>
      <c r="F531" s="114"/>
      <c r="G531" s="114"/>
      <c r="H531" s="114"/>
      <c r="I531" s="114"/>
      <c r="J531" s="114"/>
      <c r="K531" s="114"/>
      <c r="L531" s="114"/>
      <c r="M531" s="114"/>
      <c r="N531" s="114"/>
      <c r="O531" s="242"/>
      <c r="P531" s="243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  <c r="AB531" s="114"/>
      <c r="AC531" s="114"/>
      <c r="AD531" s="114"/>
      <c r="AE531" s="114"/>
      <c r="AF531" s="114"/>
      <c r="AM531" s="114"/>
      <c r="AN531" s="236"/>
      <c r="AO531" s="114"/>
    </row>
    <row r="532" ht="15.75" customHeight="1">
      <c r="C532" s="114"/>
      <c r="D532" s="114"/>
      <c r="E532" s="114"/>
      <c r="F532" s="114"/>
      <c r="G532" s="114"/>
      <c r="H532" s="114"/>
      <c r="I532" s="114"/>
      <c r="J532" s="114"/>
      <c r="K532" s="114"/>
      <c r="L532" s="114"/>
      <c r="M532" s="114"/>
      <c r="N532" s="114"/>
      <c r="O532" s="242"/>
      <c r="P532" s="243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  <c r="AB532" s="114"/>
      <c r="AC532" s="114"/>
      <c r="AD532" s="114"/>
      <c r="AE532" s="114"/>
      <c r="AF532" s="114"/>
      <c r="AM532" s="114"/>
      <c r="AN532" s="236"/>
      <c r="AO532" s="114"/>
    </row>
    <row r="533" ht="15.75" customHeight="1">
      <c r="C533" s="114"/>
      <c r="D533" s="114"/>
      <c r="E533" s="114"/>
      <c r="F533" s="114"/>
      <c r="G533" s="114"/>
      <c r="H533" s="114"/>
      <c r="I533" s="114"/>
      <c r="J533" s="114"/>
      <c r="K533" s="114"/>
      <c r="L533" s="114"/>
      <c r="M533" s="114"/>
      <c r="N533" s="114"/>
      <c r="O533" s="242"/>
      <c r="P533" s="243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  <c r="AB533" s="114"/>
      <c r="AC533" s="114"/>
      <c r="AD533" s="114"/>
      <c r="AE533" s="114"/>
      <c r="AF533" s="114"/>
      <c r="AM533" s="114"/>
      <c r="AN533" s="236"/>
      <c r="AO533" s="114"/>
    </row>
    <row r="534" ht="15.75" customHeight="1">
      <c r="C534" s="114"/>
      <c r="D534" s="114"/>
      <c r="E534" s="114"/>
      <c r="F534" s="114"/>
      <c r="G534" s="114"/>
      <c r="H534" s="114"/>
      <c r="I534" s="114"/>
      <c r="J534" s="114"/>
      <c r="K534" s="114"/>
      <c r="L534" s="114"/>
      <c r="M534" s="114"/>
      <c r="N534" s="114"/>
      <c r="O534" s="242"/>
      <c r="P534" s="243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  <c r="AB534" s="114"/>
      <c r="AC534" s="114"/>
      <c r="AD534" s="114"/>
      <c r="AE534" s="114"/>
      <c r="AF534" s="114"/>
      <c r="AM534" s="114"/>
      <c r="AN534" s="236"/>
      <c r="AO534" s="114"/>
    </row>
    <row r="535" ht="15.75" customHeight="1">
      <c r="C535" s="114"/>
      <c r="D535" s="114"/>
      <c r="E535" s="114"/>
      <c r="F535" s="114"/>
      <c r="G535" s="114"/>
      <c r="H535" s="114"/>
      <c r="I535" s="114"/>
      <c r="J535" s="114"/>
      <c r="K535" s="114"/>
      <c r="L535" s="114"/>
      <c r="M535" s="114"/>
      <c r="N535" s="114"/>
      <c r="O535" s="242"/>
      <c r="P535" s="243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  <c r="AB535" s="114"/>
      <c r="AC535" s="114"/>
      <c r="AD535" s="114"/>
      <c r="AE535" s="114"/>
      <c r="AF535" s="114"/>
      <c r="AM535" s="114"/>
      <c r="AN535" s="236"/>
      <c r="AO535" s="114"/>
    </row>
    <row r="536" ht="15.75" customHeight="1">
      <c r="C536" s="114"/>
      <c r="D536" s="114"/>
      <c r="E536" s="114"/>
      <c r="F536" s="114"/>
      <c r="G536" s="114"/>
      <c r="H536" s="114"/>
      <c r="I536" s="114"/>
      <c r="J536" s="114"/>
      <c r="K536" s="114"/>
      <c r="L536" s="114"/>
      <c r="M536" s="114"/>
      <c r="N536" s="114"/>
      <c r="O536" s="242"/>
      <c r="P536" s="243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  <c r="AB536" s="114"/>
      <c r="AC536" s="114"/>
      <c r="AD536" s="114"/>
      <c r="AE536" s="114"/>
      <c r="AF536" s="114"/>
      <c r="AM536" s="114"/>
      <c r="AN536" s="236"/>
      <c r="AO536" s="114"/>
    </row>
    <row r="537" ht="15.75" customHeight="1">
      <c r="C537" s="114"/>
      <c r="D537" s="114"/>
      <c r="E537" s="114"/>
      <c r="F537" s="114"/>
      <c r="G537" s="114"/>
      <c r="H537" s="114"/>
      <c r="I537" s="114"/>
      <c r="J537" s="114"/>
      <c r="K537" s="114"/>
      <c r="L537" s="114"/>
      <c r="M537" s="114"/>
      <c r="N537" s="114"/>
      <c r="O537" s="242"/>
      <c r="P537" s="243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  <c r="AB537" s="114"/>
      <c r="AC537" s="114"/>
      <c r="AD537" s="114"/>
      <c r="AE537" s="114"/>
      <c r="AF537" s="114"/>
      <c r="AM537" s="114"/>
      <c r="AN537" s="236"/>
      <c r="AO537" s="114"/>
    </row>
    <row r="538" ht="15.75" customHeight="1">
      <c r="C538" s="114"/>
      <c r="D538" s="114"/>
      <c r="E538" s="114"/>
      <c r="F538" s="114"/>
      <c r="G538" s="114"/>
      <c r="H538" s="114"/>
      <c r="I538" s="114"/>
      <c r="J538" s="114"/>
      <c r="K538" s="114"/>
      <c r="L538" s="114"/>
      <c r="M538" s="114"/>
      <c r="N538" s="114"/>
      <c r="O538" s="242"/>
      <c r="P538" s="243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  <c r="AB538" s="114"/>
      <c r="AC538" s="114"/>
      <c r="AD538" s="114"/>
      <c r="AE538" s="114"/>
      <c r="AF538" s="114"/>
      <c r="AM538" s="114"/>
      <c r="AN538" s="236"/>
      <c r="AO538" s="114"/>
    </row>
    <row r="539" ht="15.75" customHeight="1">
      <c r="C539" s="114"/>
      <c r="D539" s="114"/>
      <c r="E539" s="114"/>
      <c r="F539" s="114"/>
      <c r="G539" s="114"/>
      <c r="H539" s="114"/>
      <c r="I539" s="114"/>
      <c r="J539" s="114"/>
      <c r="K539" s="114"/>
      <c r="L539" s="114"/>
      <c r="M539" s="114"/>
      <c r="N539" s="114"/>
      <c r="O539" s="242"/>
      <c r="P539" s="243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  <c r="AB539" s="114"/>
      <c r="AC539" s="114"/>
      <c r="AD539" s="114"/>
      <c r="AE539" s="114"/>
      <c r="AF539" s="114"/>
      <c r="AM539" s="114"/>
      <c r="AN539" s="236"/>
      <c r="AO539" s="114"/>
    </row>
    <row r="540" ht="15.75" customHeight="1">
      <c r="C540" s="114"/>
      <c r="D540" s="114"/>
      <c r="E540" s="114"/>
      <c r="F540" s="114"/>
      <c r="G540" s="114"/>
      <c r="H540" s="114"/>
      <c r="I540" s="114"/>
      <c r="J540" s="114"/>
      <c r="K540" s="114"/>
      <c r="L540" s="114"/>
      <c r="M540" s="114"/>
      <c r="N540" s="114"/>
      <c r="O540" s="242"/>
      <c r="P540" s="243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  <c r="AB540" s="114"/>
      <c r="AC540" s="114"/>
      <c r="AD540" s="114"/>
      <c r="AE540" s="114"/>
      <c r="AF540" s="114"/>
      <c r="AM540" s="114"/>
      <c r="AN540" s="236"/>
      <c r="AO540" s="114"/>
    </row>
    <row r="541" ht="15.75" customHeight="1">
      <c r="C541" s="114"/>
      <c r="D541" s="114"/>
      <c r="E541" s="114"/>
      <c r="F541" s="114"/>
      <c r="G541" s="114"/>
      <c r="H541" s="114"/>
      <c r="I541" s="114"/>
      <c r="J541" s="114"/>
      <c r="K541" s="114"/>
      <c r="L541" s="114"/>
      <c r="M541" s="114"/>
      <c r="N541" s="114"/>
      <c r="O541" s="242"/>
      <c r="P541" s="243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  <c r="AB541" s="114"/>
      <c r="AC541" s="114"/>
      <c r="AD541" s="114"/>
      <c r="AE541" s="114"/>
      <c r="AF541" s="114"/>
      <c r="AM541" s="114"/>
      <c r="AN541" s="236"/>
      <c r="AO541" s="114"/>
    </row>
    <row r="542" ht="15.75" customHeight="1">
      <c r="C542" s="114"/>
      <c r="D542" s="114"/>
      <c r="E542" s="114"/>
      <c r="F542" s="114"/>
      <c r="G542" s="114"/>
      <c r="H542" s="114"/>
      <c r="I542" s="114"/>
      <c r="J542" s="114"/>
      <c r="K542" s="114"/>
      <c r="L542" s="114"/>
      <c r="M542" s="114"/>
      <c r="N542" s="114"/>
      <c r="O542" s="242"/>
      <c r="P542" s="243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  <c r="AB542" s="114"/>
      <c r="AC542" s="114"/>
      <c r="AD542" s="114"/>
      <c r="AE542" s="114"/>
      <c r="AF542" s="114"/>
      <c r="AM542" s="114"/>
      <c r="AN542" s="236"/>
      <c r="AO542" s="114"/>
    </row>
    <row r="543" ht="15.75" customHeight="1">
      <c r="C543" s="114"/>
      <c r="D543" s="114"/>
      <c r="E543" s="114"/>
      <c r="F543" s="114"/>
      <c r="G543" s="114"/>
      <c r="H543" s="114"/>
      <c r="I543" s="114"/>
      <c r="J543" s="114"/>
      <c r="K543" s="114"/>
      <c r="L543" s="114"/>
      <c r="M543" s="114"/>
      <c r="N543" s="114"/>
      <c r="O543" s="242"/>
      <c r="P543" s="243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  <c r="AA543" s="114"/>
      <c r="AB543" s="114"/>
      <c r="AC543" s="114"/>
      <c r="AD543" s="114"/>
      <c r="AE543" s="114"/>
      <c r="AF543" s="114"/>
      <c r="AM543" s="114"/>
      <c r="AN543" s="236"/>
      <c r="AO543" s="114"/>
    </row>
    <row r="544" ht="15.75" customHeight="1">
      <c r="C544" s="114"/>
      <c r="D544" s="114"/>
      <c r="E544" s="114"/>
      <c r="F544" s="114"/>
      <c r="G544" s="114"/>
      <c r="H544" s="114"/>
      <c r="I544" s="114"/>
      <c r="J544" s="114"/>
      <c r="K544" s="114"/>
      <c r="L544" s="114"/>
      <c r="M544" s="114"/>
      <c r="N544" s="114"/>
      <c r="O544" s="242"/>
      <c r="P544" s="243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  <c r="AB544" s="114"/>
      <c r="AC544" s="114"/>
      <c r="AD544" s="114"/>
      <c r="AE544" s="114"/>
      <c r="AF544" s="114"/>
      <c r="AM544" s="114"/>
      <c r="AN544" s="236"/>
      <c r="AO544" s="114"/>
    </row>
    <row r="545" ht="15.75" customHeight="1">
      <c r="C545" s="114"/>
      <c r="D545" s="114"/>
      <c r="E545" s="114"/>
      <c r="F545" s="114"/>
      <c r="G545" s="114"/>
      <c r="H545" s="114"/>
      <c r="I545" s="114"/>
      <c r="J545" s="114"/>
      <c r="K545" s="114"/>
      <c r="L545" s="114"/>
      <c r="M545" s="114"/>
      <c r="N545" s="114"/>
      <c r="O545" s="242"/>
      <c r="P545" s="243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  <c r="AB545" s="114"/>
      <c r="AC545" s="114"/>
      <c r="AD545" s="114"/>
      <c r="AE545" s="114"/>
      <c r="AF545" s="114"/>
      <c r="AM545" s="114"/>
      <c r="AN545" s="236"/>
      <c r="AO545" s="114"/>
    </row>
    <row r="546" ht="15.75" customHeight="1">
      <c r="C546" s="114"/>
      <c r="D546" s="114"/>
      <c r="E546" s="114"/>
      <c r="F546" s="114"/>
      <c r="G546" s="114"/>
      <c r="H546" s="114"/>
      <c r="I546" s="114"/>
      <c r="J546" s="114"/>
      <c r="K546" s="114"/>
      <c r="L546" s="114"/>
      <c r="M546" s="114"/>
      <c r="N546" s="114"/>
      <c r="O546" s="242"/>
      <c r="P546" s="243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  <c r="AA546" s="114"/>
      <c r="AB546" s="114"/>
      <c r="AC546" s="114"/>
      <c r="AD546" s="114"/>
      <c r="AE546" s="114"/>
      <c r="AF546" s="114"/>
      <c r="AM546" s="114"/>
      <c r="AN546" s="236"/>
      <c r="AO546" s="114"/>
    </row>
    <row r="547" ht="15.75" customHeight="1">
      <c r="C547" s="114"/>
      <c r="D547" s="114"/>
      <c r="E547" s="114"/>
      <c r="F547" s="114"/>
      <c r="G547" s="114"/>
      <c r="H547" s="114"/>
      <c r="I547" s="114"/>
      <c r="J547" s="114"/>
      <c r="K547" s="114"/>
      <c r="L547" s="114"/>
      <c r="M547" s="114"/>
      <c r="N547" s="114"/>
      <c r="O547" s="242"/>
      <c r="P547" s="243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  <c r="AB547" s="114"/>
      <c r="AC547" s="114"/>
      <c r="AD547" s="114"/>
      <c r="AE547" s="114"/>
      <c r="AF547" s="114"/>
      <c r="AM547" s="114"/>
      <c r="AN547" s="236"/>
      <c r="AO547" s="114"/>
    </row>
    <row r="548" ht="15.75" customHeight="1">
      <c r="C548" s="114"/>
      <c r="D548" s="114"/>
      <c r="E548" s="114"/>
      <c r="F548" s="114"/>
      <c r="G548" s="114"/>
      <c r="H548" s="114"/>
      <c r="I548" s="114"/>
      <c r="J548" s="114"/>
      <c r="K548" s="114"/>
      <c r="L548" s="114"/>
      <c r="M548" s="114"/>
      <c r="N548" s="114"/>
      <c r="O548" s="242"/>
      <c r="P548" s="243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  <c r="AB548" s="114"/>
      <c r="AC548" s="114"/>
      <c r="AD548" s="114"/>
      <c r="AE548" s="114"/>
      <c r="AF548" s="114"/>
      <c r="AM548" s="114"/>
      <c r="AN548" s="236"/>
      <c r="AO548" s="114"/>
    </row>
    <row r="549" ht="15.75" customHeight="1">
      <c r="C549" s="114"/>
      <c r="D549" s="114"/>
      <c r="E549" s="114"/>
      <c r="F549" s="114"/>
      <c r="G549" s="114"/>
      <c r="H549" s="114"/>
      <c r="I549" s="114"/>
      <c r="J549" s="114"/>
      <c r="K549" s="114"/>
      <c r="L549" s="114"/>
      <c r="M549" s="114"/>
      <c r="N549" s="114"/>
      <c r="O549" s="242"/>
      <c r="P549" s="243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  <c r="AB549" s="114"/>
      <c r="AC549" s="114"/>
      <c r="AD549" s="114"/>
      <c r="AE549" s="114"/>
      <c r="AF549" s="114"/>
      <c r="AM549" s="114"/>
      <c r="AN549" s="236"/>
      <c r="AO549" s="114"/>
    </row>
    <row r="550" ht="15.75" customHeight="1">
      <c r="C550" s="114"/>
      <c r="D550" s="114"/>
      <c r="E550" s="114"/>
      <c r="F550" s="114"/>
      <c r="G550" s="114"/>
      <c r="H550" s="114"/>
      <c r="I550" s="114"/>
      <c r="J550" s="114"/>
      <c r="K550" s="114"/>
      <c r="L550" s="114"/>
      <c r="M550" s="114"/>
      <c r="N550" s="114"/>
      <c r="O550" s="242"/>
      <c r="P550" s="243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  <c r="AB550" s="114"/>
      <c r="AC550" s="114"/>
      <c r="AD550" s="114"/>
      <c r="AE550" s="114"/>
      <c r="AF550" s="114"/>
      <c r="AM550" s="114"/>
      <c r="AN550" s="236"/>
      <c r="AO550" s="114"/>
    </row>
    <row r="551" ht="15.75" customHeight="1">
      <c r="C551" s="114"/>
      <c r="D551" s="114"/>
      <c r="E551" s="114"/>
      <c r="F551" s="114"/>
      <c r="G551" s="114"/>
      <c r="H551" s="114"/>
      <c r="I551" s="114"/>
      <c r="J551" s="114"/>
      <c r="K551" s="114"/>
      <c r="L551" s="114"/>
      <c r="M551" s="114"/>
      <c r="N551" s="114"/>
      <c r="O551" s="242"/>
      <c r="P551" s="243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  <c r="AB551" s="114"/>
      <c r="AC551" s="114"/>
      <c r="AD551" s="114"/>
      <c r="AE551" s="114"/>
      <c r="AF551" s="114"/>
      <c r="AM551" s="114"/>
      <c r="AN551" s="236"/>
      <c r="AO551" s="114"/>
    </row>
    <row r="552" ht="15.75" customHeight="1">
      <c r="C552" s="114"/>
      <c r="D552" s="114"/>
      <c r="E552" s="114"/>
      <c r="F552" s="114"/>
      <c r="G552" s="114"/>
      <c r="H552" s="114"/>
      <c r="I552" s="114"/>
      <c r="J552" s="114"/>
      <c r="K552" s="114"/>
      <c r="L552" s="114"/>
      <c r="M552" s="114"/>
      <c r="N552" s="114"/>
      <c r="O552" s="242"/>
      <c r="P552" s="243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  <c r="AB552" s="114"/>
      <c r="AC552" s="114"/>
      <c r="AD552" s="114"/>
      <c r="AE552" s="114"/>
      <c r="AF552" s="114"/>
      <c r="AM552" s="114"/>
      <c r="AN552" s="236"/>
      <c r="AO552" s="114"/>
    </row>
    <row r="553" ht="15.75" customHeight="1">
      <c r="C553" s="114"/>
      <c r="D553" s="114"/>
      <c r="E553" s="114"/>
      <c r="F553" s="114"/>
      <c r="G553" s="114"/>
      <c r="H553" s="114"/>
      <c r="I553" s="114"/>
      <c r="J553" s="114"/>
      <c r="K553" s="114"/>
      <c r="L553" s="114"/>
      <c r="M553" s="114"/>
      <c r="N553" s="114"/>
      <c r="O553" s="242"/>
      <c r="P553" s="243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  <c r="AB553" s="114"/>
      <c r="AC553" s="114"/>
      <c r="AD553" s="114"/>
      <c r="AE553" s="114"/>
      <c r="AF553" s="114"/>
      <c r="AM553" s="114"/>
      <c r="AN553" s="236"/>
      <c r="AO553" s="114"/>
    </row>
    <row r="554" ht="15.75" customHeight="1">
      <c r="C554" s="114"/>
      <c r="D554" s="114"/>
      <c r="E554" s="114"/>
      <c r="F554" s="114"/>
      <c r="G554" s="114"/>
      <c r="H554" s="114"/>
      <c r="I554" s="114"/>
      <c r="J554" s="114"/>
      <c r="K554" s="114"/>
      <c r="L554" s="114"/>
      <c r="M554" s="114"/>
      <c r="N554" s="114"/>
      <c r="O554" s="242"/>
      <c r="P554" s="243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  <c r="AB554" s="114"/>
      <c r="AC554" s="114"/>
      <c r="AD554" s="114"/>
      <c r="AE554" s="114"/>
      <c r="AF554" s="114"/>
      <c r="AM554" s="114"/>
      <c r="AN554" s="236"/>
      <c r="AO554" s="114"/>
    </row>
    <row r="555" ht="15.75" customHeight="1">
      <c r="C555" s="114"/>
      <c r="D555" s="114"/>
      <c r="E555" s="114"/>
      <c r="F555" s="114"/>
      <c r="G555" s="114"/>
      <c r="H555" s="114"/>
      <c r="I555" s="114"/>
      <c r="J555" s="114"/>
      <c r="K555" s="114"/>
      <c r="L555" s="114"/>
      <c r="M555" s="114"/>
      <c r="N555" s="114"/>
      <c r="O555" s="242"/>
      <c r="P555" s="243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  <c r="AB555" s="114"/>
      <c r="AC555" s="114"/>
      <c r="AD555" s="114"/>
      <c r="AE555" s="114"/>
      <c r="AF555" s="114"/>
      <c r="AM555" s="114"/>
      <c r="AN555" s="236"/>
      <c r="AO555" s="114"/>
    </row>
    <row r="556" ht="15.75" customHeight="1">
      <c r="C556" s="114"/>
      <c r="D556" s="114"/>
      <c r="E556" s="114"/>
      <c r="F556" s="114"/>
      <c r="G556" s="114"/>
      <c r="H556" s="114"/>
      <c r="I556" s="114"/>
      <c r="J556" s="114"/>
      <c r="K556" s="114"/>
      <c r="L556" s="114"/>
      <c r="M556" s="114"/>
      <c r="N556" s="114"/>
      <c r="O556" s="242"/>
      <c r="P556" s="243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  <c r="AB556" s="114"/>
      <c r="AC556" s="114"/>
      <c r="AD556" s="114"/>
      <c r="AE556" s="114"/>
      <c r="AF556" s="114"/>
      <c r="AM556" s="114"/>
      <c r="AN556" s="236"/>
      <c r="AO556" s="114"/>
    </row>
    <row r="557" ht="15.75" customHeight="1">
      <c r="C557" s="114"/>
      <c r="D557" s="114"/>
      <c r="E557" s="114"/>
      <c r="F557" s="114"/>
      <c r="G557" s="114"/>
      <c r="H557" s="114"/>
      <c r="I557" s="114"/>
      <c r="J557" s="114"/>
      <c r="K557" s="114"/>
      <c r="L557" s="114"/>
      <c r="M557" s="114"/>
      <c r="N557" s="114"/>
      <c r="O557" s="242"/>
      <c r="P557" s="243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  <c r="AB557" s="114"/>
      <c r="AC557" s="114"/>
      <c r="AD557" s="114"/>
      <c r="AE557" s="114"/>
      <c r="AF557" s="114"/>
      <c r="AM557" s="114"/>
      <c r="AN557" s="236"/>
      <c r="AO557" s="114"/>
    </row>
    <row r="558" ht="15.75" customHeight="1">
      <c r="C558" s="114"/>
      <c r="D558" s="114"/>
      <c r="E558" s="114"/>
      <c r="F558" s="114"/>
      <c r="G558" s="114"/>
      <c r="H558" s="114"/>
      <c r="I558" s="114"/>
      <c r="J558" s="114"/>
      <c r="K558" s="114"/>
      <c r="L558" s="114"/>
      <c r="M558" s="114"/>
      <c r="N558" s="114"/>
      <c r="O558" s="242"/>
      <c r="P558" s="243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  <c r="AB558" s="114"/>
      <c r="AC558" s="114"/>
      <c r="AD558" s="114"/>
      <c r="AE558" s="114"/>
      <c r="AF558" s="114"/>
      <c r="AM558" s="114"/>
      <c r="AN558" s="236"/>
      <c r="AO558" s="114"/>
    </row>
    <row r="559" ht="15.75" customHeight="1">
      <c r="C559" s="114"/>
      <c r="D559" s="114"/>
      <c r="E559" s="114"/>
      <c r="F559" s="114"/>
      <c r="G559" s="114"/>
      <c r="H559" s="114"/>
      <c r="I559" s="114"/>
      <c r="J559" s="114"/>
      <c r="K559" s="114"/>
      <c r="L559" s="114"/>
      <c r="M559" s="114"/>
      <c r="N559" s="114"/>
      <c r="O559" s="242"/>
      <c r="P559" s="243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  <c r="AB559" s="114"/>
      <c r="AC559" s="114"/>
      <c r="AD559" s="114"/>
      <c r="AE559" s="114"/>
      <c r="AF559" s="114"/>
      <c r="AM559" s="114"/>
      <c r="AN559" s="236"/>
      <c r="AO559" s="114"/>
    </row>
    <row r="560" ht="15.75" customHeight="1">
      <c r="C560" s="114"/>
      <c r="D560" s="114"/>
      <c r="E560" s="114"/>
      <c r="F560" s="114"/>
      <c r="G560" s="114"/>
      <c r="H560" s="114"/>
      <c r="I560" s="114"/>
      <c r="J560" s="114"/>
      <c r="K560" s="114"/>
      <c r="L560" s="114"/>
      <c r="M560" s="114"/>
      <c r="N560" s="114"/>
      <c r="O560" s="242"/>
      <c r="P560" s="243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  <c r="AB560" s="114"/>
      <c r="AC560" s="114"/>
      <c r="AD560" s="114"/>
      <c r="AE560" s="114"/>
      <c r="AF560" s="114"/>
      <c r="AM560" s="114"/>
      <c r="AN560" s="236"/>
      <c r="AO560" s="114"/>
    </row>
    <row r="561" ht="15.75" customHeight="1">
      <c r="C561" s="114"/>
      <c r="D561" s="114"/>
      <c r="E561" s="114"/>
      <c r="F561" s="114"/>
      <c r="G561" s="114"/>
      <c r="H561" s="114"/>
      <c r="I561" s="114"/>
      <c r="J561" s="114"/>
      <c r="K561" s="114"/>
      <c r="L561" s="114"/>
      <c r="M561" s="114"/>
      <c r="N561" s="114"/>
      <c r="O561" s="242"/>
      <c r="P561" s="243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  <c r="AB561" s="114"/>
      <c r="AC561" s="114"/>
      <c r="AD561" s="114"/>
      <c r="AE561" s="114"/>
      <c r="AF561" s="114"/>
      <c r="AM561" s="114"/>
      <c r="AN561" s="236"/>
      <c r="AO561" s="114"/>
    </row>
    <row r="562" ht="15.75" customHeight="1">
      <c r="C562" s="114"/>
      <c r="D562" s="114"/>
      <c r="E562" s="114"/>
      <c r="F562" s="114"/>
      <c r="G562" s="114"/>
      <c r="H562" s="114"/>
      <c r="I562" s="114"/>
      <c r="J562" s="114"/>
      <c r="K562" s="114"/>
      <c r="L562" s="114"/>
      <c r="M562" s="114"/>
      <c r="N562" s="114"/>
      <c r="O562" s="242"/>
      <c r="P562" s="243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  <c r="AA562" s="114"/>
      <c r="AB562" s="114"/>
      <c r="AC562" s="114"/>
      <c r="AD562" s="114"/>
      <c r="AE562" s="114"/>
      <c r="AF562" s="114"/>
      <c r="AM562" s="114"/>
      <c r="AN562" s="236"/>
      <c r="AO562" s="114"/>
    </row>
    <row r="563" ht="15.75" customHeight="1">
      <c r="C563" s="114"/>
      <c r="D563" s="114"/>
      <c r="E563" s="114"/>
      <c r="F563" s="114"/>
      <c r="G563" s="114"/>
      <c r="H563" s="114"/>
      <c r="I563" s="114"/>
      <c r="J563" s="114"/>
      <c r="K563" s="114"/>
      <c r="L563" s="114"/>
      <c r="M563" s="114"/>
      <c r="N563" s="114"/>
      <c r="O563" s="242"/>
      <c r="P563" s="243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114"/>
      <c r="AD563" s="114"/>
      <c r="AE563" s="114"/>
      <c r="AF563" s="114"/>
      <c r="AM563" s="114"/>
      <c r="AN563" s="236"/>
      <c r="AO563" s="114"/>
    </row>
    <row r="564" ht="15.75" customHeight="1">
      <c r="C564" s="114"/>
      <c r="D564" s="114"/>
      <c r="E564" s="114"/>
      <c r="F564" s="114"/>
      <c r="G564" s="114"/>
      <c r="H564" s="114"/>
      <c r="I564" s="114"/>
      <c r="J564" s="114"/>
      <c r="K564" s="114"/>
      <c r="L564" s="114"/>
      <c r="M564" s="114"/>
      <c r="N564" s="114"/>
      <c r="O564" s="242"/>
      <c r="P564" s="243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  <c r="AB564" s="114"/>
      <c r="AC564" s="114"/>
      <c r="AD564" s="114"/>
      <c r="AE564" s="114"/>
      <c r="AF564" s="114"/>
      <c r="AM564" s="114"/>
      <c r="AN564" s="236"/>
      <c r="AO564" s="114"/>
    </row>
    <row r="565" ht="15.75" customHeight="1">
      <c r="C565" s="114"/>
      <c r="D565" s="114"/>
      <c r="E565" s="114"/>
      <c r="F565" s="114"/>
      <c r="G565" s="114"/>
      <c r="H565" s="114"/>
      <c r="I565" s="114"/>
      <c r="J565" s="114"/>
      <c r="K565" s="114"/>
      <c r="L565" s="114"/>
      <c r="M565" s="114"/>
      <c r="N565" s="114"/>
      <c r="O565" s="242"/>
      <c r="P565" s="243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  <c r="AB565" s="114"/>
      <c r="AC565" s="114"/>
      <c r="AD565" s="114"/>
      <c r="AE565" s="114"/>
      <c r="AF565" s="114"/>
      <c r="AM565" s="114"/>
      <c r="AN565" s="236"/>
      <c r="AO565" s="114"/>
    </row>
    <row r="566" ht="15.75" customHeight="1">
      <c r="C566" s="114"/>
      <c r="D566" s="114"/>
      <c r="E566" s="114"/>
      <c r="F566" s="114"/>
      <c r="G566" s="114"/>
      <c r="H566" s="114"/>
      <c r="I566" s="114"/>
      <c r="J566" s="114"/>
      <c r="K566" s="114"/>
      <c r="L566" s="114"/>
      <c r="M566" s="114"/>
      <c r="N566" s="114"/>
      <c r="O566" s="242"/>
      <c r="P566" s="243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  <c r="AB566" s="114"/>
      <c r="AC566" s="114"/>
      <c r="AD566" s="114"/>
      <c r="AE566" s="114"/>
      <c r="AF566" s="114"/>
      <c r="AM566" s="114"/>
      <c r="AN566" s="236"/>
      <c r="AO566" s="114"/>
    </row>
    <row r="567" ht="15.75" customHeight="1">
      <c r="C567" s="114"/>
      <c r="D567" s="114"/>
      <c r="E567" s="114"/>
      <c r="F567" s="114"/>
      <c r="G567" s="114"/>
      <c r="H567" s="114"/>
      <c r="I567" s="114"/>
      <c r="J567" s="114"/>
      <c r="K567" s="114"/>
      <c r="L567" s="114"/>
      <c r="M567" s="114"/>
      <c r="N567" s="114"/>
      <c r="O567" s="242"/>
      <c r="P567" s="243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  <c r="AB567" s="114"/>
      <c r="AC567" s="114"/>
      <c r="AD567" s="114"/>
      <c r="AE567" s="114"/>
      <c r="AF567" s="114"/>
      <c r="AM567" s="114"/>
      <c r="AN567" s="236"/>
      <c r="AO567" s="114"/>
    </row>
    <row r="568" ht="15.75" customHeight="1">
      <c r="C568" s="114"/>
      <c r="D568" s="114"/>
      <c r="E568" s="114"/>
      <c r="F568" s="114"/>
      <c r="G568" s="114"/>
      <c r="H568" s="114"/>
      <c r="I568" s="114"/>
      <c r="J568" s="114"/>
      <c r="K568" s="114"/>
      <c r="L568" s="114"/>
      <c r="M568" s="114"/>
      <c r="N568" s="114"/>
      <c r="O568" s="242"/>
      <c r="P568" s="243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  <c r="AB568" s="114"/>
      <c r="AC568" s="114"/>
      <c r="AD568" s="114"/>
      <c r="AE568" s="114"/>
      <c r="AF568" s="114"/>
      <c r="AM568" s="114"/>
      <c r="AN568" s="236"/>
      <c r="AO568" s="114"/>
    </row>
    <row r="569" ht="15.75" customHeight="1">
      <c r="C569" s="114"/>
      <c r="D569" s="114"/>
      <c r="E569" s="114"/>
      <c r="F569" s="114"/>
      <c r="G569" s="114"/>
      <c r="H569" s="114"/>
      <c r="I569" s="114"/>
      <c r="J569" s="114"/>
      <c r="K569" s="114"/>
      <c r="L569" s="114"/>
      <c r="M569" s="114"/>
      <c r="N569" s="114"/>
      <c r="O569" s="242"/>
      <c r="P569" s="243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  <c r="AB569" s="114"/>
      <c r="AC569" s="114"/>
      <c r="AD569" s="114"/>
      <c r="AE569" s="114"/>
      <c r="AF569" s="114"/>
      <c r="AM569" s="114"/>
      <c r="AN569" s="236"/>
      <c r="AO569" s="114"/>
    </row>
    <row r="570" ht="15.75" customHeight="1">
      <c r="C570" s="114"/>
      <c r="D570" s="114"/>
      <c r="E570" s="114"/>
      <c r="F570" s="114"/>
      <c r="G570" s="114"/>
      <c r="H570" s="114"/>
      <c r="I570" s="114"/>
      <c r="J570" s="114"/>
      <c r="K570" s="114"/>
      <c r="L570" s="114"/>
      <c r="M570" s="114"/>
      <c r="N570" s="114"/>
      <c r="O570" s="242"/>
      <c r="P570" s="243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  <c r="AB570" s="114"/>
      <c r="AC570" s="114"/>
      <c r="AD570" s="114"/>
      <c r="AE570" s="114"/>
      <c r="AF570" s="114"/>
      <c r="AM570" s="114"/>
      <c r="AN570" s="236"/>
      <c r="AO570" s="114"/>
    </row>
    <row r="571" ht="15.75" customHeight="1">
      <c r="C571" s="114"/>
      <c r="D571" s="114"/>
      <c r="E571" s="114"/>
      <c r="F571" s="114"/>
      <c r="G571" s="114"/>
      <c r="H571" s="114"/>
      <c r="I571" s="114"/>
      <c r="J571" s="114"/>
      <c r="K571" s="114"/>
      <c r="L571" s="114"/>
      <c r="M571" s="114"/>
      <c r="N571" s="114"/>
      <c r="O571" s="242"/>
      <c r="P571" s="243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  <c r="AB571" s="114"/>
      <c r="AC571" s="114"/>
      <c r="AD571" s="114"/>
      <c r="AE571" s="114"/>
      <c r="AF571" s="114"/>
      <c r="AM571" s="114"/>
      <c r="AN571" s="236"/>
      <c r="AO571" s="114"/>
    </row>
    <row r="572" ht="15.75" customHeight="1">
      <c r="C572" s="114"/>
      <c r="D572" s="114"/>
      <c r="E572" s="114"/>
      <c r="F572" s="114"/>
      <c r="G572" s="114"/>
      <c r="H572" s="114"/>
      <c r="I572" s="114"/>
      <c r="J572" s="114"/>
      <c r="K572" s="114"/>
      <c r="L572" s="114"/>
      <c r="M572" s="114"/>
      <c r="N572" s="114"/>
      <c r="O572" s="242"/>
      <c r="P572" s="243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  <c r="AB572" s="114"/>
      <c r="AC572" s="114"/>
      <c r="AD572" s="114"/>
      <c r="AE572" s="114"/>
      <c r="AF572" s="114"/>
      <c r="AM572" s="114"/>
      <c r="AN572" s="236"/>
      <c r="AO572" s="114"/>
    </row>
    <row r="573" ht="15.75" customHeight="1">
      <c r="C573" s="114"/>
      <c r="D573" s="114"/>
      <c r="E573" s="114"/>
      <c r="F573" s="114"/>
      <c r="G573" s="114"/>
      <c r="H573" s="114"/>
      <c r="I573" s="114"/>
      <c r="J573" s="114"/>
      <c r="K573" s="114"/>
      <c r="L573" s="114"/>
      <c r="M573" s="114"/>
      <c r="N573" s="114"/>
      <c r="O573" s="242"/>
      <c r="P573" s="243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  <c r="AB573" s="114"/>
      <c r="AC573" s="114"/>
      <c r="AD573" s="114"/>
      <c r="AE573" s="114"/>
      <c r="AF573" s="114"/>
      <c r="AM573" s="114"/>
      <c r="AN573" s="236"/>
      <c r="AO573" s="114"/>
    </row>
    <row r="574" ht="15.75" customHeight="1">
      <c r="C574" s="114"/>
      <c r="D574" s="114"/>
      <c r="E574" s="114"/>
      <c r="F574" s="114"/>
      <c r="G574" s="114"/>
      <c r="H574" s="114"/>
      <c r="I574" s="114"/>
      <c r="J574" s="114"/>
      <c r="K574" s="114"/>
      <c r="L574" s="114"/>
      <c r="M574" s="114"/>
      <c r="N574" s="114"/>
      <c r="O574" s="242"/>
      <c r="P574" s="243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  <c r="AB574" s="114"/>
      <c r="AC574" s="114"/>
      <c r="AD574" s="114"/>
      <c r="AE574" s="114"/>
      <c r="AF574" s="114"/>
      <c r="AM574" s="114"/>
      <c r="AN574" s="236"/>
      <c r="AO574" s="114"/>
    </row>
    <row r="575" ht="15.75" customHeight="1">
      <c r="C575" s="114"/>
      <c r="D575" s="114"/>
      <c r="E575" s="114"/>
      <c r="F575" s="114"/>
      <c r="G575" s="114"/>
      <c r="H575" s="114"/>
      <c r="I575" s="114"/>
      <c r="J575" s="114"/>
      <c r="K575" s="114"/>
      <c r="L575" s="114"/>
      <c r="M575" s="114"/>
      <c r="N575" s="114"/>
      <c r="O575" s="242"/>
      <c r="P575" s="243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  <c r="AB575" s="114"/>
      <c r="AC575" s="114"/>
      <c r="AD575" s="114"/>
      <c r="AE575" s="114"/>
      <c r="AF575" s="114"/>
      <c r="AM575" s="114"/>
      <c r="AN575" s="236"/>
      <c r="AO575" s="114"/>
    </row>
    <row r="576" ht="15.75" customHeight="1">
      <c r="C576" s="114"/>
      <c r="D576" s="114"/>
      <c r="E576" s="114"/>
      <c r="F576" s="114"/>
      <c r="G576" s="114"/>
      <c r="H576" s="114"/>
      <c r="I576" s="114"/>
      <c r="J576" s="114"/>
      <c r="K576" s="114"/>
      <c r="L576" s="114"/>
      <c r="M576" s="114"/>
      <c r="N576" s="114"/>
      <c r="O576" s="242"/>
      <c r="P576" s="243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  <c r="AB576" s="114"/>
      <c r="AC576" s="114"/>
      <c r="AD576" s="114"/>
      <c r="AE576" s="114"/>
      <c r="AF576" s="114"/>
      <c r="AM576" s="114"/>
      <c r="AN576" s="236"/>
      <c r="AO576" s="114"/>
    </row>
    <row r="577" ht="15.75" customHeight="1">
      <c r="C577" s="114"/>
      <c r="D577" s="114"/>
      <c r="E577" s="114"/>
      <c r="F577" s="114"/>
      <c r="G577" s="114"/>
      <c r="H577" s="114"/>
      <c r="I577" s="114"/>
      <c r="J577" s="114"/>
      <c r="K577" s="114"/>
      <c r="L577" s="114"/>
      <c r="M577" s="114"/>
      <c r="N577" s="114"/>
      <c r="O577" s="242"/>
      <c r="P577" s="243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  <c r="AB577" s="114"/>
      <c r="AC577" s="114"/>
      <c r="AD577" s="114"/>
      <c r="AE577" s="114"/>
      <c r="AF577" s="114"/>
      <c r="AM577" s="114"/>
      <c r="AN577" s="236"/>
      <c r="AO577" s="114"/>
    </row>
    <row r="578" ht="15.75" customHeight="1">
      <c r="C578" s="114"/>
      <c r="D578" s="114"/>
      <c r="E578" s="114"/>
      <c r="F578" s="114"/>
      <c r="G578" s="114"/>
      <c r="H578" s="114"/>
      <c r="I578" s="114"/>
      <c r="J578" s="114"/>
      <c r="K578" s="114"/>
      <c r="L578" s="114"/>
      <c r="M578" s="114"/>
      <c r="N578" s="114"/>
      <c r="O578" s="242"/>
      <c r="P578" s="243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  <c r="AA578" s="114"/>
      <c r="AB578" s="114"/>
      <c r="AC578" s="114"/>
      <c r="AD578" s="114"/>
      <c r="AE578" s="114"/>
      <c r="AF578" s="114"/>
      <c r="AM578" s="114"/>
      <c r="AN578" s="236"/>
      <c r="AO578" s="114"/>
    </row>
    <row r="579" ht="15.75" customHeight="1">
      <c r="C579" s="114"/>
      <c r="D579" s="114"/>
      <c r="E579" s="114"/>
      <c r="F579" s="114"/>
      <c r="G579" s="114"/>
      <c r="H579" s="114"/>
      <c r="I579" s="114"/>
      <c r="J579" s="114"/>
      <c r="K579" s="114"/>
      <c r="L579" s="114"/>
      <c r="M579" s="114"/>
      <c r="N579" s="114"/>
      <c r="O579" s="242"/>
      <c r="P579" s="243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  <c r="AB579" s="114"/>
      <c r="AC579" s="114"/>
      <c r="AD579" s="114"/>
      <c r="AE579" s="114"/>
      <c r="AF579" s="114"/>
      <c r="AM579" s="114"/>
      <c r="AN579" s="236"/>
      <c r="AO579" s="114"/>
    </row>
    <row r="580" ht="15.75" customHeight="1">
      <c r="C580" s="114"/>
      <c r="D580" s="114"/>
      <c r="E580" s="114"/>
      <c r="F580" s="114"/>
      <c r="G580" s="114"/>
      <c r="H580" s="114"/>
      <c r="I580" s="114"/>
      <c r="J580" s="114"/>
      <c r="K580" s="114"/>
      <c r="L580" s="114"/>
      <c r="M580" s="114"/>
      <c r="N580" s="114"/>
      <c r="O580" s="242"/>
      <c r="P580" s="243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  <c r="AB580" s="114"/>
      <c r="AC580" s="114"/>
      <c r="AD580" s="114"/>
      <c r="AE580" s="114"/>
      <c r="AF580" s="114"/>
      <c r="AM580" s="114"/>
      <c r="AN580" s="236"/>
      <c r="AO580" s="114"/>
    </row>
    <row r="581" ht="15.75" customHeight="1">
      <c r="C581" s="114"/>
      <c r="D581" s="114"/>
      <c r="E581" s="114"/>
      <c r="F581" s="114"/>
      <c r="G581" s="114"/>
      <c r="H581" s="114"/>
      <c r="I581" s="114"/>
      <c r="J581" s="114"/>
      <c r="K581" s="114"/>
      <c r="L581" s="114"/>
      <c r="M581" s="114"/>
      <c r="N581" s="114"/>
      <c r="O581" s="242"/>
      <c r="P581" s="243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  <c r="AB581" s="114"/>
      <c r="AC581" s="114"/>
      <c r="AD581" s="114"/>
      <c r="AE581" s="114"/>
      <c r="AF581" s="114"/>
      <c r="AM581" s="114"/>
      <c r="AN581" s="236"/>
      <c r="AO581" s="114"/>
    </row>
    <row r="582" ht="15.75" customHeight="1">
      <c r="C582" s="114"/>
      <c r="D582" s="114"/>
      <c r="E582" s="114"/>
      <c r="F582" s="114"/>
      <c r="G582" s="114"/>
      <c r="H582" s="114"/>
      <c r="I582" s="114"/>
      <c r="J582" s="114"/>
      <c r="K582" s="114"/>
      <c r="L582" s="114"/>
      <c r="M582" s="114"/>
      <c r="N582" s="114"/>
      <c r="O582" s="242"/>
      <c r="P582" s="243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  <c r="AB582" s="114"/>
      <c r="AC582" s="114"/>
      <c r="AD582" s="114"/>
      <c r="AE582" s="114"/>
      <c r="AF582" s="114"/>
      <c r="AM582" s="114"/>
      <c r="AN582" s="236"/>
      <c r="AO582" s="114"/>
    </row>
    <row r="583" ht="15.75" customHeight="1">
      <c r="C583" s="114"/>
      <c r="D583" s="114"/>
      <c r="E583" s="114"/>
      <c r="F583" s="114"/>
      <c r="G583" s="114"/>
      <c r="H583" s="114"/>
      <c r="I583" s="114"/>
      <c r="J583" s="114"/>
      <c r="K583" s="114"/>
      <c r="L583" s="114"/>
      <c r="M583" s="114"/>
      <c r="N583" s="114"/>
      <c r="O583" s="242"/>
      <c r="P583" s="243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114"/>
      <c r="AD583" s="114"/>
      <c r="AE583" s="114"/>
      <c r="AF583" s="114"/>
      <c r="AM583" s="114"/>
      <c r="AN583" s="236"/>
      <c r="AO583" s="114"/>
    </row>
    <row r="584" ht="15.75" customHeight="1">
      <c r="C584" s="114"/>
      <c r="D584" s="114"/>
      <c r="E584" s="114"/>
      <c r="F584" s="114"/>
      <c r="G584" s="114"/>
      <c r="H584" s="114"/>
      <c r="I584" s="114"/>
      <c r="J584" s="114"/>
      <c r="K584" s="114"/>
      <c r="L584" s="114"/>
      <c r="M584" s="114"/>
      <c r="N584" s="114"/>
      <c r="O584" s="242"/>
      <c r="P584" s="243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  <c r="AB584" s="114"/>
      <c r="AC584" s="114"/>
      <c r="AD584" s="114"/>
      <c r="AE584" s="114"/>
      <c r="AF584" s="114"/>
      <c r="AM584" s="114"/>
      <c r="AN584" s="236"/>
      <c r="AO584" s="114"/>
    </row>
    <row r="585" ht="15.75" customHeight="1">
      <c r="C585" s="114"/>
      <c r="D585" s="114"/>
      <c r="E585" s="114"/>
      <c r="F585" s="114"/>
      <c r="G585" s="114"/>
      <c r="H585" s="114"/>
      <c r="I585" s="114"/>
      <c r="J585" s="114"/>
      <c r="K585" s="114"/>
      <c r="L585" s="114"/>
      <c r="M585" s="114"/>
      <c r="N585" s="114"/>
      <c r="O585" s="242"/>
      <c r="P585" s="243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  <c r="AB585" s="114"/>
      <c r="AC585" s="114"/>
      <c r="AD585" s="114"/>
      <c r="AE585" s="114"/>
      <c r="AF585" s="114"/>
      <c r="AM585" s="114"/>
      <c r="AN585" s="236"/>
      <c r="AO585" s="114"/>
    </row>
    <row r="586" ht="15.75" customHeight="1">
      <c r="C586" s="114"/>
      <c r="D586" s="114"/>
      <c r="E586" s="114"/>
      <c r="F586" s="114"/>
      <c r="G586" s="114"/>
      <c r="H586" s="114"/>
      <c r="I586" s="114"/>
      <c r="J586" s="114"/>
      <c r="K586" s="114"/>
      <c r="L586" s="114"/>
      <c r="M586" s="114"/>
      <c r="N586" s="114"/>
      <c r="O586" s="242"/>
      <c r="P586" s="243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  <c r="AB586" s="114"/>
      <c r="AC586" s="114"/>
      <c r="AD586" s="114"/>
      <c r="AE586" s="114"/>
      <c r="AF586" s="114"/>
      <c r="AM586" s="114"/>
      <c r="AN586" s="236"/>
      <c r="AO586" s="114"/>
    </row>
    <row r="587" ht="15.75" customHeight="1">
      <c r="C587" s="114"/>
      <c r="D587" s="114"/>
      <c r="E587" s="114"/>
      <c r="F587" s="114"/>
      <c r="G587" s="114"/>
      <c r="H587" s="114"/>
      <c r="I587" s="114"/>
      <c r="J587" s="114"/>
      <c r="K587" s="114"/>
      <c r="L587" s="114"/>
      <c r="M587" s="114"/>
      <c r="N587" s="114"/>
      <c r="O587" s="242"/>
      <c r="P587" s="243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  <c r="AB587" s="114"/>
      <c r="AC587" s="114"/>
      <c r="AD587" s="114"/>
      <c r="AE587" s="114"/>
      <c r="AF587" s="114"/>
      <c r="AM587" s="114"/>
      <c r="AN587" s="236"/>
      <c r="AO587" s="114"/>
    </row>
    <row r="588" ht="15.75" customHeight="1">
      <c r="C588" s="114"/>
      <c r="D588" s="114"/>
      <c r="E588" s="114"/>
      <c r="F588" s="114"/>
      <c r="G588" s="114"/>
      <c r="H588" s="114"/>
      <c r="I588" s="114"/>
      <c r="J588" s="114"/>
      <c r="K588" s="114"/>
      <c r="L588" s="114"/>
      <c r="M588" s="114"/>
      <c r="N588" s="114"/>
      <c r="O588" s="242"/>
      <c r="P588" s="243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  <c r="AB588" s="114"/>
      <c r="AC588" s="114"/>
      <c r="AD588" s="114"/>
      <c r="AE588" s="114"/>
      <c r="AF588" s="114"/>
      <c r="AM588" s="114"/>
      <c r="AN588" s="236"/>
      <c r="AO588" s="114"/>
    </row>
    <row r="589" ht="15.75" customHeight="1">
      <c r="C589" s="114"/>
      <c r="D589" s="114"/>
      <c r="E589" s="114"/>
      <c r="F589" s="114"/>
      <c r="G589" s="114"/>
      <c r="H589" s="114"/>
      <c r="I589" s="114"/>
      <c r="J589" s="114"/>
      <c r="K589" s="114"/>
      <c r="L589" s="114"/>
      <c r="M589" s="114"/>
      <c r="N589" s="114"/>
      <c r="O589" s="242"/>
      <c r="P589" s="243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  <c r="AB589" s="114"/>
      <c r="AC589" s="114"/>
      <c r="AD589" s="114"/>
      <c r="AE589" s="114"/>
      <c r="AF589" s="114"/>
      <c r="AM589" s="114"/>
      <c r="AN589" s="236"/>
      <c r="AO589" s="114"/>
    </row>
    <row r="590" ht="15.75" customHeight="1">
      <c r="C590" s="114"/>
      <c r="D590" s="114"/>
      <c r="E590" s="114"/>
      <c r="F590" s="114"/>
      <c r="G590" s="114"/>
      <c r="H590" s="114"/>
      <c r="I590" s="114"/>
      <c r="J590" s="114"/>
      <c r="K590" s="114"/>
      <c r="L590" s="114"/>
      <c r="M590" s="114"/>
      <c r="N590" s="114"/>
      <c r="O590" s="242"/>
      <c r="P590" s="243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  <c r="AB590" s="114"/>
      <c r="AC590" s="114"/>
      <c r="AD590" s="114"/>
      <c r="AE590" s="114"/>
      <c r="AF590" s="114"/>
      <c r="AM590" s="114"/>
      <c r="AN590" s="236"/>
      <c r="AO590" s="114"/>
    </row>
    <row r="591" ht="15.75" customHeight="1">
      <c r="C591" s="114"/>
      <c r="D591" s="114"/>
      <c r="E591" s="114"/>
      <c r="F591" s="114"/>
      <c r="G591" s="114"/>
      <c r="H591" s="114"/>
      <c r="I591" s="114"/>
      <c r="J591" s="114"/>
      <c r="K591" s="114"/>
      <c r="L591" s="114"/>
      <c r="M591" s="114"/>
      <c r="N591" s="114"/>
      <c r="O591" s="242"/>
      <c r="P591" s="243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  <c r="AA591" s="114"/>
      <c r="AB591" s="114"/>
      <c r="AC591" s="114"/>
      <c r="AD591" s="114"/>
      <c r="AE591" s="114"/>
      <c r="AF591" s="114"/>
      <c r="AM591" s="114"/>
      <c r="AN591" s="236"/>
      <c r="AO591" s="114"/>
    </row>
    <row r="592" ht="15.75" customHeight="1">
      <c r="C592" s="114"/>
      <c r="D592" s="114"/>
      <c r="E592" s="114"/>
      <c r="F592" s="114"/>
      <c r="G592" s="114"/>
      <c r="H592" s="114"/>
      <c r="I592" s="114"/>
      <c r="J592" s="114"/>
      <c r="K592" s="114"/>
      <c r="L592" s="114"/>
      <c r="M592" s="114"/>
      <c r="N592" s="114"/>
      <c r="O592" s="242"/>
      <c r="P592" s="243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  <c r="AB592" s="114"/>
      <c r="AC592" s="114"/>
      <c r="AD592" s="114"/>
      <c r="AE592" s="114"/>
      <c r="AF592" s="114"/>
      <c r="AM592" s="114"/>
      <c r="AN592" s="236"/>
      <c r="AO592" s="114"/>
    </row>
    <row r="593" ht="15.75" customHeight="1">
      <c r="C593" s="114"/>
      <c r="D593" s="114"/>
      <c r="E593" s="114"/>
      <c r="F593" s="114"/>
      <c r="G593" s="114"/>
      <c r="H593" s="114"/>
      <c r="I593" s="114"/>
      <c r="J593" s="114"/>
      <c r="K593" s="114"/>
      <c r="L593" s="114"/>
      <c r="M593" s="114"/>
      <c r="N593" s="114"/>
      <c r="O593" s="242"/>
      <c r="P593" s="243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  <c r="AB593" s="114"/>
      <c r="AC593" s="114"/>
      <c r="AD593" s="114"/>
      <c r="AE593" s="114"/>
      <c r="AF593" s="114"/>
      <c r="AM593" s="114"/>
      <c r="AN593" s="236"/>
      <c r="AO593" s="114"/>
    </row>
    <row r="594" ht="15.75" customHeight="1">
      <c r="C594" s="114"/>
      <c r="D594" s="114"/>
      <c r="E594" s="114"/>
      <c r="F594" s="114"/>
      <c r="G594" s="114"/>
      <c r="H594" s="114"/>
      <c r="I594" s="114"/>
      <c r="J594" s="114"/>
      <c r="K594" s="114"/>
      <c r="L594" s="114"/>
      <c r="M594" s="114"/>
      <c r="N594" s="114"/>
      <c r="O594" s="242"/>
      <c r="P594" s="243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  <c r="AA594" s="114"/>
      <c r="AB594" s="114"/>
      <c r="AC594" s="114"/>
      <c r="AD594" s="114"/>
      <c r="AE594" s="114"/>
      <c r="AF594" s="114"/>
      <c r="AM594" s="114"/>
      <c r="AN594" s="236"/>
      <c r="AO594" s="114"/>
    </row>
    <row r="595" ht="15.75" customHeight="1">
      <c r="C595" s="114"/>
      <c r="D595" s="114"/>
      <c r="E595" s="114"/>
      <c r="F595" s="114"/>
      <c r="G595" s="114"/>
      <c r="H595" s="114"/>
      <c r="I595" s="114"/>
      <c r="J595" s="114"/>
      <c r="K595" s="114"/>
      <c r="L595" s="114"/>
      <c r="M595" s="114"/>
      <c r="N595" s="114"/>
      <c r="O595" s="242"/>
      <c r="P595" s="243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  <c r="AB595" s="114"/>
      <c r="AC595" s="114"/>
      <c r="AD595" s="114"/>
      <c r="AE595" s="114"/>
      <c r="AF595" s="114"/>
      <c r="AM595" s="114"/>
      <c r="AN595" s="236"/>
      <c r="AO595" s="114"/>
    </row>
    <row r="596" ht="15.75" customHeight="1">
      <c r="C596" s="114"/>
      <c r="D596" s="114"/>
      <c r="E596" s="114"/>
      <c r="F596" s="114"/>
      <c r="G596" s="114"/>
      <c r="H596" s="114"/>
      <c r="I596" s="114"/>
      <c r="J596" s="114"/>
      <c r="K596" s="114"/>
      <c r="L596" s="114"/>
      <c r="M596" s="114"/>
      <c r="N596" s="114"/>
      <c r="O596" s="242"/>
      <c r="P596" s="243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  <c r="AB596" s="114"/>
      <c r="AC596" s="114"/>
      <c r="AD596" s="114"/>
      <c r="AE596" s="114"/>
      <c r="AF596" s="114"/>
      <c r="AM596" s="114"/>
      <c r="AN596" s="236"/>
      <c r="AO596" s="114"/>
    </row>
    <row r="597" ht="15.75" customHeight="1">
      <c r="C597" s="114"/>
      <c r="D597" s="114"/>
      <c r="E597" s="114"/>
      <c r="F597" s="114"/>
      <c r="G597" s="114"/>
      <c r="H597" s="114"/>
      <c r="I597" s="114"/>
      <c r="J597" s="114"/>
      <c r="K597" s="114"/>
      <c r="L597" s="114"/>
      <c r="M597" s="114"/>
      <c r="N597" s="114"/>
      <c r="O597" s="242"/>
      <c r="P597" s="243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  <c r="AB597" s="114"/>
      <c r="AC597" s="114"/>
      <c r="AD597" s="114"/>
      <c r="AE597" s="114"/>
      <c r="AF597" s="114"/>
      <c r="AM597" s="114"/>
      <c r="AN597" s="236"/>
      <c r="AO597" s="114"/>
    </row>
    <row r="598" ht="15.75" customHeight="1">
      <c r="C598" s="114"/>
      <c r="D598" s="114"/>
      <c r="E598" s="114"/>
      <c r="F598" s="114"/>
      <c r="G598" s="114"/>
      <c r="H598" s="114"/>
      <c r="I598" s="114"/>
      <c r="J598" s="114"/>
      <c r="K598" s="114"/>
      <c r="L598" s="114"/>
      <c r="M598" s="114"/>
      <c r="N598" s="114"/>
      <c r="O598" s="242"/>
      <c r="P598" s="243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  <c r="AB598" s="114"/>
      <c r="AC598" s="114"/>
      <c r="AD598" s="114"/>
      <c r="AE598" s="114"/>
      <c r="AF598" s="114"/>
      <c r="AM598" s="114"/>
      <c r="AN598" s="236"/>
      <c r="AO598" s="114"/>
    </row>
    <row r="599" ht="15.75" customHeight="1">
      <c r="C599" s="114"/>
      <c r="D599" s="114"/>
      <c r="E599" s="114"/>
      <c r="F599" s="114"/>
      <c r="G599" s="114"/>
      <c r="H599" s="114"/>
      <c r="I599" s="114"/>
      <c r="J599" s="114"/>
      <c r="K599" s="114"/>
      <c r="L599" s="114"/>
      <c r="M599" s="114"/>
      <c r="N599" s="114"/>
      <c r="O599" s="242"/>
      <c r="P599" s="243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  <c r="AB599" s="114"/>
      <c r="AC599" s="114"/>
      <c r="AD599" s="114"/>
      <c r="AE599" s="114"/>
      <c r="AF599" s="114"/>
      <c r="AM599" s="114"/>
      <c r="AN599" s="236"/>
      <c r="AO599" s="114"/>
    </row>
    <row r="600" ht="15.75" customHeight="1">
      <c r="C600" s="114"/>
      <c r="D600" s="114"/>
      <c r="E600" s="114"/>
      <c r="F600" s="114"/>
      <c r="G600" s="114"/>
      <c r="H600" s="114"/>
      <c r="I600" s="114"/>
      <c r="J600" s="114"/>
      <c r="K600" s="114"/>
      <c r="L600" s="114"/>
      <c r="M600" s="114"/>
      <c r="N600" s="114"/>
      <c r="O600" s="242"/>
      <c r="P600" s="243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  <c r="AB600" s="114"/>
      <c r="AC600" s="114"/>
      <c r="AD600" s="114"/>
      <c r="AE600" s="114"/>
      <c r="AF600" s="114"/>
      <c r="AM600" s="114"/>
      <c r="AN600" s="236"/>
      <c r="AO600" s="114"/>
    </row>
    <row r="601" ht="15.75" customHeight="1">
      <c r="C601" s="114"/>
      <c r="D601" s="114"/>
      <c r="E601" s="114"/>
      <c r="F601" s="114"/>
      <c r="G601" s="114"/>
      <c r="H601" s="114"/>
      <c r="I601" s="114"/>
      <c r="J601" s="114"/>
      <c r="K601" s="114"/>
      <c r="L601" s="114"/>
      <c r="M601" s="114"/>
      <c r="N601" s="114"/>
      <c r="O601" s="242"/>
      <c r="P601" s="243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  <c r="AB601" s="114"/>
      <c r="AC601" s="114"/>
      <c r="AD601" s="114"/>
      <c r="AE601" s="114"/>
      <c r="AF601" s="114"/>
      <c r="AM601" s="114"/>
      <c r="AN601" s="236"/>
      <c r="AO601" s="114"/>
    </row>
    <row r="602" ht="15.75" customHeight="1">
      <c r="C602" s="114"/>
      <c r="D602" s="114"/>
      <c r="E602" s="114"/>
      <c r="F602" s="114"/>
      <c r="G602" s="114"/>
      <c r="H602" s="114"/>
      <c r="I602" s="114"/>
      <c r="J602" s="114"/>
      <c r="K602" s="114"/>
      <c r="L602" s="114"/>
      <c r="M602" s="114"/>
      <c r="N602" s="114"/>
      <c r="O602" s="242"/>
      <c r="P602" s="243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  <c r="AB602" s="114"/>
      <c r="AC602" s="114"/>
      <c r="AD602" s="114"/>
      <c r="AE602" s="114"/>
      <c r="AF602" s="114"/>
      <c r="AM602" s="114"/>
      <c r="AN602" s="236"/>
      <c r="AO602" s="114"/>
    </row>
    <row r="603" ht="15.75" customHeight="1">
      <c r="C603" s="114"/>
      <c r="D603" s="114"/>
      <c r="E603" s="114"/>
      <c r="F603" s="114"/>
      <c r="G603" s="114"/>
      <c r="H603" s="114"/>
      <c r="I603" s="114"/>
      <c r="J603" s="114"/>
      <c r="K603" s="114"/>
      <c r="L603" s="114"/>
      <c r="M603" s="114"/>
      <c r="N603" s="114"/>
      <c r="O603" s="242"/>
      <c r="P603" s="243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  <c r="AB603" s="114"/>
      <c r="AC603" s="114"/>
      <c r="AD603" s="114"/>
      <c r="AE603" s="114"/>
      <c r="AF603" s="114"/>
      <c r="AM603" s="114"/>
      <c r="AN603" s="236"/>
      <c r="AO603" s="114"/>
    </row>
    <row r="604" ht="15.75" customHeight="1">
      <c r="C604" s="114"/>
      <c r="D604" s="114"/>
      <c r="E604" s="114"/>
      <c r="F604" s="114"/>
      <c r="G604" s="114"/>
      <c r="H604" s="114"/>
      <c r="I604" s="114"/>
      <c r="J604" s="114"/>
      <c r="K604" s="114"/>
      <c r="L604" s="114"/>
      <c r="M604" s="114"/>
      <c r="N604" s="114"/>
      <c r="O604" s="242"/>
      <c r="P604" s="243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  <c r="AB604" s="114"/>
      <c r="AC604" s="114"/>
      <c r="AD604" s="114"/>
      <c r="AE604" s="114"/>
      <c r="AF604" s="114"/>
      <c r="AM604" s="114"/>
      <c r="AN604" s="236"/>
      <c r="AO604" s="114"/>
    </row>
    <row r="605" ht="15.75" customHeight="1">
      <c r="C605" s="114"/>
      <c r="D605" s="114"/>
      <c r="E605" s="114"/>
      <c r="F605" s="114"/>
      <c r="G605" s="114"/>
      <c r="H605" s="114"/>
      <c r="I605" s="114"/>
      <c r="J605" s="114"/>
      <c r="K605" s="114"/>
      <c r="L605" s="114"/>
      <c r="M605" s="114"/>
      <c r="N605" s="114"/>
      <c r="O605" s="242"/>
      <c r="P605" s="243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  <c r="AB605" s="114"/>
      <c r="AC605" s="114"/>
      <c r="AD605" s="114"/>
      <c r="AE605" s="114"/>
      <c r="AF605" s="114"/>
      <c r="AM605" s="114"/>
      <c r="AN605" s="236"/>
      <c r="AO605" s="114"/>
    </row>
    <row r="606" ht="15.75" customHeight="1">
      <c r="C606" s="114"/>
      <c r="D606" s="114"/>
      <c r="E606" s="114"/>
      <c r="F606" s="114"/>
      <c r="G606" s="114"/>
      <c r="H606" s="114"/>
      <c r="I606" s="114"/>
      <c r="J606" s="114"/>
      <c r="K606" s="114"/>
      <c r="L606" s="114"/>
      <c r="M606" s="114"/>
      <c r="N606" s="114"/>
      <c r="O606" s="242"/>
      <c r="P606" s="243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  <c r="AB606" s="114"/>
      <c r="AC606" s="114"/>
      <c r="AD606" s="114"/>
      <c r="AE606" s="114"/>
      <c r="AF606" s="114"/>
      <c r="AM606" s="114"/>
      <c r="AN606" s="236"/>
      <c r="AO606" s="114"/>
    </row>
    <row r="607" ht="15.75" customHeight="1">
      <c r="C607" s="114"/>
      <c r="D607" s="114"/>
      <c r="E607" s="114"/>
      <c r="F607" s="114"/>
      <c r="G607" s="114"/>
      <c r="H607" s="114"/>
      <c r="I607" s="114"/>
      <c r="J607" s="114"/>
      <c r="K607" s="114"/>
      <c r="L607" s="114"/>
      <c r="M607" s="114"/>
      <c r="N607" s="114"/>
      <c r="O607" s="242"/>
      <c r="P607" s="243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  <c r="AB607" s="114"/>
      <c r="AC607" s="114"/>
      <c r="AD607" s="114"/>
      <c r="AE607" s="114"/>
      <c r="AF607" s="114"/>
      <c r="AM607" s="114"/>
      <c r="AN607" s="236"/>
      <c r="AO607" s="114"/>
    </row>
    <row r="608" ht="15.75" customHeight="1">
      <c r="C608" s="114"/>
      <c r="D608" s="114"/>
      <c r="E608" s="114"/>
      <c r="F608" s="114"/>
      <c r="G608" s="114"/>
      <c r="H608" s="114"/>
      <c r="I608" s="114"/>
      <c r="J608" s="114"/>
      <c r="K608" s="114"/>
      <c r="L608" s="114"/>
      <c r="M608" s="114"/>
      <c r="N608" s="114"/>
      <c r="O608" s="242"/>
      <c r="P608" s="243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  <c r="AA608" s="114"/>
      <c r="AB608" s="114"/>
      <c r="AC608" s="114"/>
      <c r="AD608" s="114"/>
      <c r="AE608" s="114"/>
      <c r="AF608" s="114"/>
      <c r="AM608" s="114"/>
      <c r="AN608" s="236"/>
      <c r="AO608" s="114"/>
    </row>
    <row r="609" ht="15.75" customHeight="1">
      <c r="C609" s="114"/>
      <c r="D609" s="114"/>
      <c r="E609" s="114"/>
      <c r="F609" s="114"/>
      <c r="G609" s="114"/>
      <c r="H609" s="114"/>
      <c r="I609" s="114"/>
      <c r="J609" s="114"/>
      <c r="K609" s="114"/>
      <c r="L609" s="114"/>
      <c r="M609" s="114"/>
      <c r="N609" s="114"/>
      <c r="O609" s="242"/>
      <c r="P609" s="243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  <c r="AB609" s="114"/>
      <c r="AC609" s="114"/>
      <c r="AD609" s="114"/>
      <c r="AE609" s="114"/>
      <c r="AF609" s="114"/>
      <c r="AM609" s="114"/>
      <c r="AN609" s="236"/>
      <c r="AO609" s="114"/>
    </row>
    <row r="610" ht="15.75" customHeight="1">
      <c r="C610" s="114"/>
      <c r="D610" s="114"/>
      <c r="E610" s="114"/>
      <c r="F610" s="114"/>
      <c r="G610" s="114"/>
      <c r="H610" s="114"/>
      <c r="I610" s="114"/>
      <c r="J610" s="114"/>
      <c r="K610" s="114"/>
      <c r="L610" s="114"/>
      <c r="M610" s="114"/>
      <c r="N610" s="114"/>
      <c r="O610" s="242"/>
      <c r="P610" s="243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  <c r="AB610" s="114"/>
      <c r="AC610" s="114"/>
      <c r="AD610" s="114"/>
      <c r="AE610" s="114"/>
      <c r="AF610" s="114"/>
      <c r="AM610" s="114"/>
      <c r="AN610" s="236"/>
      <c r="AO610" s="114"/>
    </row>
    <row r="611" ht="15.75" customHeight="1">
      <c r="C611" s="114"/>
      <c r="D611" s="114"/>
      <c r="E611" s="114"/>
      <c r="F611" s="114"/>
      <c r="G611" s="114"/>
      <c r="H611" s="114"/>
      <c r="I611" s="114"/>
      <c r="J611" s="114"/>
      <c r="K611" s="114"/>
      <c r="L611" s="114"/>
      <c r="M611" s="114"/>
      <c r="N611" s="114"/>
      <c r="O611" s="242"/>
      <c r="P611" s="243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  <c r="AA611" s="114"/>
      <c r="AB611" s="114"/>
      <c r="AC611" s="114"/>
      <c r="AD611" s="114"/>
      <c r="AE611" s="114"/>
      <c r="AF611" s="114"/>
      <c r="AM611" s="114"/>
      <c r="AN611" s="236"/>
      <c r="AO611" s="114"/>
    </row>
    <row r="612" ht="15.75" customHeight="1">
      <c r="C612" s="114"/>
      <c r="D612" s="114"/>
      <c r="E612" s="114"/>
      <c r="F612" s="114"/>
      <c r="G612" s="114"/>
      <c r="H612" s="114"/>
      <c r="I612" s="114"/>
      <c r="J612" s="114"/>
      <c r="K612" s="114"/>
      <c r="L612" s="114"/>
      <c r="M612" s="114"/>
      <c r="N612" s="114"/>
      <c r="O612" s="242"/>
      <c r="P612" s="243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  <c r="AB612" s="114"/>
      <c r="AC612" s="114"/>
      <c r="AD612" s="114"/>
      <c r="AE612" s="114"/>
      <c r="AF612" s="114"/>
      <c r="AM612" s="114"/>
      <c r="AN612" s="236"/>
      <c r="AO612" s="114"/>
    </row>
    <row r="613" ht="15.75" customHeight="1">
      <c r="C613" s="114"/>
      <c r="D613" s="114"/>
      <c r="E613" s="114"/>
      <c r="F613" s="114"/>
      <c r="G613" s="114"/>
      <c r="H613" s="114"/>
      <c r="I613" s="114"/>
      <c r="J613" s="114"/>
      <c r="K613" s="114"/>
      <c r="L613" s="114"/>
      <c r="M613" s="114"/>
      <c r="N613" s="114"/>
      <c r="O613" s="242"/>
      <c r="P613" s="243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  <c r="AB613" s="114"/>
      <c r="AC613" s="114"/>
      <c r="AD613" s="114"/>
      <c r="AE613" s="114"/>
      <c r="AF613" s="114"/>
      <c r="AM613" s="114"/>
      <c r="AN613" s="236"/>
      <c r="AO613" s="114"/>
    </row>
    <row r="614" ht="15.75" customHeight="1">
      <c r="C614" s="114"/>
      <c r="D614" s="114"/>
      <c r="E614" s="114"/>
      <c r="F614" s="114"/>
      <c r="G614" s="114"/>
      <c r="H614" s="114"/>
      <c r="I614" s="114"/>
      <c r="J614" s="114"/>
      <c r="K614" s="114"/>
      <c r="L614" s="114"/>
      <c r="M614" s="114"/>
      <c r="N614" s="114"/>
      <c r="O614" s="242"/>
      <c r="P614" s="243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  <c r="AB614" s="114"/>
      <c r="AC614" s="114"/>
      <c r="AD614" s="114"/>
      <c r="AE614" s="114"/>
      <c r="AF614" s="114"/>
      <c r="AM614" s="114"/>
      <c r="AN614" s="236"/>
      <c r="AO614" s="114"/>
    </row>
    <row r="615" ht="15.75" customHeight="1">
      <c r="C615" s="114"/>
      <c r="D615" s="114"/>
      <c r="E615" s="114"/>
      <c r="F615" s="114"/>
      <c r="G615" s="114"/>
      <c r="H615" s="114"/>
      <c r="I615" s="114"/>
      <c r="J615" s="114"/>
      <c r="K615" s="114"/>
      <c r="L615" s="114"/>
      <c r="M615" s="114"/>
      <c r="N615" s="114"/>
      <c r="O615" s="242"/>
      <c r="P615" s="243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  <c r="AB615" s="114"/>
      <c r="AC615" s="114"/>
      <c r="AD615" s="114"/>
      <c r="AE615" s="114"/>
      <c r="AF615" s="114"/>
      <c r="AM615" s="114"/>
      <c r="AN615" s="236"/>
      <c r="AO615" s="114"/>
    </row>
    <row r="616" ht="15.75" customHeight="1">
      <c r="C616" s="114"/>
      <c r="D616" s="114"/>
      <c r="E616" s="114"/>
      <c r="F616" s="114"/>
      <c r="G616" s="114"/>
      <c r="H616" s="114"/>
      <c r="I616" s="114"/>
      <c r="J616" s="114"/>
      <c r="K616" s="114"/>
      <c r="L616" s="114"/>
      <c r="M616" s="114"/>
      <c r="N616" s="114"/>
      <c r="O616" s="242"/>
      <c r="P616" s="243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  <c r="AB616" s="114"/>
      <c r="AC616" s="114"/>
      <c r="AD616" s="114"/>
      <c r="AE616" s="114"/>
      <c r="AF616" s="114"/>
      <c r="AM616" s="114"/>
      <c r="AN616" s="236"/>
      <c r="AO616" s="114"/>
    </row>
    <row r="617" ht="15.75" customHeight="1">
      <c r="C617" s="114"/>
      <c r="D617" s="114"/>
      <c r="E617" s="114"/>
      <c r="F617" s="114"/>
      <c r="G617" s="114"/>
      <c r="H617" s="114"/>
      <c r="I617" s="114"/>
      <c r="J617" s="114"/>
      <c r="K617" s="114"/>
      <c r="L617" s="114"/>
      <c r="M617" s="114"/>
      <c r="N617" s="114"/>
      <c r="O617" s="242"/>
      <c r="P617" s="243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  <c r="AB617" s="114"/>
      <c r="AC617" s="114"/>
      <c r="AD617" s="114"/>
      <c r="AE617" s="114"/>
      <c r="AF617" s="114"/>
      <c r="AM617" s="114"/>
      <c r="AN617" s="236"/>
      <c r="AO617" s="114"/>
    </row>
    <row r="618" ht="15.75" customHeight="1">
      <c r="C618" s="114"/>
      <c r="D618" s="114"/>
      <c r="E618" s="114"/>
      <c r="F618" s="114"/>
      <c r="G618" s="114"/>
      <c r="H618" s="114"/>
      <c r="I618" s="114"/>
      <c r="J618" s="114"/>
      <c r="K618" s="114"/>
      <c r="L618" s="114"/>
      <c r="M618" s="114"/>
      <c r="N618" s="114"/>
      <c r="O618" s="242"/>
      <c r="P618" s="243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  <c r="AB618" s="114"/>
      <c r="AC618" s="114"/>
      <c r="AD618" s="114"/>
      <c r="AE618" s="114"/>
      <c r="AF618" s="114"/>
      <c r="AM618" s="114"/>
      <c r="AN618" s="236"/>
      <c r="AO618" s="114"/>
    </row>
    <row r="619" ht="15.75" customHeight="1">
      <c r="C619" s="114"/>
      <c r="D619" s="114"/>
      <c r="E619" s="114"/>
      <c r="F619" s="114"/>
      <c r="G619" s="114"/>
      <c r="H619" s="114"/>
      <c r="I619" s="114"/>
      <c r="J619" s="114"/>
      <c r="K619" s="114"/>
      <c r="L619" s="114"/>
      <c r="M619" s="114"/>
      <c r="N619" s="114"/>
      <c r="O619" s="242"/>
      <c r="P619" s="243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  <c r="AB619" s="114"/>
      <c r="AC619" s="114"/>
      <c r="AD619" s="114"/>
      <c r="AE619" s="114"/>
      <c r="AF619" s="114"/>
      <c r="AM619" s="114"/>
      <c r="AN619" s="236"/>
      <c r="AO619" s="114"/>
    </row>
    <row r="620" ht="15.75" customHeight="1">
      <c r="C620" s="114"/>
      <c r="D620" s="114"/>
      <c r="E620" s="114"/>
      <c r="F620" s="114"/>
      <c r="G620" s="114"/>
      <c r="H620" s="114"/>
      <c r="I620" s="114"/>
      <c r="J620" s="114"/>
      <c r="K620" s="114"/>
      <c r="L620" s="114"/>
      <c r="M620" s="114"/>
      <c r="N620" s="114"/>
      <c r="O620" s="242"/>
      <c r="P620" s="243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  <c r="AB620" s="114"/>
      <c r="AC620" s="114"/>
      <c r="AD620" s="114"/>
      <c r="AE620" s="114"/>
      <c r="AF620" s="114"/>
      <c r="AM620" s="114"/>
      <c r="AN620" s="236"/>
      <c r="AO620" s="114"/>
    </row>
    <row r="621" ht="15.75" customHeight="1">
      <c r="C621" s="114"/>
      <c r="D621" s="114"/>
      <c r="E621" s="114"/>
      <c r="F621" s="114"/>
      <c r="G621" s="114"/>
      <c r="H621" s="114"/>
      <c r="I621" s="114"/>
      <c r="J621" s="114"/>
      <c r="K621" s="114"/>
      <c r="L621" s="114"/>
      <c r="M621" s="114"/>
      <c r="N621" s="114"/>
      <c r="O621" s="242"/>
      <c r="P621" s="243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  <c r="AB621" s="114"/>
      <c r="AC621" s="114"/>
      <c r="AD621" s="114"/>
      <c r="AE621" s="114"/>
      <c r="AF621" s="114"/>
      <c r="AM621" s="114"/>
      <c r="AN621" s="236"/>
      <c r="AO621" s="114"/>
    </row>
    <row r="622" ht="15.75" customHeight="1">
      <c r="C622" s="114"/>
      <c r="D622" s="114"/>
      <c r="E622" s="114"/>
      <c r="F622" s="114"/>
      <c r="G622" s="114"/>
      <c r="H622" s="114"/>
      <c r="I622" s="114"/>
      <c r="J622" s="114"/>
      <c r="K622" s="114"/>
      <c r="L622" s="114"/>
      <c r="M622" s="114"/>
      <c r="N622" s="114"/>
      <c r="O622" s="242"/>
      <c r="P622" s="243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  <c r="AB622" s="114"/>
      <c r="AC622" s="114"/>
      <c r="AD622" s="114"/>
      <c r="AE622" s="114"/>
      <c r="AF622" s="114"/>
      <c r="AM622" s="114"/>
      <c r="AN622" s="236"/>
      <c r="AO622" s="114"/>
    </row>
    <row r="623" ht="15.75" customHeight="1">
      <c r="C623" s="114"/>
      <c r="D623" s="114"/>
      <c r="E623" s="114"/>
      <c r="F623" s="114"/>
      <c r="G623" s="114"/>
      <c r="H623" s="114"/>
      <c r="I623" s="114"/>
      <c r="J623" s="114"/>
      <c r="K623" s="114"/>
      <c r="L623" s="114"/>
      <c r="M623" s="114"/>
      <c r="N623" s="114"/>
      <c r="O623" s="242"/>
      <c r="P623" s="243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  <c r="AB623" s="114"/>
      <c r="AC623" s="114"/>
      <c r="AD623" s="114"/>
      <c r="AE623" s="114"/>
      <c r="AF623" s="114"/>
      <c r="AM623" s="114"/>
      <c r="AN623" s="236"/>
      <c r="AO623" s="114"/>
    </row>
    <row r="624" ht="15.75" customHeight="1">
      <c r="C624" s="114"/>
      <c r="D624" s="114"/>
      <c r="E624" s="114"/>
      <c r="F624" s="114"/>
      <c r="G624" s="114"/>
      <c r="H624" s="114"/>
      <c r="I624" s="114"/>
      <c r="J624" s="114"/>
      <c r="K624" s="114"/>
      <c r="L624" s="114"/>
      <c r="M624" s="114"/>
      <c r="N624" s="114"/>
      <c r="O624" s="242"/>
      <c r="P624" s="243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  <c r="AB624" s="114"/>
      <c r="AC624" s="114"/>
      <c r="AD624" s="114"/>
      <c r="AE624" s="114"/>
      <c r="AF624" s="114"/>
      <c r="AM624" s="114"/>
      <c r="AN624" s="236"/>
      <c r="AO624" s="114"/>
    </row>
    <row r="625" ht="15.75" customHeight="1">
      <c r="C625" s="114"/>
      <c r="D625" s="114"/>
      <c r="E625" s="114"/>
      <c r="F625" s="114"/>
      <c r="G625" s="114"/>
      <c r="H625" s="114"/>
      <c r="I625" s="114"/>
      <c r="J625" s="114"/>
      <c r="K625" s="114"/>
      <c r="L625" s="114"/>
      <c r="M625" s="114"/>
      <c r="N625" s="114"/>
      <c r="O625" s="242"/>
      <c r="P625" s="243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  <c r="AA625" s="114"/>
      <c r="AB625" s="114"/>
      <c r="AC625" s="114"/>
      <c r="AD625" s="114"/>
      <c r="AE625" s="114"/>
      <c r="AF625" s="114"/>
      <c r="AM625" s="114"/>
      <c r="AN625" s="236"/>
      <c r="AO625" s="114"/>
    </row>
    <row r="626" ht="15.75" customHeight="1">
      <c r="C626" s="114"/>
      <c r="D626" s="114"/>
      <c r="E626" s="114"/>
      <c r="F626" s="114"/>
      <c r="G626" s="114"/>
      <c r="H626" s="114"/>
      <c r="I626" s="114"/>
      <c r="J626" s="114"/>
      <c r="K626" s="114"/>
      <c r="L626" s="114"/>
      <c r="M626" s="114"/>
      <c r="N626" s="114"/>
      <c r="O626" s="242"/>
      <c r="P626" s="243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  <c r="AB626" s="114"/>
      <c r="AC626" s="114"/>
      <c r="AD626" s="114"/>
      <c r="AE626" s="114"/>
      <c r="AF626" s="114"/>
      <c r="AM626" s="114"/>
      <c r="AN626" s="236"/>
      <c r="AO626" s="114"/>
    </row>
    <row r="627" ht="15.75" customHeight="1">
      <c r="C627" s="114"/>
      <c r="D627" s="114"/>
      <c r="E627" s="114"/>
      <c r="F627" s="114"/>
      <c r="G627" s="114"/>
      <c r="H627" s="114"/>
      <c r="I627" s="114"/>
      <c r="J627" s="114"/>
      <c r="K627" s="114"/>
      <c r="L627" s="114"/>
      <c r="M627" s="114"/>
      <c r="N627" s="114"/>
      <c r="O627" s="242"/>
      <c r="P627" s="243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  <c r="AB627" s="114"/>
      <c r="AC627" s="114"/>
      <c r="AD627" s="114"/>
      <c r="AE627" s="114"/>
      <c r="AF627" s="114"/>
      <c r="AM627" s="114"/>
      <c r="AN627" s="236"/>
      <c r="AO627" s="114"/>
    </row>
    <row r="628" ht="15.75" customHeight="1">
      <c r="C628" s="114"/>
      <c r="D628" s="114"/>
      <c r="E628" s="114"/>
      <c r="F628" s="114"/>
      <c r="G628" s="114"/>
      <c r="H628" s="114"/>
      <c r="I628" s="114"/>
      <c r="J628" s="114"/>
      <c r="K628" s="114"/>
      <c r="L628" s="114"/>
      <c r="M628" s="114"/>
      <c r="N628" s="114"/>
      <c r="O628" s="242"/>
      <c r="P628" s="243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  <c r="AA628" s="114"/>
      <c r="AB628" s="114"/>
      <c r="AC628" s="114"/>
      <c r="AD628" s="114"/>
      <c r="AE628" s="114"/>
      <c r="AF628" s="114"/>
      <c r="AM628" s="114"/>
      <c r="AN628" s="236"/>
      <c r="AO628" s="114"/>
    </row>
    <row r="629" ht="15.75" customHeight="1">
      <c r="C629" s="114"/>
      <c r="D629" s="114"/>
      <c r="E629" s="114"/>
      <c r="F629" s="114"/>
      <c r="G629" s="114"/>
      <c r="H629" s="114"/>
      <c r="I629" s="114"/>
      <c r="J629" s="114"/>
      <c r="K629" s="114"/>
      <c r="L629" s="114"/>
      <c r="M629" s="114"/>
      <c r="N629" s="114"/>
      <c r="O629" s="242"/>
      <c r="P629" s="243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  <c r="AB629" s="114"/>
      <c r="AC629" s="114"/>
      <c r="AD629" s="114"/>
      <c r="AE629" s="114"/>
      <c r="AF629" s="114"/>
      <c r="AM629" s="114"/>
      <c r="AN629" s="236"/>
      <c r="AO629" s="114"/>
    </row>
    <row r="630" ht="15.75" customHeight="1">
      <c r="C630" s="114"/>
      <c r="D630" s="114"/>
      <c r="E630" s="114"/>
      <c r="F630" s="114"/>
      <c r="G630" s="114"/>
      <c r="H630" s="114"/>
      <c r="I630" s="114"/>
      <c r="J630" s="114"/>
      <c r="K630" s="114"/>
      <c r="L630" s="114"/>
      <c r="M630" s="114"/>
      <c r="N630" s="114"/>
      <c r="O630" s="242"/>
      <c r="P630" s="243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  <c r="AB630" s="114"/>
      <c r="AC630" s="114"/>
      <c r="AD630" s="114"/>
      <c r="AE630" s="114"/>
      <c r="AF630" s="114"/>
      <c r="AM630" s="114"/>
      <c r="AN630" s="236"/>
      <c r="AO630" s="114"/>
    </row>
    <row r="631" ht="15.75" customHeight="1">
      <c r="C631" s="114"/>
      <c r="D631" s="114"/>
      <c r="E631" s="114"/>
      <c r="F631" s="114"/>
      <c r="G631" s="114"/>
      <c r="H631" s="114"/>
      <c r="I631" s="114"/>
      <c r="J631" s="114"/>
      <c r="K631" s="114"/>
      <c r="L631" s="114"/>
      <c r="M631" s="114"/>
      <c r="N631" s="114"/>
      <c r="O631" s="242"/>
      <c r="P631" s="243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  <c r="AB631" s="114"/>
      <c r="AC631" s="114"/>
      <c r="AD631" s="114"/>
      <c r="AE631" s="114"/>
      <c r="AF631" s="114"/>
      <c r="AM631" s="114"/>
      <c r="AN631" s="236"/>
      <c r="AO631" s="114"/>
    </row>
    <row r="632" ht="15.75" customHeight="1">
      <c r="C632" s="114"/>
      <c r="D632" s="114"/>
      <c r="E632" s="114"/>
      <c r="F632" s="114"/>
      <c r="G632" s="114"/>
      <c r="H632" s="114"/>
      <c r="I632" s="114"/>
      <c r="J632" s="114"/>
      <c r="K632" s="114"/>
      <c r="L632" s="114"/>
      <c r="M632" s="114"/>
      <c r="N632" s="114"/>
      <c r="O632" s="242"/>
      <c r="P632" s="243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  <c r="AB632" s="114"/>
      <c r="AC632" s="114"/>
      <c r="AD632" s="114"/>
      <c r="AE632" s="114"/>
      <c r="AF632" s="114"/>
      <c r="AM632" s="114"/>
      <c r="AN632" s="236"/>
      <c r="AO632" s="114"/>
    </row>
    <row r="633" ht="15.75" customHeight="1">
      <c r="C633" s="114"/>
      <c r="D633" s="114"/>
      <c r="E633" s="114"/>
      <c r="F633" s="114"/>
      <c r="G633" s="114"/>
      <c r="H633" s="114"/>
      <c r="I633" s="114"/>
      <c r="J633" s="114"/>
      <c r="K633" s="114"/>
      <c r="L633" s="114"/>
      <c r="M633" s="114"/>
      <c r="N633" s="114"/>
      <c r="O633" s="242"/>
      <c r="P633" s="243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  <c r="AB633" s="114"/>
      <c r="AC633" s="114"/>
      <c r="AD633" s="114"/>
      <c r="AE633" s="114"/>
      <c r="AF633" s="114"/>
      <c r="AM633" s="114"/>
      <c r="AN633" s="236"/>
      <c r="AO633" s="114"/>
    </row>
    <row r="634" ht="15.75" customHeight="1">
      <c r="C634" s="114"/>
      <c r="D634" s="114"/>
      <c r="E634" s="114"/>
      <c r="F634" s="114"/>
      <c r="G634" s="114"/>
      <c r="H634" s="114"/>
      <c r="I634" s="114"/>
      <c r="J634" s="114"/>
      <c r="K634" s="114"/>
      <c r="L634" s="114"/>
      <c r="M634" s="114"/>
      <c r="N634" s="114"/>
      <c r="O634" s="242"/>
      <c r="P634" s="243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  <c r="AB634" s="114"/>
      <c r="AC634" s="114"/>
      <c r="AD634" s="114"/>
      <c r="AE634" s="114"/>
      <c r="AF634" s="114"/>
      <c r="AM634" s="114"/>
      <c r="AN634" s="236"/>
      <c r="AO634" s="114"/>
    </row>
    <row r="635" ht="15.75" customHeight="1">
      <c r="C635" s="114"/>
      <c r="D635" s="114"/>
      <c r="E635" s="114"/>
      <c r="F635" s="114"/>
      <c r="G635" s="114"/>
      <c r="H635" s="114"/>
      <c r="I635" s="114"/>
      <c r="J635" s="114"/>
      <c r="K635" s="114"/>
      <c r="L635" s="114"/>
      <c r="M635" s="114"/>
      <c r="N635" s="114"/>
      <c r="O635" s="242"/>
      <c r="P635" s="243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  <c r="AB635" s="114"/>
      <c r="AC635" s="114"/>
      <c r="AD635" s="114"/>
      <c r="AE635" s="114"/>
      <c r="AF635" s="114"/>
      <c r="AM635" s="114"/>
      <c r="AN635" s="236"/>
      <c r="AO635" s="114"/>
    </row>
    <row r="636" ht="15.75" customHeight="1">
      <c r="C636" s="114"/>
      <c r="D636" s="114"/>
      <c r="E636" s="114"/>
      <c r="F636" s="114"/>
      <c r="G636" s="114"/>
      <c r="H636" s="114"/>
      <c r="I636" s="114"/>
      <c r="J636" s="114"/>
      <c r="K636" s="114"/>
      <c r="L636" s="114"/>
      <c r="M636" s="114"/>
      <c r="N636" s="114"/>
      <c r="O636" s="242"/>
      <c r="P636" s="243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  <c r="AB636" s="114"/>
      <c r="AC636" s="114"/>
      <c r="AD636" s="114"/>
      <c r="AE636" s="114"/>
      <c r="AF636" s="114"/>
      <c r="AM636" s="114"/>
      <c r="AN636" s="236"/>
      <c r="AO636" s="114"/>
    </row>
    <row r="637" ht="15.75" customHeight="1">
      <c r="C637" s="114"/>
      <c r="D637" s="114"/>
      <c r="E637" s="114"/>
      <c r="F637" s="114"/>
      <c r="G637" s="114"/>
      <c r="H637" s="114"/>
      <c r="I637" s="114"/>
      <c r="J637" s="114"/>
      <c r="K637" s="114"/>
      <c r="L637" s="114"/>
      <c r="M637" s="114"/>
      <c r="N637" s="114"/>
      <c r="O637" s="242"/>
      <c r="P637" s="243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  <c r="AB637" s="114"/>
      <c r="AC637" s="114"/>
      <c r="AD637" s="114"/>
      <c r="AE637" s="114"/>
      <c r="AF637" s="114"/>
      <c r="AM637" s="114"/>
      <c r="AN637" s="236"/>
      <c r="AO637" s="114"/>
    </row>
    <row r="638" ht="15.75" customHeight="1">
      <c r="C638" s="114"/>
      <c r="D638" s="114"/>
      <c r="E638" s="114"/>
      <c r="F638" s="114"/>
      <c r="G638" s="114"/>
      <c r="H638" s="114"/>
      <c r="I638" s="114"/>
      <c r="J638" s="114"/>
      <c r="K638" s="114"/>
      <c r="L638" s="114"/>
      <c r="M638" s="114"/>
      <c r="N638" s="114"/>
      <c r="O638" s="242"/>
      <c r="P638" s="243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  <c r="AB638" s="114"/>
      <c r="AC638" s="114"/>
      <c r="AD638" s="114"/>
      <c r="AE638" s="114"/>
      <c r="AF638" s="114"/>
      <c r="AM638" s="114"/>
      <c r="AN638" s="236"/>
      <c r="AO638" s="114"/>
    </row>
    <row r="639" ht="15.75" customHeight="1">
      <c r="C639" s="114"/>
      <c r="D639" s="114"/>
      <c r="E639" s="114"/>
      <c r="F639" s="114"/>
      <c r="G639" s="114"/>
      <c r="H639" s="114"/>
      <c r="I639" s="114"/>
      <c r="J639" s="114"/>
      <c r="K639" s="114"/>
      <c r="L639" s="114"/>
      <c r="M639" s="114"/>
      <c r="N639" s="114"/>
      <c r="O639" s="242"/>
      <c r="P639" s="243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  <c r="AB639" s="114"/>
      <c r="AC639" s="114"/>
      <c r="AD639" s="114"/>
      <c r="AE639" s="114"/>
      <c r="AF639" s="114"/>
      <c r="AM639" s="114"/>
      <c r="AN639" s="236"/>
      <c r="AO639" s="114"/>
    </row>
    <row r="640" ht="15.75" customHeight="1">
      <c r="C640" s="114"/>
      <c r="D640" s="114"/>
      <c r="E640" s="114"/>
      <c r="F640" s="114"/>
      <c r="G640" s="114"/>
      <c r="H640" s="114"/>
      <c r="I640" s="114"/>
      <c r="J640" s="114"/>
      <c r="K640" s="114"/>
      <c r="L640" s="114"/>
      <c r="M640" s="114"/>
      <c r="N640" s="114"/>
      <c r="O640" s="242"/>
      <c r="P640" s="243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  <c r="AB640" s="114"/>
      <c r="AC640" s="114"/>
      <c r="AD640" s="114"/>
      <c r="AE640" s="114"/>
      <c r="AF640" s="114"/>
      <c r="AM640" s="114"/>
      <c r="AN640" s="236"/>
      <c r="AO640" s="114"/>
    </row>
    <row r="641" ht="15.75" customHeight="1">
      <c r="C641" s="114"/>
      <c r="D641" s="114"/>
      <c r="E641" s="114"/>
      <c r="F641" s="114"/>
      <c r="G641" s="114"/>
      <c r="H641" s="114"/>
      <c r="I641" s="114"/>
      <c r="J641" s="114"/>
      <c r="K641" s="114"/>
      <c r="L641" s="114"/>
      <c r="M641" s="114"/>
      <c r="N641" s="114"/>
      <c r="O641" s="242"/>
      <c r="P641" s="243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  <c r="AA641" s="114"/>
      <c r="AB641" s="114"/>
      <c r="AC641" s="114"/>
      <c r="AD641" s="114"/>
      <c r="AE641" s="114"/>
      <c r="AF641" s="114"/>
      <c r="AM641" s="114"/>
      <c r="AN641" s="236"/>
      <c r="AO641" s="114"/>
    </row>
    <row r="642" ht="15.75" customHeight="1">
      <c r="C642" s="114"/>
      <c r="D642" s="114"/>
      <c r="E642" s="114"/>
      <c r="F642" s="114"/>
      <c r="G642" s="114"/>
      <c r="H642" s="114"/>
      <c r="I642" s="114"/>
      <c r="J642" s="114"/>
      <c r="K642" s="114"/>
      <c r="L642" s="114"/>
      <c r="M642" s="114"/>
      <c r="N642" s="114"/>
      <c r="O642" s="242"/>
      <c r="P642" s="243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  <c r="AB642" s="114"/>
      <c r="AC642" s="114"/>
      <c r="AD642" s="114"/>
      <c r="AE642" s="114"/>
      <c r="AF642" s="114"/>
      <c r="AM642" s="114"/>
      <c r="AN642" s="236"/>
      <c r="AO642" s="114"/>
    </row>
    <row r="643" ht="15.75" customHeight="1">
      <c r="C643" s="114"/>
      <c r="D643" s="114"/>
      <c r="E643" s="114"/>
      <c r="F643" s="114"/>
      <c r="G643" s="114"/>
      <c r="H643" s="114"/>
      <c r="I643" s="114"/>
      <c r="J643" s="114"/>
      <c r="K643" s="114"/>
      <c r="L643" s="114"/>
      <c r="M643" s="114"/>
      <c r="N643" s="114"/>
      <c r="O643" s="242"/>
      <c r="P643" s="243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  <c r="AB643" s="114"/>
      <c r="AC643" s="114"/>
      <c r="AD643" s="114"/>
      <c r="AE643" s="114"/>
      <c r="AF643" s="114"/>
      <c r="AM643" s="114"/>
      <c r="AN643" s="236"/>
      <c r="AO643" s="114"/>
    </row>
    <row r="644" ht="15.75" customHeight="1">
      <c r="C644" s="114"/>
      <c r="D644" s="114"/>
      <c r="E644" s="114"/>
      <c r="F644" s="114"/>
      <c r="G644" s="114"/>
      <c r="H644" s="114"/>
      <c r="I644" s="114"/>
      <c r="J644" s="114"/>
      <c r="K644" s="114"/>
      <c r="L644" s="114"/>
      <c r="M644" s="114"/>
      <c r="N644" s="114"/>
      <c r="O644" s="242"/>
      <c r="P644" s="243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  <c r="AA644" s="114"/>
      <c r="AB644" s="114"/>
      <c r="AC644" s="114"/>
      <c r="AD644" s="114"/>
      <c r="AE644" s="114"/>
      <c r="AF644" s="114"/>
      <c r="AM644" s="114"/>
      <c r="AN644" s="236"/>
      <c r="AO644" s="114"/>
    </row>
    <row r="645" ht="15.75" customHeight="1">
      <c r="C645" s="114"/>
      <c r="D645" s="114"/>
      <c r="E645" s="114"/>
      <c r="F645" s="114"/>
      <c r="G645" s="114"/>
      <c r="H645" s="114"/>
      <c r="I645" s="114"/>
      <c r="J645" s="114"/>
      <c r="K645" s="114"/>
      <c r="L645" s="114"/>
      <c r="M645" s="114"/>
      <c r="N645" s="114"/>
      <c r="O645" s="242"/>
      <c r="P645" s="243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  <c r="AB645" s="114"/>
      <c r="AC645" s="114"/>
      <c r="AD645" s="114"/>
      <c r="AE645" s="114"/>
      <c r="AF645" s="114"/>
      <c r="AM645" s="114"/>
      <c r="AN645" s="236"/>
      <c r="AO645" s="114"/>
    </row>
    <row r="646" ht="15.75" customHeight="1">
      <c r="C646" s="114"/>
      <c r="D646" s="114"/>
      <c r="E646" s="114"/>
      <c r="F646" s="114"/>
      <c r="G646" s="114"/>
      <c r="H646" s="114"/>
      <c r="I646" s="114"/>
      <c r="J646" s="114"/>
      <c r="K646" s="114"/>
      <c r="L646" s="114"/>
      <c r="M646" s="114"/>
      <c r="N646" s="114"/>
      <c r="O646" s="242"/>
      <c r="P646" s="243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  <c r="AB646" s="114"/>
      <c r="AC646" s="114"/>
      <c r="AD646" s="114"/>
      <c r="AE646" s="114"/>
      <c r="AF646" s="114"/>
      <c r="AM646" s="114"/>
      <c r="AN646" s="236"/>
      <c r="AO646" s="114"/>
    </row>
    <row r="647" ht="15.75" customHeight="1">
      <c r="C647" s="114"/>
      <c r="D647" s="114"/>
      <c r="E647" s="114"/>
      <c r="F647" s="114"/>
      <c r="G647" s="114"/>
      <c r="H647" s="114"/>
      <c r="I647" s="114"/>
      <c r="J647" s="114"/>
      <c r="K647" s="114"/>
      <c r="L647" s="114"/>
      <c r="M647" s="114"/>
      <c r="N647" s="114"/>
      <c r="O647" s="242"/>
      <c r="P647" s="243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  <c r="AB647" s="114"/>
      <c r="AC647" s="114"/>
      <c r="AD647" s="114"/>
      <c r="AE647" s="114"/>
      <c r="AF647" s="114"/>
      <c r="AM647" s="114"/>
      <c r="AN647" s="236"/>
      <c r="AO647" s="114"/>
    </row>
    <row r="648" ht="15.75" customHeight="1">
      <c r="C648" s="114"/>
      <c r="D648" s="114"/>
      <c r="E648" s="114"/>
      <c r="F648" s="114"/>
      <c r="G648" s="114"/>
      <c r="H648" s="114"/>
      <c r="I648" s="114"/>
      <c r="J648" s="114"/>
      <c r="K648" s="114"/>
      <c r="L648" s="114"/>
      <c r="M648" s="114"/>
      <c r="N648" s="114"/>
      <c r="O648" s="242"/>
      <c r="P648" s="243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  <c r="AB648" s="114"/>
      <c r="AC648" s="114"/>
      <c r="AD648" s="114"/>
      <c r="AE648" s="114"/>
      <c r="AF648" s="114"/>
      <c r="AM648" s="114"/>
      <c r="AN648" s="236"/>
      <c r="AO648" s="114"/>
    </row>
    <row r="649" ht="15.75" customHeight="1">
      <c r="C649" s="114"/>
      <c r="D649" s="114"/>
      <c r="E649" s="114"/>
      <c r="F649" s="114"/>
      <c r="G649" s="114"/>
      <c r="H649" s="114"/>
      <c r="I649" s="114"/>
      <c r="J649" s="114"/>
      <c r="K649" s="114"/>
      <c r="L649" s="114"/>
      <c r="M649" s="114"/>
      <c r="N649" s="114"/>
      <c r="O649" s="242"/>
      <c r="P649" s="243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  <c r="AB649" s="114"/>
      <c r="AC649" s="114"/>
      <c r="AD649" s="114"/>
      <c r="AE649" s="114"/>
      <c r="AF649" s="114"/>
      <c r="AM649" s="114"/>
      <c r="AN649" s="236"/>
      <c r="AO649" s="114"/>
    </row>
    <row r="650" ht="15.75" customHeight="1">
      <c r="C650" s="114"/>
      <c r="D650" s="114"/>
      <c r="E650" s="114"/>
      <c r="F650" s="114"/>
      <c r="G650" s="114"/>
      <c r="H650" s="114"/>
      <c r="I650" s="114"/>
      <c r="J650" s="114"/>
      <c r="K650" s="114"/>
      <c r="L650" s="114"/>
      <c r="M650" s="114"/>
      <c r="N650" s="114"/>
      <c r="O650" s="242"/>
      <c r="P650" s="243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  <c r="AB650" s="114"/>
      <c r="AC650" s="114"/>
      <c r="AD650" s="114"/>
      <c r="AE650" s="114"/>
      <c r="AF650" s="114"/>
      <c r="AM650" s="114"/>
      <c r="AN650" s="236"/>
      <c r="AO650" s="114"/>
    </row>
    <row r="651" ht="15.75" customHeight="1">
      <c r="C651" s="114"/>
      <c r="D651" s="114"/>
      <c r="E651" s="114"/>
      <c r="F651" s="114"/>
      <c r="G651" s="114"/>
      <c r="H651" s="114"/>
      <c r="I651" s="114"/>
      <c r="J651" s="114"/>
      <c r="K651" s="114"/>
      <c r="L651" s="114"/>
      <c r="M651" s="114"/>
      <c r="N651" s="114"/>
      <c r="O651" s="242"/>
      <c r="P651" s="243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  <c r="AB651" s="114"/>
      <c r="AC651" s="114"/>
      <c r="AD651" s="114"/>
      <c r="AE651" s="114"/>
      <c r="AF651" s="114"/>
      <c r="AM651" s="114"/>
      <c r="AN651" s="236"/>
      <c r="AO651" s="114"/>
    </row>
    <row r="652" ht="15.75" customHeight="1">
      <c r="C652" s="114"/>
      <c r="D652" s="114"/>
      <c r="E652" s="114"/>
      <c r="F652" s="114"/>
      <c r="G652" s="114"/>
      <c r="H652" s="114"/>
      <c r="I652" s="114"/>
      <c r="J652" s="114"/>
      <c r="K652" s="114"/>
      <c r="L652" s="114"/>
      <c r="M652" s="114"/>
      <c r="N652" s="114"/>
      <c r="O652" s="242"/>
      <c r="P652" s="243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  <c r="AB652" s="114"/>
      <c r="AC652" s="114"/>
      <c r="AD652" s="114"/>
      <c r="AE652" s="114"/>
      <c r="AF652" s="114"/>
      <c r="AM652" s="114"/>
      <c r="AN652" s="236"/>
      <c r="AO652" s="114"/>
    </row>
    <row r="653" ht="15.75" customHeight="1">
      <c r="C653" s="114"/>
      <c r="D653" s="114"/>
      <c r="E653" s="114"/>
      <c r="F653" s="114"/>
      <c r="G653" s="114"/>
      <c r="H653" s="114"/>
      <c r="I653" s="114"/>
      <c r="J653" s="114"/>
      <c r="K653" s="114"/>
      <c r="L653" s="114"/>
      <c r="M653" s="114"/>
      <c r="N653" s="114"/>
      <c r="O653" s="242"/>
      <c r="P653" s="243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  <c r="AB653" s="114"/>
      <c r="AC653" s="114"/>
      <c r="AD653" s="114"/>
      <c r="AE653" s="114"/>
      <c r="AF653" s="114"/>
      <c r="AM653" s="114"/>
      <c r="AN653" s="236"/>
      <c r="AO653" s="114"/>
    </row>
    <row r="654" ht="15.75" customHeight="1">
      <c r="C654" s="114"/>
      <c r="D654" s="114"/>
      <c r="E654" s="114"/>
      <c r="F654" s="114"/>
      <c r="G654" s="114"/>
      <c r="H654" s="114"/>
      <c r="I654" s="114"/>
      <c r="J654" s="114"/>
      <c r="K654" s="114"/>
      <c r="L654" s="114"/>
      <c r="M654" s="114"/>
      <c r="N654" s="114"/>
      <c r="O654" s="242"/>
      <c r="P654" s="243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  <c r="AB654" s="114"/>
      <c r="AC654" s="114"/>
      <c r="AD654" s="114"/>
      <c r="AE654" s="114"/>
      <c r="AF654" s="114"/>
      <c r="AM654" s="114"/>
      <c r="AN654" s="236"/>
      <c r="AO654" s="114"/>
    </row>
    <row r="655" ht="15.75" customHeight="1">
      <c r="C655" s="114"/>
      <c r="D655" s="114"/>
      <c r="E655" s="114"/>
      <c r="F655" s="114"/>
      <c r="G655" s="114"/>
      <c r="H655" s="114"/>
      <c r="I655" s="114"/>
      <c r="J655" s="114"/>
      <c r="K655" s="114"/>
      <c r="L655" s="114"/>
      <c r="M655" s="114"/>
      <c r="N655" s="114"/>
      <c r="O655" s="242"/>
      <c r="P655" s="243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  <c r="AB655" s="114"/>
      <c r="AC655" s="114"/>
      <c r="AD655" s="114"/>
      <c r="AE655" s="114"/>
      <c r="AF655" s="114"/>
      <c r="AM655" s="114"/>
      <c r="AN655" s="236"/>
      <c r="AO655" s="114"/>
    </row>
    <row r="656" ht="15.75" customHeight="1">
      <c r="C656" s="114"/>
      <c r="D656" s="114"/>
      <c r="E656" s="114"/>
      <c r="F656" s="114"/>
      <c r="G656" s="114"/>
      <c r="H656" s="114"/>
      <c r="I656" s="114"/>
      <c r="J656" s="114"/>
      <c r="K656" s="114"/>
      <c r="L656" s="114"/>
      <c r="M656" s="114"/>
      <c r="N656" s="114"/>
      <c r="O656" s="242"/>
      <c r="P656" s="243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  <c r="AA656" s="114"/>
      <c r="AB656" s="114"/>
      <c r="AC656" s="114"/>
      <c r="AD656" s="114"/>
      <c r="AE656" s="114"/>
      <c r="AF656" s="114"/>
      <c r="AM656" s="114"/>
      <c r="AN656" s="236"/>
      <c r="AO656" s="114"/>
    </row>
    <row r="657" ht="15.75" customHeight="1">
      <c r="C657" s="114"/>
      <c r="D657" s="114"/>
      <c r="E657" s="114"/>
      <c r="F657" s="114"/>
      <c r="G657" s="114"/>
      <c r="H657" s="114"/>
      <c r="I657" s="114"/>
      <c r="J657" s="114"/>
      <c r="K657" s="114"/>
      <c r="L657" s="114"/>
      <c r="M657" s="114"/>
      <c r="N657" s="114"/>
      <c r="O657" s="242"/>
      <c r="P657" s="243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  <c r="AB657" s="114"/>
      <c r="AC657" s="114"/>
      <c r="AD657" s="114"/>
      <c r="AE657" s="114"/>
      <c r="AF657" s="114"/>
      <c r="AM657" s="114"/>
      <c r="AN657" s="236"/>
      <c r="AO657" s="114"/>
    </row>
    <row r="658" ht="15.75" customHeight="1">
      <c r="C658" s="114"/>
      <c r="D658" s="114"/>
      <c r="E658" s="114"/>
      <c r="F658" s="114"/>
      <c r="G658" s="114"/>
      <c r="H658" s="114"/>
      <c r="I658" s="114"/>
      <c r="J658" s="114"/>
      <c r="K658" s="114"/>
      <c r="L658" s="114"/>
      <c r="M658" s="114"/>
      <c r="N658" s="114"/>
      <c r="O658" s="242"/>
      <c r="P658" s="243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  <c r="AB658" s="114"/>
      <c r="AC658" s="114"/>
      <c r="AD658" s="114"/>
      <c r="AE658" s="114"/>
      <c r="AF658" s="114"/>
      <c r="AM658" s="114"/>
      <c r="AN658" s="236"/>
      <c r="AO658" s="114"/>
    </row>
    <row r="659" ht="15.75" customHeight="1">
      <c r="C659" s="114"/>
      <c r="D659" s="114"/>
      <c r="E659" s="114"/>
      <c r="F659" s="114"/>
      <c r="G659" s="114"/>
      <c r="H659" s="114"/>
      <c r="I659" s="114"/>
      <c r="J659" s="114"/>
      <c r="K659" s="114"/>
      <c r="L659" s="114"/>
      <c r="M659" s="114"/>
      <c r="N659" s="114"/>
      <c r="O659" s="242"/>
      <c r="P659" s="243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  <c r="AA659" s="114"/>
      <c r="AB659" s="114"/>
      <c r="AC659" s="114"/>
      <c r="AD659" s="114"/>
      <c r="AE659" s="114"/>
      <c r="AF659" s="114"/>
      <c r="AM659" s="114"/>
      <c r="AN659" s="236"/>
      <c r="AO659" s="114"/>
    </row>
    <row r="660" ht="15.75" customHeight="1">
      <c r="C660" s="114"/>
      <c r="D660" s="114"/>
      <c r="E660" s="114"/>
      <c r="F660" s="114"/>
      <c r="G660" s="114"/>
      <c r="H660" s="114"/>
      <c r="I660" s="114"/>
      <c r="J660" s="114"/>
      <c r="K660" s="114"/>
      <c r="L660" s="114"/>
      <c r="M660" s="114"/>
      <c r="N660" s="114"/>
      <c r="O660" s="242"/>
      <c r="P660" s="243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  <c r="AB660" s="114"/>
      <c r="AC660" s="114"/>
      <c r="AD660" s="114"/>
      <c r="AE660" s="114"/>
      <c r="AF660" s="114"/>
      <c r="AM660" s="114"/>
      <c r="AN660" s="236"/>
      <c r="AO660" s="114"/>
    </row>
    <row r="661" ht="15.75" customHeight="1">
      <c r="C661" s="114"/>
      <c r="D661" s="114"/>
      <c r="E661" s="114"/>
      <c r="F661" s="114"/>
      <c r="G661" s="114"/>
      <c r="H661" s="114"/>
      <c r="I661" s="114"/>
      <c r="J661" s="114"/>
      <c r="K661" s="114"/>
      <c r="L661" s="114"/>
      <c r="M661" s="114"/>
      <c r="N661" s="114"/>
      <c r="O661" s="242"/>
      <c r="P661" s="243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  <c r="AB661" s="114"/>
      <c r="AC661" s="114"/>
      <c r="AD661" s="114"/>
      <c r="AE661" s="114"/>
      <c r="AF661" s="114"/>
      <c r="AM661" s="114"/>
      <c r="AN661" s="236"/>
      <c r="AO661" s="114"/>
    </row>
    <row r="662" ht="15.75" customHeight="1">
      <c r="C662" s="114"/>
      <c r="D662" s="114"/>
      <c r="E662" s="114"/>
      <c r="F662" s="114"/>
      <c r="G662" s="114"/>
      <c r="H662" s="114"/>
      <c r="I662" s="114"/>
      <c r="J662" s="114"/>
      <c r="K662" s="114"/>
      <c r="L662" s="114"/>
      <c r="M662" s="114"/>
      <c r="N662" s="114"/>
      <c r="O662" s="242"/>
      <c r="P662" s="243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  <c r="AB662" s="114"/>
      <c r="AC662" s="114"/>
      <c r="AD662" s="114"/>
      <c r="AE662" s="114"/>
      <c r="AF662" s="114"/>
      <c r="AM662" s="114"/>
      <c r="AN662" s="236"/>
      <c r="AO662" s="114"/>
    </row>
    <row r="663" ht="15.75" customHeight="1">
      <c r="C663" s="114"/>
      <c r="D663" s="114"/>
      <c r="E663" s="114"/>
      <c r="F663" s="114"/>
      <c r="G663" s="114"/>
      <c r="H663" s="114"/>
      <c r="I663" s="114"/>
      <c r="J663" s="114"/>
      <c r="K663" s="114"/>
      <c r="L663" s="114"/>
      <c r="M663" s="114"/>
      <c r="N663" s="114"/>
      <c r="O663" s="242"/>
      <c r="P663" s="243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  <c r="AB663" s="114"/>
      <c r="AC663" s="114"/>
      <c r="AD663" s="114"/>
      <c r="AE663" s="114"/>
      <c r="AF663" s="114"/>
      <c r="AM663" s="114"/>
      <c r="AN663" s="236"/>
      <c r="AO663" s="114"/>
    </row>
    <row r="664" ht="15.75" customHeight="1">
      <c r="C664" s="114"/>
      <c r="D664" s="114"/>
      <c r="E664" s="114"/>
      <c r="F664" s="114"/>
      <c r="G664" s="114"/>
      <c r="H664" s="114"/>
      <c r="I664" s="114"/>
      <c r="J664" s="114"/>
      <c r="K664" s="114"/>
      <c r="L664" s="114"/>
      <c r="M664" s="114"/>
      <c r="N664" s="114"/>
      <c r="O664" s="242"/>
      <c r="P664" s="243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  <c r="AB664" s="114"/>
      <c r="AC664" s="114"/>
      <c r="AD664" s="114"/>
      <c r="AE664" s="114"/>
      <c r="AF664" s="114"/>
      <c r="AM664" s="114"/>
      <c r="AN664" s="236"/>
      <c r="AO664" s="114"/>
    </row>
    <row r="665" ht="15.75" customHeight="1">
      <c r="C665" s="114"/>
      <c r="D665" s="114"/>
      <c r="E665" s="114"/>
      <c r="F665" s="114"/>
      <c r="G665" s="114"/>
      <c r="H665" s="114"/>
      <c r="I665" s="114"/>
      <c r="J665" s="114"/>
      <c r="K665" s="114"/>
      <c r="L665" s="114"/>
      <c r="M665" s="114"/>
      <c r="N665" s="114"/>
      <c r="O665" s="242"/>
      <c r="P665" s="243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  <c r="AB665" s="114"/>
      <c r="AC665" s="114"/>
      <c r="AD665" s="114"/>
      <c r="AE665" s="114"/>
      <c r="AF665" s="114"/>
      <c r="AM665" s="114"/>
      <c r="AN665" s="236"/>
      <c r="AO665" s="114"/>
    </row>
    <row r="666" ht="15.75" customHeight="1">
      <c r="C666" s="114"/>
      <c r="D666" s="114"/>
      <c r="E666" s="114"/>
      <c r="F666" s="114"/>
      <c r="G666" s="114"/>
      <c r="H666" s="114"/>
      <c r="I666" s="114"/>
      <c r="J666" s="114"/>
      <c r="K666" s="114"/>
      <c r="L666" s="114"/>
      <c r="M666" s="114"/>
      <c r="N666" s="114"/>
      <c r="O666" s="242"/>
      <c r="P666" s="243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114"/>
      <c r="AD666" s="114"/>
      <c r="AE666" s="114"/>
      <c r="AF666" s="114"/>
      <c r="AM666" s="114"/>
      <c r="AN666" s="236"/>
      <c r="AO666" s="114"/>
    </row>
    <row r="667" ht="15.75" customHeight="1">
      <c r="C667" s="114"/>
      <c r="D667" s="114"/>
      <c r="E667" s="114"/>
      <c r="F667" s="114"/>
      <c r="G667" s="114"/>
      <c r="H667" s="114"/>
      <c r="I667" s="114"/>
      <c r="J667" s="114"/>
      <c r="K667" s="114"/>
      <c r="L667" s="114"/>
      <c r="M667" s="114"/>
      <c r="N667" s="114"/>
      <c r="O667" s="242"/>
      <c r="P667" s="243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  <c r="AB667" s="114"/>
      <c r="AC667" s="114"/>
      <c r="AD667" s="114"/>
      <c r="AE667" s="114"/>
      <c r="AF667" s="114"/>
      <c r="AM667" s="114"/>
      <c r="AN667" s="236"/>
      <c r="AO667" s="114"/>
    </row>
    <row r="668" ht="15.75" customHeight="1">
      <c r="C668" s="114"/>
      <c r="D668" s="114"/>
      <c r="E668" s="114"/>
      <c r="F668" s="114"/>
      <c r="G668" s="114"/>
      <c r="H668" s="114"/>
      <c r="I668" s="114"/>
      <c r="J668" s="114"/>
      <c r="K668" s="114"/>
      <c r="L668" s="114"/>
      <c r="M668" s="114"/>
      <c r="N668" s="114"/>
      <c r="O668" s="242"/>
      <c r="P668" s="243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  <c r="AB668" s="114"/>
      <c r="AC668" s="114"/>
      <c r="AD668" s="114"/>
      <c r="AE668" s="114"/>
      <c r="AF668" s="114"/>
      <c r="AM668" s="114"/>
      <c r="AN668" s="236"/>
      <c r="AO668" s="114"/>
    </row>
    <row r="669" ht="15.75" customHeight="1">
      <c r="C669" s="114"/>
      <c r="D669" s="114"/>
      <c r="E669" s="114"/>
      <c r="F669" s="114"/>
      <c r="G669" s="114"/>
      <c r="H669" s="114"/>
      <c r="I669" s="114"/>
      <c r="J669" s="114"/>
      <c r="K669" s="114"/>
      <c r="L669" s="114"/>
      <c r="M669" s="114"/>
      <c r="N669" s="114"/>
      <c r="O669" s="242"/>
      <c r="P669" s="243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  <c r="AB669" s="114"/>
      <c r="AC669" s="114"/>
      <c r="AD669" s="114"/>
      <c r="AE669" s="114"/>
      <c r="AF669" s="114"/>
      <c r="AM669" s="114"/>
      <c r="AN669" s="236"/>
      <c r="AO669" s="114"/>
    </row>
    <row r="670" ht="15.75" customHeight="1">
      <c r="C670" s="114"/>
      <c r="D670" s="114"/>
      <c r="E670" s="114"/>
      <c r="F670" s="114"/>
      <c r="G670" s="114"/>
      <c r="H670" s="114"/>
      <c r="I670" s="114"/>
      <c r="J670" s="114"/>
      <c r="K670" s="114"/>
      <c r="L670" s="114"/>
      <c r="M670" s="114"/>
      <c r="N670" s="114"/>
      <c r="O670" s="242"/>
      <c r="P670" s="243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  <c r="AB670" s="114"/>
      <c r="AC670" s="114"/>
      <c r="AD670" s="114"/>
      <c r="AE670" s="114"/>
      <c r="AF670" s="114"/>
      <c r="AM670" s="114"/>
      <c r="AN670" s="236"/>
      <c r="AO670" s="114"/>
    </row>
    <row r="671" ht="15.75" customHeight="1">
      <c r="C671" s="114"/>
      <c r="D671" s="114"/>
      <c r="E671" s="114"/>
      <c r="F671" s="114"/>
      <c r="G671" s="114"/>
      <c r="H671" s="114"/>
      <c r="I671" s="114"/>
      <c r="J671" s="114"/>
      <c r="K671" s="114"/>
      <c r="L671" s="114"/>
      <c r="M671" s="114"/>
      <c r="N671" s="114"/>
      <c r="O671" s="242"/>
      <c r="P671" s="243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  <c r="AB671" s="114"/>
      <c r="AC671" s="114"/>
      <c r="AD671" s="114"/>
      <c r="AE671" s="114"/>
      <c r="AF671" s="114"/>
      <c r="AM671" s="114"/>
      <c r="AN671" s="236"/>
      <c r="AO671" s="114"/>
    </row>
    <row r="672" ht="15.75" customHeight="1">
      <c r="C672" s="114"/>
      <c r="D672" s="114"/>
      <c r="E672" s="114"/>
      <c r="F672" s="114"/>
      <c r="G672" s="114"/>
      <c r="H672" s="114"/>
      <c r="I672" s="114"/>
      <c r="J672" s="114"/>
      <c r="K672" s="114"/>
      <c r="L672" s="114"/>
      <c r="M672" s="114"/>
      <c r="N672" s="114"/>
      <c r="O672" s="242"/>
      <c r="P672" s="243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  <c r="AB672" s="114"/>
      <c r="AC672" s="114"/>
      <c r="AD672" s="114"/>
      <c r="AE672" s="114"/>
      <c r="AF672" s="114"/>
      <c r="AM672" s="114"/>
      <c r="AN672" s="236"/>
      <c r="AO672" s="114"/>
    </row>
    <row r="673" ht="15.75" customHeight="1">
      <c r="C673" s="114"/>
      <c r="D673" s="114"/>
      <c r="E673" s="114"/>
      <c r="F673" s="114"/>
      <c r="G673" s="114"/>
      <c r="H673" s="114"/>
      <c r="I673" s="114"/>
      <c r="J673" s="114"/>
      <c r="K673" s="114"/>
      <c r="L673" s="114"/>
      <c r="M673" s="114"/>
      <c r="N673" s="114"/>
      <c r="O673" s="242"/>
      <c r="P673" s="243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  <c r="AA673" s="114"/>
      <c r="AB673" s="114"/>
      <c r="AC673" s="114"/>
      <c r="AD673" s="114"/>
      <c r="AE673" s="114"/>
      <c r="AF673" s="114"/>
      <c r="AM673" s="114"/>
      <c r="AN673" s="236"/>
      <c r="AO673" s="114"/>
    </row>
    <row r="674" ht="15.75" customHeight="1">
      <c r="C674" s="114"/>
      <c r="D674" s="114"/>
      <c r="E674" s="114"/>
      <c r="F674" s="114"/>
      <c r="G674" s="114"/>
      <c r="H674" s="114"/>
      <c r="I674" s="114"/>
      <c r="J674" s="114"/>
      <c r="K674" s="114"/>
      <c r="L674" s="114"/>
      <c r="M674" s="114"/>
      <c r="N674" s="114"/>
      <c r="O674" s="242"/>
      <c r="P674" s="243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  <c r="AB674" s="114"/>
      <c r="AC674" s="114"/>
      <c r="AD674" s="114"/>
      <c r="AE674" s="114"/>
      <c r="AF674" s="114"/>
      <c r="AM674" s="114"/>
      <c r="AN674" s="236"/>
      <c r="AO674" s="114"/>
    </row>
    <row r="675" ht="15.75" customHeight="1">
      <c r="C675" s="114"/>
      <c r="D675" s="114"/>
      <c r="E675" s="114"/>
      <c r="F675" s="114"/>
      <c r="G675" s="114"/>
      <c r="H675" s="114"/>
      <c r="I675" s="114"/>
      <c r="J675" s="114"/>
      <c r="K675" s="114"/>
      <c r="L675" s="114"/>
      <c r="M675" s="114"/>
      <c r="N675" s="114"/>
      <c r="O675" s="242"/>
      <c r="P675" s="243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  <c r="AB675" s="114"/>
      <c r="AC675" s="114"/>
      <c r="AD675" s="114"/>
      <c r="AE675" s="114"/>
      <c r="AF675" s="114"/>
      <c r="AM675" s="114"/>
      <c r="AN675" s="236"/>
      <c r="AO675" s="114"/>
    </row>
    <row r="676" ht="15.75" customHeight="1">
      <c r="C676" s="114"/>
      <c r="D676" s="114"/>
      <c r="E676" s="114"/>
      <c r="F676" s="114"/>
      <c r="G676" s="114"/>
      <c r="H676" s="114"/>
      <c r="I676" s="114"/>
      <c r="J676" s="114"/>
      <c r="K676" s="114"/>
      <c r="L676" s="114"/>
      <c r="M676" s="114"/>
      <c r="N676" s="114"/>
      <c r="O676" s="242"/>
      <c r="P676" s="243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  <c r="AB676" s="114"/>
      <c r="AC676" s="114"/>
      <c r="AD676" s="114"/>
      <c r="AE676" s="114"/>
      <c r="AF676" s="114"/>
      <c r="AM676" s="114"/>
      <c r="AN676" s="236"/>
      <c r="AO676" s="114"/>
    </row>
    <row r="677" ht="15.75" customHeight="1">
      <c r="C677" s="114"/>
      <c r="D677" s="114"/>
      <c r="E677" s="114"/>
      <c r="F677" s="114"/>
      <c r="G677" s="114"/>
      <c r="H677" s="114"/>
      <c r="I677" s="114"/>
      <c r="J677" s="114"/>
      <c r="K677" s="114"/>
      <c r="L677" s="114"/>
      <c r="M677" s="114"/>
      <c r="N677" s="114"/>
      <c r="O677" s="242"/>
      <c r="P677" s="243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  <c r="AB677" s="114"/>
      <c r="AC677" s="114"/>
      <c r="AD677" s="114"/>
      <c r="AE677" s="114"/>
      <c r="AF677" s="114"/>
      <c r="AM677" s="114"/>
      <c r="AN677" s="236"/>
      <c r="AO677" s="114"/>
    </row>
    <row r="678" ht="15.75" customHeight="1">
      <c r="C678" s="114"/>
      <c r="D678" s="114"/>
      <c r="E678" s="114"/>
      <c r="F678" s="114"/>
      <c r="G678" s="114"/>
      <c r="H678" s="114"/>
      <c r="I678" s="114"/>
      <c r="J678" s="114"/>
      <c r="K678" s="114"/>
      <c r="L678" s="114"/>
      <c r="M678" s="114"/>
      <c r="N678" s="114"/>
      <c r="O678" s="242"/>
      <c r="P678" s="243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  <c r="AB678" s="114"/>
      <c r="AC678" s="114"/>
      <c r="AD678" s="114"/>
      <c r="AE678" s="114"/>
      <c r="AF678" s="114"/>
      <c r="AM678" s="114"/>
      <c r="AN678" s="236"/>
      <c r="AO678" s="114"/>
    </row>
    <row r="679" ht="15.75" customHeight="1">
      <c r="C679" s="114"/>
      <c r="D679" s="114"/>
      <c r="E679" s="114"/>
      <c r="F679" s="114"/>
      <c r="G679" s="114"/>
      <c r="H679" s="114"/>
      <c r="I679" s="114"/>
      <c r="J679" s="114"/>
      <c r="K679" s="114"/>
      <c r="L679" s="114"/>
      <c r="M679" s="114"/>
      <c r="N679" s="114"/>
      <c r="O679" s="242"/>
      <c r="P679" s="243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  <c r="AB679" s="114"/>
      <c r="AC679" s="114"/>
      <c r="AD679" s="114"/>
      <c r="AE679" s="114"/>
      <c r="AF679" s="114"/>
      <c r="AM679" s="114"/>
      <c r="AN679" s="236"/>
      <c r="AO679" s="114"/>
    </row>
    <row r="680" ht="15.75" customHeight="1">
      <c r="C680" s="114"/>
      <c r="D680" s="114"/>
      <c r="E680" s="114"/>
      <c r="F680" s="114"/>
      <c r="G680" s="114"/>
      <c r="H680" s="114"/>
      <c r="I680" s="114"/>
      <c r="J680" s="114"/>
      <c r="K680" s="114"/>
      <c r="L680" s="114"/>
      <c r="M680" s="114"/>
      <c r="N680" s="114"/>
      <c r="O680" s="242"/>
      <c r="P680" s="243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  <c r="AB680" s="114"/>
      <c r="AC680" s="114"/>
      <c r="AD680" s="114"/>
      <c r="AE680" s="114"/>
      <c r="AF680" s="114"/>
      <c r="AM680" s="114"/>
      <c r="AN680" s="236"/>
      <c r="AO680" s="114"/>
    </row>
    <row r="681" ht="15.75" customHeight="1">
      <c r="C681" s="114"/>
      <c r="D681" s="114"/>
      <c r="E681" s="114"/>
      <c r="F681" s="114"/>
      <c r="G681" s="114"/>
      <c r="H681" s="114"/>
      <c r="I681" s="114"/>
      <c r="J681" s="114"/>
      <c r="K681" s="114"/>
      <c r="L681" s="114"/>
      <c r="M681" s="114"/>
      <c r="N681" s="114"/>
      <c r="O681" s="242"/>
      <c r="P681" s="243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  <c r="AB681" s="114"/>
      <c r="AC681" s="114"/>
      <c r="AD681" s="114"/>
      <c r="AE681" s="114"/>
      <c r="AF681" s="114"/>
      <c r="AM681" s="114"/>
      <c r="AN681" s="236"/>
      <c r="AO681" s="114"/>
    </row>
    <row r="682" ht="15.75" customHeight="1">
      <c r="C682" s="114"/>
      <c r="D682" s="114"/>
      <c r="E682" s="114"/>
      <c r="F682" s="114"/>
      <c r="G682" s="114"/>
      <c r="H682" s="114"/>
      <c r="I682" s="114"/>
      <c r="J682" s="114"/>
      <c r="K682" s="114"/>
      <c r="L682" s="114"/>
      <c r="M682" s="114"/>
      <c r="N682" s="114"/>
      <c r="O682" s="242"/>
      <c r="P682" s="243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  <c r="AB682" s="114"/>
      <c r="AC682" s="114"/>
      <c r="AD682" s="114"/>
      <c r="AE682" s="114"/>
      <c r="AF682" s="114"/>
      <c r="AM682" s="114"/>
      <c r="AN682" s="236"/>
      <c r="AO682" s="114"/>
    </row>
    <row r="683" ht="15.75" customHeight="1">
      <c r="C683" s="114"/>
      <c r="D683" s="114"/>
      <c r="E683" s="114"/>
      <c r="F683" s="114"/>
      <c r="G683" s="114"/>
      <c r="H683" s="114"/>
      <c r="I683" s="114"/>
      <c r="J683" s="114"/>
      <c r="K683" s="114"/>
      <c r="L683" s="114"/>
      <c r="M683" s="114"/>
      <c r="N683" s="114"/>
      <c r="O683" s="242"/>
      <c r="P683" s="243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  <c r="AB683" s="114"/>
      <c r="AC683" s="114"/>
      <c r="AD683" s="114"/>
      <c r="AE683" s="114"/>
      <c r="AF683" s="114"/>
      <c r="AM683" s="114"/>
      <c r="AN683" s="236"/>
      <c r="AO683" s="114"/>
    </row>
    <row r="684" ht="15.75" customHeight="1">
      <c r="C684" s="114"/>
      <c r="D684" s="114"/>
      <c r="E684" s="114"/>
      <c r="F684" s="114"/>
      <c r="G684" s="114"/>
      <c r="H684" s="114"/>
      <c r="I684" s="114"/>
      <c r="J684" s="114"/>
      <c r="K684" s="114"/>
      <c r="L684" s="114"/>
      <c r="M684" s="114"/>
      <c r="N684" s="114"/>
      <c r="O684" s="242"/>
      <c r="P684" s="243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  <c r="AB684" s="114"/>
      <c r="AC684" s="114"/>
      <c r="AD684" s="114"/>
      <c r="AE684" s="114"/>
      <c r="AF684" s="114"/>
      <c r="AM684" s="114"/>
      <c r="AN684" s="236"/>
      <c r="AO684" s="114"/>
    </row>
    <row r="685" ht="15.75" customHeight="1">
      <c r="C685" s="114"/>
      <c r="D685" s="114"/>
      <c r="E685" s="114"/>
      <c r="F685" s="114"/>
      <c r="G685" s="114"/>
      <c r="H685" s="114"/>
      <c r="I685" s="114"/>
      <c r="J685" s="114"/>
      <c r="K685" s="114"/>
      <c r="L685" s="114"/>
      <c r="M685" s="114"/>
      <c r="N685" s="114"/>
      <c r="O685" s="242"/>
      <c r="P685" s="243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  <c r="AA685" s="114"/>
      <c r="AB685" s="114"/>
      <c r="AC685" s="114"/>
      <c r="AD685" s="114"/>
      <c r="AE685" s="114"/>
      <c r="AF685" s="114"/>
      <c r="AM685" s="114"/>
      <c r="AN685" s="236"/>
      <c r="AO685" s="114"/>
    </row>
    <row r="686" ht="15.75" customHeight="1">
      <c r="C686" s="114"/>
      <c r="D686" s="114"/>
      <c r="E686" s="114"/>
      <c r="F686" s="114"/>
      <c r="G686" s="114"/>
      <c r="H686" s="114"/>
      <c r="I686" s="114"/>
      <c r="J686" s="114"/>
      <c r="K686" s="114"/>
      <c r="L686" s="114"/>
      <c r="M686" s="114"/>
      <c r="N686" s="114"/>
      <c r="O686" s="242"/>
      <c r="P686" s="243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114"/>
      <c r="AD686" s="114"/>
      <c r="AE686" s="114"/>
      <c r="AF686" s="114"/>
      <c r="AM686" s="114"/>
      <c r="AN686" s="236"/>
      <c r="AO686" s="114"/>
    </row>
    <row r="687" ht="15.75" customHeight="1">
      <c r="C687" s="114"/>
      <c r="D687" s="114"/>
      <c r="E687" s="114"/>
      <c r="F687" s="114"/>
      <c r="G687" s="114"/>
      <c r="H687" s="114"/>
      <c r="I687" s="114"/>
      <c r="J687" s="114"/>
      <c r="K687" s="114"/>
      <c r="L687" s="114"/>
      <c r="M687" s="114"/>
      <c r="N687" s="114"/>
      <c r="O687" s="242"/>
      <c r="P687" s="243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  <c r="AB687" s="114"/>
      <c r="AC687" s="114"/>
      <c r="AD687" s="114"/>
      <c r="AE687" s="114"/>
      <c r="AF687" s="114"/>
      <c r="AM687" s="114"/>
      <c r="AN687" s="236"/>
      <c r="AO687" s="114"/>
    </row>
    <row r="688" ht="15.75" customHeight="1">
      <c r="C688" s="114"/>
      <c r="D688" s="114"/>
      <c r="E688" s="114"/>
      <c r="F688" s="114"/>
      <c r="G688" s="114"/>
      <c r="H688" s="114"/>
      <c r="I688" s="114"/>
      <c r="J688" s="114"/>
      <c r="K688" s="114"/>
      <c r="L688" s="114"/>
      <c r="M688" s="114"/>
      <c r="N688" s="114"/>
      <c r="O688" s="242"/>
      <c r="P688" s="243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  <c r="AA688" s="114"/>
      <c r="AB688" s="114"/>
      <c r="AC688" s="114"/>
      <c r="AD688" s="114"/>
      <c r="AE688" s="114"/>
      <c r="AF688" s="114"/>
      <c r="AM688" s="114"/>
      <c r="AN688" s="236"/>
      <c r="AO688" s="114"/>
    </row>
    <row r="689" ht="15.75" customHeight="1">
      <c r="C689" s="114"/>
      <c r="D689" s="114"/>
      <c r="E689" s="114"/>
      <c r="F689" s="114"/>
      <c r="G689" s="114"/>
      <c r="H689" s="114"/>
      <c r="I689" s="114"/>
      <c r="J689" s="114"/>
      <c r="K689" s="114"/>
      <c r="L689" s="114"/>
      <c r="M689" s="114"/>
      <c r="N689" s="114"/>
      <c r="O689" s="242"/>
      <c r="P689" s="243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  <c r="AB689" s="114"/>
      <c r="AC689" s="114"/>
      <c r="AD689" s="114"/>
      <c r="AE689" s="114"/>
      <c r="AF689" s="114"/>
      <c r="AM689" s="114"/>
      <c r="AN689" s="236"/>
      <c r="AO689" s="114"/>
    </row>
    <row r="690" ht="15.75" customHeight="1">
      <c r="C690" s="114"/>
      <c r="D690" s="114"/>
      <c r="E690" s="114"/>
      <c r="F690" s="114"/>
      <c r="G690" s="114"/>
      <c r="H690" s="114"/>
      <c r="I690" s="114"/>
      <c r="J690" s="114"/>
      <c r="K690" s="114"/>
      <c r="L690" s="114"/>
      <c r="M690" s="114"/>
      <c r="N690" s="114"/>
      <c r="O690" s="242"/>
      <c r="P690" s="243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  <c r="AB690" s="114"/>
      <c r="AC690" s="114"/>
      <c r="AD690" s="114"/>
      <c r="AE690" s="114"/>
      <c r="AF690" s="114"/>
      <c r="AM690" s="114"/>
      <c r="AN690" s="236"/>
      <c r="AO690" s="114"/>
    </row>
    <row r="691" ht="15.75" customHeight="1">
      <c r="C691" s="114"/>
      <c r="D691" s="114"/>
      <c r="E691" s="114"/>
      <c r="F691" s="114"/>
      <c r="G691" s="114"/>
      <c r="H691" s="114"/>
      <c r="I691" s="114"/>
      <c r="J691" s="114"/>
      <c r="K691" s="114"/>
      <c r="L691" s="114"/>
      <c r="M691" s="114"/>
      <c r="N691" s="114"/>
      <c r="O691" s="242"/>
      <c r="P691" s="243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  <c r="AB691" s="114"/>
      <c r="AC691" s="114"/>
      <c r="AD691" s="114"/>
      <c r="AE691" s="114"/>
      <c r="AF691" s="114"/>
      <c r="AM691" s="114"/>
      <c r="AN691" s="236"/>
      <c r="AO691" s="114"/>
    </row>
    <row r="692" ht="15.75" customHeight="1">
      <c r="C692" s="114"/>
      <c r="D692" s="114"/>
      <c r="E692" s="114"/>
      <c r="F692" s="114"/>
      <c r="G692" s="114"/>
      <c r="H692" s="114"/>
      <c r="I692" s="114"/>
      <c r="J692" s="114"/>
      <c r="K692" s="114"/>
      <c r="L692" s="114"/>
      <c r="M692" s="114"/>
      <c r="N692" s="114"/>
      <c r="O692" s="242"/>
      <c r="P692" s="243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  <c r="AB692" s="114"/>
      <c r="AC692" s="114"/>
      <c r="AD692" s="114"/>
      <c r="AE692" s="114"/>
      <c r="AF692" s="114"/>
      <c r="AM692" s="114"/>
      <c r="AN692" s="236"/>
      <c r="AO692" s="114"/>
    </row>
    <row r="693" ht="15.75" customHeight="1">
      <c r="C693" s="114"/>
      <c r="D693" s="114"/>
      <c r="E693" s="114"/>
      <c r="F693" s="114"/>
      <c r="G693" s="114"/>
      <c r="H693" s="114"/>
      <c r="I693" s="114"/>
      <c r="J693" s="114"/>
      <c r="K693" s="114"/>
      <c r="L693" s="114"/>
      <c r="M693" s="114"/>
      <c r="N693" s="114"/>
      <c r="O693" s="242"/>
      <c r="P693" s="243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  <c r="AB693" s="114"/>
      <c r="AC693" s="114"/>
      <c r="AD693" s="114"/>
      <c r="AE693" s="114"/>
      <c r="AF693" s="114"/>
      <c r="AM693" s="114"/>
      <c r="AN693" s="236"/>
      <c r="AO693" s="114"/>
    </row>
    <row r="694" ht="15.75" customHeight="1">
      <c r="C694" s="114"/>
      <c r="D694" s="114"/>
      <c r="E694" s="114"/>
      <c r="F694" s="114"/>
      <c r="G694" s="114"/>
      <c r="H694" s="114"/>
      <c r="I694" s="114"/>
      <c r="J694" s="114"/>
      <c r="K694" s="114"/>
      <c r="L694" s="114"/>
      <c r="M694" s="114"/>
      <c r="N694" s="114"/>
      <c r="O694" s="242"/>
      <c r="P694" s="243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  <c r="AB694" s="114"/>
      <c r="AC694" s="114"/>
      <c r="AD694" s="114"/>
      <c r="AE694" s="114"/>
      <c r="AF694" s="114"/>
      <c r="AM694" s="114"/>
      <c r="AN694" s="236"/>
      <c r="AO694" s="114"/>
    </row>
    <row r="695" ht="15.75" customHeight="1">
      <c r="C695" s="114"/>
      <c r="D695" s="114"/>
      <c r="E695" s="114"/>
      <c r="F695" s="114"/>
      <c r="G695" s="114"/>
      <c r="H695" s="114"/>
      <c r="I695" s="114"/>
      <c r="J695" s="114"/>
      <c r="K695" s="114"/>
      <c r="L695" s="114"/>
      <c r="M695" s="114"/>
      <c r="N695" s="114"/>
      <c r="O695" s="242"/>
      <c r="P695" s="243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  <c r="AB695" s="114"/>
      <c r="AC695" s="114"/>
      <c r="AD695" s="114"/>
      <c r="AE695" s="114"/>
      <c r="AF695" s="114"/>
      <c r="AM695" s="114"/>
      <c r="AN695" s="236"/>
      <c r="AO695" s="114"/>
    </row>
    <row r="696" ht="15.75" customHeight="1">
      <c r="C696" s="114"/>
      <c r="D696" s="114"/>
      <c r="E696" s="114"/>
      <c r="F696" s="114"/>
      <c r="G696" s="114"/>
      <c r="H696" s="114"/>
      <c r="I696" s="114"/>
      <c r="J696" s="114"/>
      <c r="K696" s="114"/>
      <c r="L696" s="114"/>
      <c r="M696" s="114"/>
      <c r="N696" s="114"/>
      <c r="O696" s="242"/>
      <c r="P696" s="243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  <c r="AB696" s="114"/>
      <c r="AC696" s="114"/>
      <c r="AD696" s="114"/>
      <c r="AE696" s="114"/>
      <c r="AF696" s="114"/>
      <c r="AM696" s="114"/>
      <c r="AN696" s="236"/>
      <c r="AO696" s="114"/>
    </row>
    <row r="697" ht="15.75" customHeight="1">
      <c r="C697" s="114"/>
      <c r="D697" s="114"/>
      <c r="E697" s="114"/>
      <c r="F697" s="114"/>
      <c r="G697" s="114"/>
      <c r="H697" s="114"/>
      <c r="I697" s="114"/>
      <c r="J697" s="114"/>
      <c r="K697" s="114"/>
      <c r="L697" s="114"/>
      <c r="M697" s="114"/>
      <c r="N697" s="114"/>
      <c r="O697" s="242"/>
      <c r="P697" s="243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  <c r="AB697" s="114"/>
      <c r="AC697" s="114"/>
      <c r="AD697" s="114"/>
      <c r="AE697" s="114"/>
      <c r="AF697" s="114"/>
      <c r="AM697" s="114"/>
      <c r="AN697" s="236"/>
      <c r="AO697" s="114"/>
    </row>
    <row r="698" ht="15.75" customHeight="1">
      <c r="C698" s="114"/>
      <c r="D698" s="114"/>
      <c r="E698" s="114"/>
      <c r="F698" s="114"/>
      <c r="G698" s="114"/>
      <c r="H698" s="114"/>
      <c r="I698" s="114"/>
      <c r="J698" s="114"/>
      <c r="K698" s="114"/>
      <c r="L698" s="114"/>
      <c r="M698" s="114"/>
      <c r="N698" s="114"/>
      <c r="O698" s="242"/>
      <c r="P698" s="243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  <c r="AB698" s="114"/>
      <c r="AC698" s="114"/>
      <c r="AD698" s="114"/>
      <c r="AE698" s="114"/>
      <c r="AF698" s="114"/>
      <c r="AM698" s="114"/>
      <c r="AN698" s="236"/>
      <c r="AO698" s="114"/>
    </row>
    <row r="699" ht="15.75" customHeight="1">
      <c r="C699" s="114"/>
      <c r="D699" s="114"/>
      <c r="E699" s="114"/>
      <c r="F699" s="114"/>
      <c r="G699" s="114"/>
      <c r="H699" s="114"/>
      <c r="I699" s="114"/>
      <c r="J699" s="114"/>
      <c r="K699" s="114"/>
      <c r="L699" s="114"/>
      <c r="M699" s="114"/>
      <c r="N699" s="114"/>
      <c r="O699" s="242"/>
      <c r="P699" s="243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  <c r="AB699" s="114"/>
      <c r="AC699" s="114"/>
      <c r="AD699" s="114"/>
      <c r="AE699" s="114"/>
      <c r="AF699" s="114"/>
      <c r="AM699" s="114"/>
      <c r="AN699" s="236"/>
      <c r="AO699" s="114"/>
    </row>
    <row r="700" ht="15.75" customHeight="1">
      <c r="C700" s="114"/>
      <c r="D700" s="114"/>
      <c r="E700" s="114"/>
      <c r="F700" s="114"/>
      <c r="G700" s="114"/>
      <c r="H700" s="114"/>
      <c r="I700" s="114"/>
      <c r="J700" s="114"/>
      <c r="K700" s="114"/>
      <c r="L700" s="114"/>
      <c r="M700" s="114"/>
      <c r="N700" s="114"/>
      <c r="O700" s="242"/>
      <c r="P700" s="243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  <c r="AA700" s="114"/>
      <c r="AB700" s="114"/>
      <c r="AC700" s="114"/>
      <c r="AD700" s="114"/>
      <c r="AE700" s="114"/>
      <c r="AF700" s="114"/>
      <c r="AM700" s="114"/>
      <c r="AN700" s="236"/>
      <c r="AO700" s="114"/>
    </row>
    <row r="701" ht="15.75" customHeight="1">
      <c r="C701" s="114"/>
      <c r="D701" s="114"/>
      <c r="E701" s="114"/>
      <c r="F701" s="114"/>
      <c r="G701" s="114"/>
      <c r="H701" s="114"/>
      <c r="I701" s="114"/>
      <c r="J701" s="114"/>
      <c r="K701" s="114"/>
      <c r="L701" s="114"/>
      <c r="M701" s="114"/>
      <c r="N701" s="114"/>
      <c r="O701" s="242"/>
      <c r="P701" s="243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  <c r="AB701" s="114"/>
      <c r="AC701" s="114"/>
      <c r="AD701" s="114"/>
      <c r="AE701" s="114"/>
      <c r="AF701" s="114"/>
      <c r="AM701" s="114"/>
      <c r="AN701" s="236"/>
      <c r="AO701" s="114"/>
    </row>
    <row r="702" ht="15.75" customHeight="1">
      <c r="C702" s="114"/>
      <c r="D702" s="114"/>
      <c r="E702" s="114"/>
      <c r="F702" s="114"/>
      <c r="G702" s="114"/>
      <c r="H702" s="114"/>
      <c r="I702" s="114"/>
      <c r="J702" s="114"/>
      <c r="K702" s="114"/>
      <c r="L702" s="114"/>
      <c r="M702" s="114"/>
      <c r="N702" s="114"/>
      <c r="O702" s="242"/>
      <c r="P702" s="243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  <c r="AB702" s="114"/>
      <c r="AC702" s="114"/>
      <c r="AD702" s="114"/>
      <c r="AE702" s="114"/>
      <c r="AF702" s="114"/>
      <c r="AM702" s="114"/>
      <c r="AN702" s="236"/>
      <c r="AO702" s="114"/>
    </row>
    <row r="703" ht="15.75" customHeight="1">
      <c r="C703" s="114"/>
      <c r="D703" s="114"/>
      <c r="E703" s="114"/>
      <c r="F703" s="114"/>
      <c r="G703" s="114"/>
      <c r="H703" s="114"/>
      <c r="I703" s="114"/>
      <c r="J703" s="114"/>
      <c r="K703" s="114"/>
      <c r="L703" s="114"/>
      <c r="M703" s="114"/>
      <c r="N703" s="114"/>
      <c r="O703" s="242"/>
      <c r="P703" s="243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  <c r="AA703" s="114"/>
      <c r="AB703" s="114"/>
      <c r="AC703" s="114"/>
      <c r="AD703" s="114"/>
      <c r="AE703" s="114"/>
      <c r="AF703" s="114"/>
      <c r="AM703" s="114"/>
      <c r="AN703" s="236"/>
      <c r="AO703" s="114"/>
    </row>
    <row r="704" ht="15.75" customHeight="1">
      <c r="C704" s="114"/>
      <c r="D704" s="114"/>
      <c r="E704" s="114"/>
      <c r="F704" s="114"/>
      <c r="G704" s="114"/>
      <c r="H704" s="114"/>
      <c r="I704" s="114"/>
      <c r="J704" s="114"/>
      <c r="K704" s="114"/>
      <c r="L704" s="114"/>
      <c r="M704" s="114"/>
      <c r="N704" s="114"/>
      <c r="O704" s="242"/>
      <c r="P704" s="243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  <c r="AB704" s="114"/>
      <c r="AC704" s="114"/>
      <c r="AD704" s="114"/>
      <c r="AE704" s="114"/>
      <c r="AF704" s="114"/>
      <c r="AM704" s="114"/>
      <c r="AN704" s="236"/>
      <c r="AO704" s="114"/>
    </row>
    <row r="705" ht="15.75" customHeight="1">
      <c r="C705" s="114"/>
      <c r="D705" s="114"/>
      <c r="E705" s="114"/>
      <c r="F705" s="114"/>
      <c r="G705" s="114"/>
      <c r="H705" s="114"/>
      <c r="I705" s="114"/>
      <c r="J705" s="114"/>
      <c r="K705" s="114"/>
      <c r="L705" s="114"/>
      <c r="M705" s="114"/>
      <c r="N705" s="114"/>
      <c r="O705" s="242"/>
      <c r="P705" s="243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  <c r="AB705" s="114"/>
      <c r="AC705" s="114"/>
      <c r="AD705" s="114"/>
      <c r="AE705" s="114"/>
      <c r="AF705" s="114"/>
      <c r="AM705" s="114"/>
      <c r="AN705" s="236"/>
      <c r="AO705" s="114"/>
    </row>
    <row r="706" ht="15.75" customHeight="1">
      <c r="C706" s="114"/>
      <c r="D706" s="114"/>
      <c r="E706" s="114"/>
      <c r="F706" s="114"/>
      <c r="G706" s="114"/>
      <c r="H706" s="114"/>
      <c r="I706" s="114"/>
      <c r="J706" s="114"/>
      <c r="K706" s="114"/>
      <c r="L706" s="114"/>
      <c r="M706" s="114"/>
      <c r="N706" s="114"/>
      <c r="O706" s="242"/>
      <c r="P706" s="243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  <c r="AB706" s="114"/>
      <c r="AC706" s="114"/>
      <c r="AD706" s="114"/>
      <c r="AE706" s="114"/>
      <c r="AF706" s="114"/>
      <c r="AM706" s="114"/>
      <c r="AN706" s="236"/>
      <c r="AO706" s="114"/>
    </row>
    <row r="707" ht="15.75" customHeight="1">
      <c r="C707" s="114"/>
      <c r="D707" s="114"/>
      <c r="E707" s="114"/>
      <c r="F707" s="114"/>
      <c r="G707" s="114"/>
      <c r="H707" s="114"/>
      <c r="I707" s="114"/>
      <c r="J707" s="114"/>
      <c r="K707" s="114"/>
      <c r="L707" s="114"/>
      <c r="M707" s="114"/>
      <c r="N707" s="114"/>
      <c r="O707" s="242"/>
      <c r="P707" s="243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  <c r="AB707" s="114"/>
      <c r="AC707" s="114"/>
      <c r="AD707" s="114"/>
      <c r="AE707" s="114"/>
      <c r="AF707" s="114"/>
      <c r="AM707" s="114"/>
      <c r="AN707" s="236"/>
      <c r="AO707" s="114"/>
    </row>
    <row r="708" ht="15.75" customHeight="1">
      <c r="C708" s="114"/>
      <c r="D708" s="114"/>
      <c r="E708" s="114"/>
      <c r="F708" s="114"/>
      <c r="G708" s="114"/>
      <c r="H708" s="114"/>
      <c r="I708" s="114"/>
      <c r="J708" s="114"/>
      <c r="K708" s="114"/>
      <c r="L708" s="114"/>
      <c r="M708" s="114"/>
      <c r="N708" s="114"/>
      <c r="O708" s="242"/>
      <c r="P708" s="243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  <c r="AB708" s="114"/>
      <c r="AC708" s="114"/>
      <c r="AD708" s="114"/>
      <c r="AE708" s="114"/>
      <c r="AF708" s="114"/>
      <c r="AM708" s="114"/>
      <c r="AN708" s="236"/>
      <c r="AO708" s="114"/>
    </row>
    <row r="709" ht="15.75" customHeight="1">
      <c r="C709" s="114"/>
      <c r="D709" s="114"/>
      <c r="E709" s="114"/>
      <c r="F709" s="114"/>
      <c r="G709" s="114"/>
      <c r="H709" s="114"/>
      <c r="I709" s="114"/>
      <c r="J709" s="114"/>
      <c r="K709" s="114"/>
      <c r="L709" s="114"/>
      <c r="M709" s="114"/>
      <c r="N709" s="114"/>
      <c r="O709" s="242"/>
      <c r="P709" s="243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  <c r="AB709" s="114"/>
      <c r="AC709" s="114"/>
      <c r="AD709" s="114"/>
      <c r="AE709" s="114"/>
      <c r="AF709" s="114"/>
      <c r="AM709" s="114"/>
      <c r="AN709" s="236"/>
      <c r="AO709" s="114"/>
    </row>
    <row r="710" ht="15.75" customHeight="1">
      <c r="C710" s="114"/>
      <c r="D710" s="114"/>
      <c r="E710" s="114"/>
      <c r="F710" s="114"/>
      <c r="G710" s="114"/>
      <c r="H710" s="114"/>
      <c r="I710" s="114"/>
      <c r="J710" s="114"/>
      <c r="K710" s="114"/>
      <c r="L710" s="114"/>
      <c r="M710" s="114"/>
      <c r="N710" s="114"/>
      <c r="O710" s="242"/>
      <c r="P710" s="243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  <c r="AB710" s="114"/>
      <c r="AC710" s="114"/>
      <c r="AD710" s="114"/>
      <c r="AE710" s="114"/>
      <c r="AF710" s="114"/>
      <c r="AM710" s="114"/>
      <c r="AN710" s="236"/>
      <c r="AO710" s="114"/>
    </row>
    <row r="711" ht="15.75" customHeight="1">
      <c r="C711" s="114"/>
      <c r="D711" s="114"/>
      <c r="E711" s="114"/>
      <c r="F711" s="114"/>
      <c r="G711" s="114"/>
      <c r="H711" s="114"/>
      <c r="I711" s="114"/>
      <c r="J711" s="114"/>
      <c r="K711" s="114"/>
      <c r="L711" s="114"/>
      <c r="M711" s="114"/>
      <c r="N711" s="114"/>
      <c r="O711" s="242"/>
      <c r="P711" s="243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  <c r="AB711" s="114"/>
      <c r="AC711" s="114"/>
      <c r="AD711" s="114"/>
      <c r="AE711" s="114"/>
      <c r="AF711" s="114"/>
      <c r="AM711" s="114"/>
      <c r="AN711" s="236"/>
      <c r="AO711" s="114"/>
    </row>
    <row r="712" ht="15.75" customHeight="1">
      <c r="C712" s="114"/>
      <c r="D712" s="114"/>
      <c r="E712" s="114"/>
      <c r="F712" s="114"/>
      <c r="G712" s="114"/>
      <c r="H712" s="114"/>
      <c r="I712" s="114"/>
      <c r="J712" s="114"/>
      <c r="K712" s="114"/>
      <c r="L712" s="114"/>
      <c r="M712" s="114"/>
      <c r="N712" s="114"/>
      <c r="O712" s="242"/>
      <c r="P712" s="243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  <c r="AB712" s="114"/>
      <c r="AC712" s="114"/>
      <c r="AD712" s="114"/>
      <c r="AE712" s="114"/>
      <c r="AF712" s="114"/>
      <c r="AM712" s="114"/>
      <c r="AN712" s="236"/>
      <c r="AO712" s="114"/>
    </row>
    <row r="713" ht="15.75" customHeight="1">
      <c r="C713" s="114"/>
      <c r="D713" s="114"/>
      <c r="E713" s="114"/>
      <c r="F713" s="114"/>
      <c r="G713" s="114"/>
      <c r="H713" s="114"/>
      <c r="I713" s="114"/>
      <c r="J713" s="114"/>
      <c r="K713" s="114"/>
      <c r="L713" s="114"/>
      <c r="M713" s="114"/>
      <c r="N713" s="114"/>
      <c r="O713" s="242"/>
      <c r="P713" s="243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  <c r="AB713" s="114"/>
      <c r="AC713" s="114"/>
      <c r="AD713" s="114"/>
      <c r="AE713" s="114"/>
      <c r="AF713" s="114"/>
      <c r="AM713" s="114"/>
      <c r="AN713" s="236"/>
      <c r="AO713" s="114"/>
    </row>
    <row r="714" ht="15.75" customHeight="1">
      <c r="C714" s="114"/>
      <c r="D714" s="114"/>
      <c r="E714" s="114"/>
      <c r="F714" s="114"/>
      <c r="G714" s="114"/>
      <c r="H714" s="114"/>
      <c r="I714" s="114"/>
      <c r="J714" s="114"/>
      <c r="K714" s="114"/>
      <c r="L714" s="114"/>
      <c r="M714" s="114"/>
      <c r="N714" s="114"/>
      <c r="O714" s="242"/>
      <c r="P714" s="243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  <c r="AB714" s="114"/>
      <c r="AC714" s="114"/>
      <c r="AD714" s="114"/>
      <c r="AE714" s="114"/>
      <c r="AF714" s="114"/>
      <c r="AM714" s="114"/>
      <c r="AN714" s="236"/>
      <c r="AO714" s="114"/>
    </row>
    <row r="715" ht="15.75" customHeight="1">
      <c r="C715" s="114"/>
      <c r="D715" s="114"/>
      <c r="E715" s="114"/>
      <c r="F715" s="114"/>
      <c r="G715" s="114"/>
      <c r="H715" s="114"/>
      <c r="I715" s="114"/>
      <c r="J715" s="114"/>
      <c r="K715" s="114"/>
      <c r="L715" s="114"/>
      <c r="M715" s="114"/>
      <c r="N715" s="114"/>
      <c r="O715" s="242"/>
      <c r="P715" s="243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  <c r="AB715" s="114"/>
      <c r="AC715" s="114"/>
      <c r="AD715" s="114"/>
      <c r="AE715" s="114"/>
      <c r="AF715" s="114"/>
      <c r="AM715" s="114"/>
      <c r="AN715" s="236"/>
      <c r="AO715" s="114"/>
    </row>
    <row r="716" ht="15.75" customHeight="1">
      <c r="C716" s="114"/>
      <c r="D716" s="114"/>
      <c r="E716" s="114"/>
      <c r="F716" s="114"/>
      <c r="G716" s="114"/>
      <c r="H716" s="114"/>
      <c r="I716" s="114"/>
      <c r="J716" s="114"/>
      <c r="K716" s="114"/>
      <c r="L716" s="114"/>
      <c r="M716" s="114"/>
      <c r="N716" s="114"/>
      <c r="O716" s="242"/>
      <c r="P716" s="243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  <c r="AA716" s="114"/>
      <c r="AB716" s="114"/>
      <c r="AC716" s="114"/>
      <c r="AD716" s="114"/>
      <c r="AE716" s="114"/>
      <c r="AF716" s="114"/>
      <c r="AM716" s="114"/>
      <c r="AN716" s="236"/>
      <c r="AO716" s="114"/>
    </row>
    <row r="717" ht="15.75" customHeight="1">
      <c r="C717" s="114"/>
      <c r="D717" s="114"/>
      <c r="E717" s="114"/>
      <c r="F717" s="114"/>
      <c r="G717" s="114"/>
      <c r="H717" s="114"/>
      <c r="I717" s="114"/>
      <c r="J717" s="114"/>
      <c r="K717" s="114"/>
      <c r="L717" s="114"/>
      <c r="M717" s="114"/>
      <c r="N717" s="114"/>
      <c r="O717" s="242"/>
      <c r="P717" s="243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  <c r="AB717" s="114"/>
      <c r="AC717" s="114"/>
      <c r="AD717" s="114"/>
      <c r="AE717" s="114"/>
      <c r="AF717" s="114"/>
      <c r="AM717" s="114"/>
      <c r="AN717" s="236"/>
      <c r="AO717" s="114"/>
    </row>
    <row r="718" ht="15.75" customHeight="1">
      <c r="C718" s="114"/>
      <c r="D718" s="114"/>
      <c r="E718" s="114"/>
      <c r="F718" s="114"/>
      <c r="G718" s="114"/>
      <c r="H718" s="114"/>
      <c r="I718" s="114"/>
      <c r="J718" s="114"/>
      <c r="K718" s="114"/>
      <c r="L718" s="114"/>
      <c r="M718" s="114"/>
      <c r="N718" s="114"/>
      <c r="O718" s="242"/>
      <c r="P718" s="243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  <c r="AB718" s="114"/>
      <c r="AC718" s="114"/>
      <c r="AD718" s="114"/>
      <c r="AE718" s="114"/>
      <c r="AF718" s="114"/>
      <c r="AM718" s="114"/>
      <c r="AN718" s="236"/>
      <c r="AO718" s="114"/>
    </row>
    <row r="719" ht="15.75" customHeight="1">
      <c r="C719" s="114"/>
      <c r="D719" s="114"/>
      <c r="E719" s="114"/>
      <c r="F719" s="114"/>
      <c r="G719" s="114"/>
      <c r="H719" s="114"/>
      <c r="I719" s="114"/>
      <c r="J719" s="114"/>
      <c r="K719" s="114"/>
      <c r="L719" s="114"/>
      <c r="M719" s="114"/>
      <c r="N719" s="114"/>
      <c r="O719" s="242"/>
      <c r="P719" s="243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  <c r="AB719" s="114"/>
      <c r="AC719" s="114"/>
      <c r="AD719" s="114"/>
      <c r="AE719" s="114"/>
      <c r="AF719" s="114"/>
      <c r="AM719" s="114"/>
      <c r="AN719" s="236"/>
      <c r="AO719" s="114"/>
    </row>
    <row r="720" ht="15.75" customHeight="1">
      <c r="C720" s="114"/>
      <c r="D720" s="114"/>
      <c r="E720" s="114"/>
      <c r="F720" s="114"/>
      <c r="G720" s="114"/>
      <c r="H720" s="114"/>
      <c r="I720" s="114"/>
      <c r="J720" s="114"/>
      <c r="K720" s="114"/>
      <c r="L720" s="114"/>
      <c r="M720" s="114"/>
      <c r="N720" s="114"/>
      <c r="O720" s="242"/>
      <c r="P720" s="243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  <c r="AB720" s="114"/>
      <c r="AC720" s="114"/>
      <c r="AD720" s="114"/>
      <c r="AE720" s="114"/>
      <c r="AF720" s="114"/>
      <c r="AM720" s="114"/>
      <c r="AN720" s="236"/>
      <c r="AO720" s="114"/>
    </row>
    <row r="721" ht="15.75" customHeight="1">
      <c r="C721" s="114"/>
      <c r="D721" s="114"/>
      <c r="E721" s="114"/>
      <c r="F721" s="114"/>
      <c r="G721" s="114"/>
      <c r="H721" s="114"/>
      <c r="I721" s="114"/>
      <c r="J721" s="114"/>
      <c r="K721" s="114"/>
      <c r="L721" s="114"/>
      <c r="M721" s="114"/>
      <c r="N721" s="114"/>
      <c r="O721" s="242"/>
      <c r="P721" s="243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  <c r="AB721" s="114"/>
      <c r="AC721" s="114"/>
      <c r="AD721" s="114"/>
      <c r="AE721" s="114"/>
      <c r="AF721" s="114"/>
      <c r="AM721" s="114"/>
      <c r="AN721" s="236"/>
      <c r="AO721" s="114"/>
    </row>
    <row r="722" ht="15.75" customHeight="1">
      <c r="C722" s="114"/>
      <c r="D722" s="114"/>
      <c r="E722" s="114"/>
      <c r="F722" s="114"/>
      <c r="G722" s="114"/>
      <c r="H722" s="114"/>
      <c r="I722" s="114"/>
      <c r="J722" s="114"/>
      <c r="K722" s="114"/>
      <c r="L722" s="114"/>
      <c r="M722" s="114"/>
      <c r="N722" s="114"/>
      <c r="O722" s="242"/>
      <c r="P722" s="243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  <c r="AB722" s="114"/>
      <c r="AC722" s="114"/>
      <c r="AD722" s="114"/>
      <c r="AE722" s="114"/>
      <c r="AF722" s="114"/>
      <c r="AM722" s="114"/>
      <c r="AN722" s="236"/>
      <c r="AO722" s="114"/>
    </row>
    <row r="723" ht="15.75" customHeight="1">
      <c r="C723" s="114"/>
      <c r="D723" s="114"/>
      <c r="E723" s="114"/>
      <c r="F723" s="114"/>
      <c r="G723" s="114"/>
      <c r="H723" s="114"/>
      <c r="I723" s="114"/>
      <c r="J723" s="114"/>
      <c r="K723" s="114"/>
      <c r="L723" s="114"/>
      <c r="M723" s="114"/>
      <c r="N723" s="114"/>
      <c r="O723" s="242"/>
      <c r="P723" s="243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  <c r="AB723" s="114"/>
      <c r="AC723" s="114"/>
      <c r="AD723" s="114"/>
      <c r="AE723" s="114"/>
      <c r="AF723" s="114"/>
      <c r="AM723" s="114"/>
      <c r="AN723" s="236"/>
      <c r="AO723" s="114"/>
    </row>
    <row r="724" ht="15.75" customHeight="1">
      <c r="C724" s="114"/>
      <c r="D724" s="114"/>
      <c r="E724" s="114"/>
      <c r="F724" s="114"/>
      <c r="G724" s="114"/>
      <c r="H724" s="114"/>
      <c r="I724" s="114"/>
      <c r="J724" s="114"/>
      <c r="K724" s="114"/>
      <c r="L724" s="114"/>
      <c r="M724" s="114"/>
      <c r="N724" s="114"/>
      <c r="O724" s="242"/>
      <c r="P724" s="243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  <c r="AB724" s="114"/>
      <c r="AC724" s="114"/>
      <c r="AD724" s="114"/>
      <c r="AE724" s="114"/>
      <c r="AF724" s="114"/>
      <c r="AM724" s="114"/>
      <c r="AN724" s="236"/>
      <c r="AO724" s="114"/>
    </row>
    <row r="725" ht="15.75" customHeight="1">
      <c r="C725" s="114"/>
      <c r="D725" s="114"/>
      <c r="E725" s="114"/>
      <c r="F725" s="114"/>
      <c r="G725" s="114"/>
      <c r="H725" s="114"/>
      <c r="I725" s="114"/>
      <c r="J725" s="114"/>
      <c r="K725" s="114"/>
      <c r="L725" s="114"/>
      <c r="M725" s="114"/>
      <c r="N725" s="114"/>
      <c r="O725" s="242"/>
      <c r="P725" s="243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  <c r="AB725" s="114"/>
      <c r="AC725" s="114"/>
      <c r="AD725" s="114"/>
      <c r="AE725" s="114"/>
      <c r="AF725" s="114"/>
      <c r="AM725" s="114"/>
      <c r="AN725" s="236"/>
      <c r="AO725" s="114"/>
    </row>
    <row r="726" ht="15.75" customHeight="1">
      <c r="C726" s="114"/>
      <c r="D726" s="114"/>
      <c r="E726" s="114"/>
      <c r="F726" s="114"/>
      <c r="G726" s="114"/>
      <c r="H726" s="114"/>
      <c r="I726" s="114"/>
      <c r="J726" s="114"/>
      <c r="K726" s="114"/>
      <c r="L726" s="114"/>
      <c r="M726" s="114"/>
      <c r="N726" s="114"/>
      <c r="O726" s="242"/>
      <c r="P726" s="243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  <c r="AB726" s="114"/>
      <c r="AC726" s="114"/>
      <c r="AD726" s="114"/>
      <c r="AE726" s="114"/>
      <c r="AF726" s="114"/>
      <c r="AM726" s="114"/>
      <c r="AN726" s="236"/>
      <c r="AO726" s="114"/>
    </row>
    <row r="727" ht="15.75" customHeight="1">
      <c r="C727" s="114"/>
      <c r="D727" s="114"/>
      <c r="E727" s="114"/>
      <c r="F727" s="114"/>
      <c r="G727" s="114"/>
      <c r="H727" s="114"/>
      <c r="I727" s="114"/>
      <c r="J727" s="114"/>
      <c r="K727" s="114"/>
      <c r="L727" s="114"/>
      <c r="M727" s="114"/>
      <c r="N727" s="114"/>
      <c r="O727" s="242"/>
      <c r="P727" s="243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  <c r="AB727" s="114"/>
      <c r="AC727" s="114"/>
      <c r="AD727" s="114"/>
      <c r="AE727" s="114"/>
      <c r="AF727" s="114"/>
      <c r="AM727" s="114"/>
      <c r="AN727" s="236"/>
      <c r="AO727" s="114"/>
    </row>
    <row r="728" ht="15.75" customHeight="1">
      <c r="C728" s="114"/>
      <c r="D728" s="114"/>
      <c r="E728" s="114"/>
      <c r="F728" s="114"/>
      <c r="G728" s="114"/>
      <c r="H728" s="114"/>
      <c r="I728" s="114"/>
      <c r="J728" s="114"/>
      <c r="K728" s="114"/>
      <c r="L728" s="114"/>
      <c r="M728" s="114"/>
      <c r="N728" s="114"/>
      <c r="O728" s="242"/>
      <c r="P728" s="243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  <c r="AB728" s="114"/>
      <c r="AC728" s="114"/>
      <c r="AD728" s="114"/>
      <c r="AE728" s="114"/>
      <c r="AF728" s="114"/>
      <c r="AM728" s="114"/>
      <c r="AN728" s="236"/>
      <c r="AO728" s="114"/>
    </row>
    <row r="729" ht="15.75" customHeight="1">
      <c r="C729" s="114"/>
      <c r="D729" s="114"/>
      <c r="E729" s="114"/>
      <c r="F729" s="114"/>
      <c r="G729" s="114"/>
      <c r="H729" s="114"/>
      <c r="I729" s="114"/>
      <c r="J729" s="114"/>
      <c r="K729" s="114"/>
      <c r="L729" s="114"/>
      <c r="M729" s="114"/>
      <c r="N729" s="114"/>
      <c r="O729" s="242"/>
      <c r="P729" s="243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  <c r="AB729" s="114"/>
      <c r="AC729" s="114"/>
      <c r="AD729" s="114"/>
      <c r="AE729" s="114"/>
      <c r="AF729" s="114"/>
      <c r="AM729" s="114"/>
      <c r="AN729" s="236"/>
      <c r="AO729" s="114"/>
    </row>
    <row r="730" ht="15.75" customHeight="1">
      <c r="C730" s="114"/>
      <c r="D730" s="114"/>
      <c r="E730" s="114"/>
      <c r="F730" s="114"/>
      <c r="G730" s="114"/>
      <c r="H730" s="114"/>
      <c r="I730" s="114"/>
      <c r="J730" s="114"/>
      <c r="K730" s="114"/>
      <c r="L730" s="114"/>
      <c r="M730" s="114"/>
      <c r="N730" s="114"/>
      <c r="O730" s="242"/>
      <c r="P730" s="243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  <c r="AA730" s="114"/>
      <c r="AB730" s="114"/>
      <c r="AC730" s="114"/>
      <c r="AD730" s="114"/>
      <c r="AE730" s="114"/>
      <c r="AF730" s="114"/>
      <c r="AM730" s="114"/>
      <c r="AN730" s="236"/>
      <c r="AO730" s="114"/>
    </row>
    <row r="731" ht="15.75" customHeight="1">
      <c r="C731" s="114"/>
      <c r="D731" s="114"/>
      <c r="E731" s="114"/>
      <c r="F731" s="114"/>
      <c r="G731" s="114"/>
      <c r="H731" s="114"/>
      <c r="I731" s="114"/>
      <c r="J731" s="114"/>
      <c r="K731" s="114"/>
      <c r="L731" s="114"/>
      <c r="M731" s="114"/>
      <c r="N731" s="114"/>
      <c r="O731" s="242"/>
      <c r="P731" s="243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  <c r="AB731" s="114"/>
      <c r="AC731" s="114"/>
      <c r="AD731" s="114"/>
      <c r="AE731" s="114"/>
      <c r="AF731" s="114"/>
      <c r="AM731" s="114"/>
      <c r="AN731" s="236"/>
      <c r="AO731" s="114"/>
    </row>
    <row r="732" ht="15.75" customHeight="1">
      <c r="C732" s="114"/>
      <c r="D732" s="114"/>
      <c r="E732" s="114"/>
      <c r="F732" s="114"/>
      <c r="G732" s="114"/>
      <c r="H732" s="114"/>
      <c r="I732" s="114"/>
      <c r="J732" s="114"/>
      <c r="K732" s="114"/>
      <c r="L732" s="114"/>
      <c r="M732" s="114"/>
      <c r="N732" s="114"/>
      <c r="O732" s="242"/>
      <c r="P732" s="243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  <c r="AB732" s="114"/>
      <c r="AC732" s="114"/>
      <c r="AD732" s="114"/>
      <c r="AE732" s="114"/>
      <c r="AF732" s="114"/>
      <c r="AM732" s="114"/>
      <c r="AN732" s="236"/>
      <c r="AO732" s="114"/>
    </row>
    <row r="733" ht="15.75" customHeight="1">
      <c r="C733" s="114"/>
      <c r="D733" s="114"/>
      <c r="E733" s="114"/>
      <c r="F733" s="114"/>
      <c r="G733" s="114"/>
      <c r="H733" s="114"/>
      <c r="I733" s="114"/>
      <c r="J733" s="114"/>
      <c r="K733" s="114"/>
      <c r="L733" s="114"/>
      <c r="M733" s="114"/>
      <c r="N733" s="114"/>
      <c r="O733" s="242"/>
      <c r="P733" s="243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  <c r="AA733" s="114"/>
      <c r="AB733" s="114"/>
      <c r="AC733" s="114"/>
      <c r="AD733" s="114"/>
      <c r="AE733" s="114"/>
      <c r="AF733" s="114"/>
      <c r="AM733" s="114"/>
      <c r="AN733" s="236"/>
      <c r="AO733" s="114"/>
    </row>
    <row r="734" ht="15.75" customHeight="1">
      <c r="C734" s="114"/>
      <c r="D734" s="114"/>
      <c r="E734" s="114"/>
      <c r="F734" s="114"/>
      <c r="G734" s="114"/>
      <c r="H734" s="114"/>
      <c r="I734" s="114"/>
      <c r="J734" s="114"/>
      <c r="K734" s="114"/>
      <c r="L734" s="114"/>
      <c r="M734" s="114"/>
      <c r="N734" s="114"/>
      <c r="O734" s="242"/>
      <c r="P734" s="243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  <c r="AB734" s="114"/>
      <c r="AC734" s="114"/>
      <c r="AD734" s="114"/>
      <c r="AE734" s="114"/>
      <c r="AF734" s="114"/>
      <c r="AM734" s="114"/>
      <c r="AN734" s="236"/>
      <c r="AO734" s="114"/>
    </row>
    <row r="735" ht="15.75" customHeight="1">
      <c r="C735" s="114"/>
      <c r="D735" s="114"/>
      <c r="E735" s="114"/>
      <c r="F735" s="114"/>
      <c r="G735" s="114"/>
      <c r="H735" s="114"/>
      <c r="I735" s="114"/>
      <c r="J735" s="114"/>
      <c r="K735" s="114"/>
      <c r="L735" s="114"/>
      <c r="M735" s="114"/>
      <c r="N735" s="114"/>
      <c r="O735" s="242"/>
      <c r="P735" s="243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  <c r="AB735" s="114"/>
      <c r="AC735" s="114"/>
      <c r="AD735" s="114"/>
      <c r="AE735" s="114"/>
      <c r="AF735" s="114"/>
      <c r="AM735" s="114"/>
      <c r="AN735" s="236"/>
      <c r="AO735" s="114"/>
    </row>
    <row r="736" ht="15.75" customHeight="1">
      <c r="C736" s="114"/>
      <c r="D736" s="114"/>
      <c r="E736" s="114"/>
      <c r="F736" s="114"/>
      <c r="G736" s="114"/>
      <c r="H736" s="114"/>
      <c r="I736" s="114"/>
      <c r="J736" s="114"/>
      <c r="K736" s="114"/>
      <c r="L736" s="114"/>
      <c r="M736" s="114"/>
      <c r="N736" s="114"/>
      <c r="O736" s="242"/>
      <c r="P736" s="243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  <c r="AB736" s="114"/>
      <c r="AC736" s="114"/>
      <c r="AD736" s="114"/>
      <c r="AE736" s="114"/>
      <c r="AF736" s="114"/>
      <c r="AM736" s="114"/>
      <c r="AN736" s="236"/>
      <c r="AO736" s="114"/>
    </row>
    <row r="737" ht="15.75" customHeight="1">
      <c r="C737" s="114"/>
      <c r="D737" s="114"/>
      <c r="E737" s="114"/>
      <c r="F737" s="114"/>
      <c r="G737" s="114"/>
      <c r="H737" s="114"/>
      <c r="I737" s="114"/>
      <c r="J737" s="114"/>
      <c r="K737" s="114"/>
      <c r="L737" s="114"/>
      <c r="M737" s="114"/>
      <c r="N737" s="114"/>
      <c r="O737" s="242"/>
      <c r="P737" s="243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  <c r="AB737" s="114"/>
      <c r="AC737" s="114"/>
      <c r="AD737" s="114"/>
      <c r="AE737" s="114"/>
      <c r="AF737" s="114"/>
      <c r="AM737" s="114"/>
      <c r="AN737" s="236"/>
      <c r="AO737" s="114"/>
    </row>
    <row r="738" ht="15.75" customHeight="1">
      <c r="C738" s="114"/>
      <c r="D738" s="114"/>
      <c r="E738" s="114"/>
      <c r="F738" s="114"/>
      <c r="G738" s="114"/>
      <c r="H738" s="114"/>
      <c r="I738" s="114"/>
      <c r="J738" s="114"/>
      <c r="K738" s="114"/>
      <c r="L738" s="114"/>
      <c r="M738" s="114"/>
      <c r="N738" s="114"/>
      <c r="O738" s="242"/>
      <c r="P738" s="243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  <c r="AB738" s="114"/>
      <c r="AC738" s="114"/>
      <c r="AD738" s="114"/>
      <c r="AE738" s="114"/>
      <c r="AF738" s="114"/>
      <c r="AM738" s="114"/>
      <c r="AN738" s="236"/>
      <c r="AO738" s="114"/>
    </row>
    <row r="739" ht="15.75" customHeight="1">
      <c r="C739" s="114"/>
      <c r="D739" s="114"/>
      <c r="E739" s="114"/>
      <c r="F739" s="114"/>
      <c r="G739" s="114"/>
      <c r="H739" s="114"/>
      <c r="I739" s="114"/>
      <c r="J739" s="114"/>
      <c r="K739" s="114"/>
      <c r="L739" s="114"/>
      <c r="M739" s="114"/>
      <c r="N739" s="114"/>
      <c r="O739" s="242"/>
      <c r="P739" s="243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  <c r="AB739" s="114"/>
      <c r="AC739" s="114"/>
      <c r="AD739" s="114"/>
      <c r="AE739" s="114"/>
      <c r="AF739" s="114"/>
      <c r="AM739" s="114"/>
      <c r="AN739" s="236"/>
      <c r="AO739" s="114"/>
    </row>
    <row r="740" ht="15.75" customHeight="1">
      <c r="C740" s="114"/>
      <c r="D740" s="114"/>
      <c r="E740" s="114"/>
      <c r="F740" s="114"/>
      <c r="G740" s="114"/>
      <c r="H740" s="114"/>
      <c r="I740" s="114"/>
      <c r="J740" s="114"/>
      <c r="K740" s="114"/>
      <c r="L740" s="114"/>
      <c r="M740" s="114"/>
      <c r="N740" s="114"/>
      <c r="O740" s="242"/>
      <c r="P740" s="243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114"/>
      <c r="AD740" s="114"/>
      <c r="AE740" s="114"/>
      <c r="AF740" s="114"/>
      <c r="AM740" s="114"/>
      <c r="AN740" s="236"/>
      <c r="AO740" s="114"/>
    </row>
    <row r="741" ht="15.75" customHeight="1">
      <c r="C741" s="114"/>
      <c r="D741" s="114"/>
      <c r="E741" s="114"/>
      <c r="F741" s="114"/>
      <c r="G741" s="114"/>
      <c r="H741" s="114"/>
      <c r="I741" s="114"/>
      <c r="J741" s="114"/>
      <c r="K741" s="114"/>
      <c r="L741" s="114"/>
      <c r="M741" s="114"/>
      <c r="N741" s="114"/>
      <c r="O741" s="242"/>
      <c r="P741" s="243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  <c r="AB741" s="114"/>
      <c r="AC741" s="114"/>
      <c r="AD741" s="114"/>
      <c r="AE741" s="114"/>
      <c r="AF741" s="114"/>
      <c r="AM741" s="114"/>
      <c r="AN741" s="236"/>
      <c r="AO741" s="114"/>
    </row>
    <row r="742" ht="15.75" customHeight="1">
      <c r="C742" s="114"/>
      <c r="D742" s="114"/>
      <c r="E742" s="114"/>
      <c r="F742" s="114"/>
      <c r="G742" s="114"/>
      <c r="H742" s="114"/>
      <c r="I742" s="114"/>
      <c r="J742" s="114"/>
      <c r="K742" s="114"/>
      <c r="L742" s="114"/>
      <c r="M742" s="114"/>
      <c r="N742" s="114"/>
      <c r="O742" s="242"/>
      <c r="P742" s="243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  <c r="AB742" s="114"/>
      <c r="AC742" s="114"/>
      <c r="AD742" s="114"/>
      <c r="AE742" s="114"/>
      <c r="AF742" s="114"/>
      <c r="AM742" s="114"/>
      <c r="AN742" s="236"/>
      <c r="AO742" s="114"/>
    </row>
    <row r="743" ht="15.75" customHeight="1">
      <c r="C743" s="114"/>
      <c r="D743" s="114"/>
      <c r="E743" s="114"/>
      <c r="F743" s="114"/>
      <c r="G743" s="114"/>
      <c r="H743" s="114"/>
      <c r="I743" s="114"/>
      <c r="J743" s="114"/>
      <c r="K743" s="114"/>
      <c r="L743" s="114"/>
      <c r="M743" s="114"/>
      <c r="N743" s="114"/>
      <c r="O743" s="242"/>
      <c r="P743" s="243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  <c r="AB743" s="114"/>
      <c r="AC743" s="114"/>
      <c r="AD743" s="114"/>
      <c r="AE743" s="114"/>
      <c r="AF743" s="114"/>
      <c r="AM743" s="114"/>
      <c r="AN743" s="236"/>
      <c r="AO743" s="114"/>
    </row>
    <row r="744" ht="15.75" customHeight="1">
      <c r="C744" s="114"/>
      <c r="D744" s="114"/>
      <c r="E744" s="114"/>
      <c r="F744" s="114"/>
      <c r="G744" s="114"/>
      <c r="H744" s="114"/>
      <c r="I744" s="114"/>
      <c r="J744" s="114"/>
      <c r="K744" s="114"/>
      <c r="L744" s="114"/>
      <c r="M744" s="114"/>
      <c r="N744" s="114"/>
      <c r="O744" s="242"/>
      <c r="P744" s="243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  <c r="AB744" s="114"/>
      <c r="AC744" s="114"/>
      <c r="AD744" s="114"/>
      <c r="AE744" s="114"/>
      <c r="AF744" s="114"/>
      <c r="AM744" s="114"/>
      <c r="AN744" s="236"/>
      <c r="AO744" s="114"/>
    </row>
    <row r="745" ht="15.75" customHeight="1">
      <c r="C745" s="114"/>
      <c r="D745" s="114"/>
      <c r="E745" s="114"/>
      <c r="F745" s="114"/>
      <c r="G745" s="114"/>
      <c r="H745" s="114"/>
      <c r="I745" s="114"/>
      <c r="J745" s="114"/>
      <c r="K745" s="114"/>
      <c r="L745" s="114"/>
      <c r="M745" s="114"/>
      <c r="N745" s="114"/>
      <c r="O745" s="242"/>
      <c r="P745" s="243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  <c r="AA745" s="114"/>
      <c r="AB745" s="114"/>
      <c r="AC745" s="114"/>
      <c r="AD745" s="114"/>
      <c r="AE745" s="114"/>
      <c r="AF745" s="114"/>
      <c r="AM745" s="114"/>
      <c r="AN745" s="236"/>
      <c r="AO745" s="114"/>
    </row>
    <row r="746" ht="15.75" customHeight="1">
      <c r="C746" s="114"/>
      <c r="D746" s="114"/>
      <c r="E746" s="114"/>
      <c r="F746" s="114"/>
      <c r="G746" s="114"/>
      <c r="H746" s="114"/>
      <c r="I746" s="114"/>
      <c r="J746" s="114"/>
      <c r="K746" s="114"/>
      <c r="L746" s="114"/>
      <c r="M746" s="114"/>
      <c r="N746" s="114"/>
      <c r="O746" s="242"/>
      <c r="P746" s="243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  <c r="AB746" s="114"/>
      <c r="AC746" s="114"/>
      <c r="AD746" s="114"/>
      <c r="AE746" s="114"/>
      <c r="AF746" s="114"/>
      <c r="AM746" s="114"/>
      <c r="AN746" s="236"/>
      <c r="AO746" s="114"/>
    </row>
    <row r="747" ht="15.75" customHeight="1">
      <c r="C747" s="114"/>
      <c r="D747" s="114"/>
      <c r="E747" s="114"/>
      <c r="F747" s="114"/>
      <c r="G747" s="114"/>
      <c r="H747" s="114"/>
      <c r="I747" s="114"/>
      <c r="J747" s="114"/>
      <c r="K747" s="114"/>
      <c r="L747" s="114"/>
      <c r="M747" s="114"/>
      <c r="N747" s="114"/>
      <c r="O747" s="242"/>
      <c r="P747" s="243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  <c r="AB747" s="114"/>
      <c r="AC747" s="114"/>
      <c r="AD747" s="114"/>
      <c r="AE747" s="114"/>
      <c r="AF747" s="114"/>
      <c r="AM747" s="114"/>
      <c r="AN747" s="236"/>
      <c r="AO747" s="114"/>
    </row>
    <row r="748" ht="15.75" customHeight="1">
      <c r="C748" s="114"/>
      <c r="D748" s="114"/>
      <c r="E748" s="114"/>
      <c r="F748" s="114"/>
      <c r="G748" s="114"/>
      <c r="H748" s="114"/>
      <c r="I748" s="114"/>
      <c r="J748" s="114"/>
      <c r="K748" s="114"/>
      <c r="L748" s="114"/>
      <c r="M748" s="114"/>
      <c r="N748" s="114"/>
      <c r="O748" s="242"/>
      <c r="P748" s="243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  <c r="AB748" s="114"/>
      <c r="AC748" s="114"/>
      <c r="AD748" s="114"/>
      <c r="AE748" s="114"/>
      <c r="AF748" s="114"/>
      <c r="AM748" s="114"/>
      <c r="AN748" s="236"/>
      <c r="AO748" s="114"/>
    </row>
    <row r="749" ht="15.75" customHeight="1">
      <c r="C749" s="114"/>
      <c r="D749" s="114"/>
      <c r="E749" s="114"/>
      <c r="F749" s="114"/>
      <c r="G749" s="114"/>
      <c r="H749" s="114"/>
      <c r="I749" s="114"/>
      <c r="J749" s="114"/>
      <c r="K749" s="114"/>
      <c r="L749" s="114"/>
      <c r="M749" s="114"/>
      <c r="N749" s="114"/>
      <c r="O749" s="242"/>
      <c r="P749" s="243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  <c r="AA749" s="114"/>
      <c r="AB749" s="114"/>
      <c r="AC749" s="114"/>
      <c r="AD749" s="114"/>
      <c r="AE749" s="114"/>
      <c r="AF749" s="114"/>
      <c r="AM749" s="114"/>
      <c r="AN749" s="236"/>
      <c r="AO749" s="114"/>
    </row>
    <row r="750" ht="15.75" customHeight="1">
      <c r="C750" s="114"/>
      <c r="D750" s="114"/>
      <c r="E750" s="114"/>
      <c r="F750" s="114"/>
      <c r="G750" s="114"/>
      <c r="H750" s="114"/>
      <c r="I750" s="114"/>
      <c r="J750" s="114"/>
      <c r="K750" s="114"/>
      <c r="L750" s="114"/>
      <c r="M750" s="114"/>
      <c r="N750" s="114"/>
      <c r="O750" s="242"/>
      <c r="P750" s="243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  <c r="AB750" s="114"/>
      <c r="AC750" s="114"/>
      <c r="AD750" s="114"/>
      <c r="AE750" s="114"/>
      <c r="AF750" s="114"/>
      <c r="AM750" s="114"/>
      <c r="AN750" s="236"/>
      <c r="AO750" s="114"/>
    </row>
    <row r="751" ht="15.75" customHeight="1">
      <c r="C751" s="114"/>
      <c r="D751" s="114"/>
      <c r="E751" s="114"/>
      <c r="F751" s="114"/>
      <c r="G751" s="114"/>
      <c r="H751" s="114"/>
      <c r="I751" s="114"/>
      <c r="J751" s="114"/>
      <c r="K751" s="114"/>
      <c r="L751" s="114"/>
      <c r="M751" s="114"/>
      <c r="N751" s="114"/>
      <c r="O751" s="242"/>
      <c r="P751" s="243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  <c r="AB751" s="114"/>
      <c r="AC751" s="114"/>
      <c r="AD751" s="114"/>
      <c r="AE751" s="114"/>
      <c r="AF751" s="114"/>
      <c r="AM751" s="114"/>
      <c r="AN751" s="236"/>
      <c r="AO751" s="114"/>
    </row>
    <row r="752" ht="15.75" customHeight="1">
      <c r="C752" s="114"/>
      <c r="D752" s="114"/>
      <c r="E752" s="114"/>
      <c r="F752" s="114"/>
      <c r="G752" s="114"/>
      <c r="H752" s="114"/>
      <c r="I752" s="114"/>
      <c r="J752" s="114"/>
      <c r="K752" s="114"/>
      <c r="L752" s="114"/>
      <c r="M752" s="114"/>
      <c r="N752" s="114"/>
      <c r="O752" s="242"/>
      <c r="P752" s="243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  <c r="AB752" s="114"/>
      <c r="AC752" s="114"/>
      <c r="AD752" s="114"/>
      <c r="AE752" s="114"/>
      <c r="AF752" s="114"/>
      <c r="AM752" s="114"/>
      <c r="AN752" s="236"/>
      <c r="AO752" s="114"/>
    </row>
    <row r="753" ht="15.75" customHeight="1">
      <c r="C753" s="114"/>
      <c r="D753" s="114"/>
      <c r="E753" s="114"/>
      <c r="F753" s="114"/>
      <c r="G753" s="114"/>
      <c r="H753" s="114"/>
      <c r="I753" s="114"/>
      <c r="J753" s="114"/>
      <c r="K753" s="114"/>
      <c r="L753" s="114"/>
      <c r="M753" s="114"/>
      <c r="N753" s="114"/>
      <c r="O753" s="242"/>
      <c r="P753" s="243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  <c r="AB753" s="114"/>
      <c r="AC753" s="114"/>
      <c r="AD753" s="114"/>
      <c r="AE753" s="114"/>
      <c r="AF753" s="114"/>
      <c r="AM753" s="114"/>
      <c r="AN753" s="236"/>
      <c r="AO753" s="114"/>
    </row>
    <row r="754" ht="15.75" customHeight="1">
      <c r="C754" s="114"/>
      <c r="D754" s="114"/>
      <c r="E754" s="114"/>
      <c r="F754" s="114"/>
      <c r="G754" s="114"/>
      <c r="H754" s="114"/>
      <c r="I754" s="114"/>
      <c r="J754" s="114"/>
      <c r="K754" s="114"/>
      <c r="L754" s="114"/>
      <c r="M754" s="114"/>
      <c r="N754" s="114"/>
      <c r="O754" s="242"/>
      <c r="P754" s="243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  <c r="AB754" s="114"/>
      <c r="AC754" s="114"/>
      <c r="AD754" s="114"/>
      <c r="AE754" s="114"/>
      <c r="AF754" s="114"/>
      <c r="AM754" s="114"/>
      <c r="AN754" s="236"/>
      <c r="AO754" s="114"/>
    </row>
    <row r="755" ht="15.75" customHeight="1">
      <c r="C755" s="114"/>
      <c r="D755" s="114"/>
      <c r="E755" s="114"/>
      <c r="F755" s="114"/>
      <c r="G755" s="114"/>
      <c r="H755" s="114"/>
      <c r="I755" s="114"/>
      <c r="J755" s="114"/>
      <c r="K755" s="114"/>
      <c r="L755" s="114"/>
      <c r="M755" s="114"/>
      <c r="N755" s="114"/>
      <c r="O755" s="242"/>
      <c r="P755" s="243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  <c r="AB755" s="114"/>
      <c r="AC755" s="114"/>
      <c r="AD755" s="114"/>
      <c r="AE755" s="114"/>
      <c r="AF755" s="114"/>
      <c r="AM755" s="114"/>
      <c r="AN755" s="236"/>
      <c r="AO755" s="114"/>
    </row>
    <row r="756" ht="15.75" customHeight="1">
      <c r="C756" s="114"/>
      <c r="D756" s="114"/>
      <c r="E756" s="114"/>
      <c r="F756" s="114"/>
      <c r="G756" s="114"/>
      <c r="H756" s="114"/>
      <c r="I756" s="114"/>
      <c r="J756" s="114"/>
      <c r="K756" s="114"/>
      <c r="L756" s="114"/>
      <c r="M756" s="114"/>
      <c r="N756" s="114"/>
      <c r="O756" s="242"/>
      <c r="P756" s="243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  <c r="AB756" s="114"/>
      <c r="AC756" s="114"/>
      <c r="AD756" s="114"/>
      <c r="AE756" s="114"/>
      <c r="AF756" s="114"/>
      <c r="AM756" s="114"/>
      <c r="AN756" s="236"/>
      <c r="AO756" s="114"/>
    </row>
    <row r="757" ht="15.75" customHeight="1">
      <c r="C757" s="114"/>
      <c r="D757" s="114"/>
      <c r="E757" s="114"/>
      <c r="F757" s="114"/>
      <c r="G757" s="114"/>
      <c r="H757" s="114"/>
      <c r="I757" s="114"/>
      <c r="J757" s="114"/>
      <c r="K757" s="114"/>
      <c r="L757" s="114"/>
      <c r="M757" s="114"/>
      <c r="N757" s="114"/>
      <c r="O757" s="242"/>
      <c r="P757" s="243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  <c r="AB757" s="114"/>
      <c r="AC757" s="114"/>
      <c r="AD757" s="114"/>
      <c r="AE757" s="114"/>
      <c r="AF757" s="114"/>
      <c r="AM757" s="114"/>
      <c r="AN757" s="236"/>
      <c r="AO757" s="114"/>
    </row>
    <row r="758" ht="15.75" customHeight="1">
      <c r="C758" s="114"/>
      <c r="D758" s="114"/>
      <c r="E758" s="114"/>
      <c r="F758" s="114"/>
      <c r="G758" s="114"/>
      <c r="H758" s="114"/>
      <c r="I758" s="114"/>
      <c r="J758" s="114"/>
      <c r="K758" s="114"/>
      <c r="L758" s="114"/>
      <c r="M758" s="114"/>
      <c r="N758" s="114"/>
      <c r="O758" s="242"/>
      <c r="P758" s="243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  <c r="AB758" s="114"/>
      <c r="AC758" s="114"/>
      <c r="AD758" s="114"/>
      <c r="AE758" s="114"/>
      <c r="AF758" s="114"/>
      <c r="AM758" s="114"/>
      <c r="AN758" s="236"/>
      <c r="AO758" s="114"/>
    </row>
    <row r="759" ht="15.75" customHeight="1">
      <c r="C759" s="114"/>
      <c r="D759" s="114"/>
      <c r="E759" s="114"/>
      <c r="F759" s="114"/>
      <c r="G759" s="114"/>
      <c r="H759" s="114"/>
      <c r="I759" s="114"/>
      <c r="J759" s="114"/>
      <c r="K759" s="114"/>
      <c r="L759" s="114"/>
      <c r="M759" s="114"/>
      <c r="N759" s="114"/>
      <c r="O759" s="242"/>
      <c r="P759" s="243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  <c r="AB759" s="114"/>
      <c r="AC759" s="114"/>
      <c r="AD759" s="114"/>
      <c r="AE759" s="114"/>
      <c r="AF759" s="114"/>
      <c r="AM759" s="114"/>
      <c r="AN759" s="236"/>
      <c r="AO759" s="114"/>
    </row>
    <row r="760" ht="15.75" customHeight="1">
      <c r="C760" s="114"/>
      <c r="D760" s="114"/>
      <c r="E760" s="114"/>
      <c r="F760" s="114"/>
      <c r="G760" s="114"/>
      <c r="H760" s="114"/>
      <c r="I760" s="114"/>
      <c r="J760" s="114"/>
      <c r="K760" s="114"/>
      <c r="L760" s="114"/>
      <c r="M760" s="114"/>
      <c r="N760" s="114"/>
      <c r="O760" s="242"/>
      <c r="P760" s="243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114"/>
      <c r="AD760" s="114"/>
      <c r="AE760" s="114"/>
      <c r="AF760" s="114"/>
      <c r="AM760" s="114"/>
      <c r="AN760" s="236"/>
      <c r="AO760" s="114"/>
    </row>
    <row r="761" ht="15.75" customHeight="1">
      <c r="C761" s="114"/>
      <c r="D761" s="114"/>
      <c r="E761" s="114"/>
      <c r="F761" s="114"/>
      <c r="G761" s="114"/>
      <c r="H761" s="114"/>
      <c r="I761" s="114"/>
      <c r="J761" s="114"/>
      <c r="K761" s="114"/>
      <c r="L761" s="114"/>
      <c r="M761" s="114"/>
      <c r="N761" s="114"/>
      <c r="O761" s="242"/>
      <c r="P761" s="243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  <c r="AB761" s="114"/>
      <c r="AC761" s="114"/>
      <c r="AD761" s="114"/>
      <c r="AE761" s="114"/>
      <c r="AF761" s="114"/>
      <c r="AM761" s="114"/>
      <c r="AN761" s="236"/>
      <c r="AO761" s="114"/>
    </row>
    <row r="762" ht="15.75" customHeight="1">
      <c r="C762" s="114"/>
      <c r="D762" s="114"/>
      <c r="E762" s="114"/>
      <c r="F762" s="114"/>
      <c r="G762" s="114"/>
      <c r="H762" s="114"/>
      <c r="I762" s="114"/>
      <c r="J762" s="114"/>
      <c r="K762" s="114"/>
      <c r="L762" s="114"/>
      <c r="M762" s="114"/>
      <c r="N762" s="114"/>
      <c r="O762" s="242"/>
      <c r="P762" s="243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  <c r="AB762" s="114"/>
      <c r="AC762" s="114"/>
      <c r="AD762" s="114"/>
      <c r="AE762" s="114"/>
      <c r="AF762" s="114"/>
      <c r="AM762" s="114"/>
      <c r="AN762" s="236"/>
      <c r="AO762" s="114"/>
    </row>
    <row r="763" ht="15.75" customHeight="1">
      <c r="C763" s="114"/>
      <c r="D763" s="114"/>
      <c r="E763" s="114"/>
      <c r="F763" s="114"/>
      <c r="G763" s="114"/>
      <c r="H763" s="114"/>
      <c r="I763" s="114"/>
      <c r="J763" s="114"/>
      <c r="K763" s="114"/>
      <c r="L763" s="114"/>
      <c r="M763" s="114"/>
      <c r="N763" s="114"/>
      <c r="O763" s="242"/>
      <c r="P763" s="243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  <c r="AB763" s="114"/>
      <c r="AC763" s="114"/>
      <c r="AD763" s="114"/>
      <c r="AE763" s="114"/>
      <c r="AF763" s="114"/>
      <c r="AM763" s="114"/>
      <c r="AN763" s="236"/>
      <c r="AO763" s="114"/>
    </row>
    <row r="764" ht="15.75" customHeight="1">
      <c r="C764" s="114"/>
      <c r="D764" s="114"/>
      <c r="E764" s="114"/>
      <c r="F764" s="114"/>
      <c r="G764" s="114"/>
      <c r="H764" s="114"/>
      <c r="I764" s="114"/>
      <c r="J764" s="114"/>
      <c r="K764" s="114"/>
      <c r="L764" s="114"/>
      <c r="M764" s="114"/>
      <c r="N764" s="114"/>
      <c r="O764" s="242"/>
      <c r="P764" s="243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  <c r="AB764" s="114"/>
      <c r="AC764" s="114"/>
      <c r="AD764" s="114"/>
      <c r="AE764" s="114"/>
      <c r="AF764" s="114"/>
      <c r="AM764" s="114"/>
      <c r="AN764" s="236"/>
      <c r="AO764" s="114"/>
    </row>
    <row r="765" ht="15.75" customHeight="1">
      <c r="C765" s="114"/>
      <c r="D765" s="114"/>
      <c r="E765" s="114"/>
      <c r="F765" s="114"/>
      <c r="G765" s="114"/>
      <c r="H765" s="114"/>
      <c r="I765" s="114"/>
      <c r="J765" s="114"/>
      <c r="K765" s="114"/>
      <c r="L765" s="114"/>
      <c r="M765" s="114"/>
      <c r="N765" s="114"/>
      <c r="O765" s="242"/>
      <c r="P765" s="243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  <c r="AB765" s="114"/>
      <c r="AC765" s="114"/>
      <c r="AD765" s="114"/>
      <c r="AE765" s="114"/>
      <c r="AF765" s="114"/>
      <c r="AM765" s="114"/>
      <c r="AN765" s="236"/>
      <c r="AO765" s="114"/>
    </row>
    <row r="766" ht="15.75" customHeight="1">
      <c r="C766" s="114"/>
      <c r="D766" s="114"/>
      <c r="E766" s="114"/>
      <c r="F766" s="114"/>
      <c r="G766" s="114"/>
      <c r="H766" s="114"/>
      <c r="I766" s="114"/>
      <c r="J766" s="114"/>
      <c r="K766" s="114"/>
      <c r="L766" s="114"/>
      <c r="M766" s="114"/>
      <c r="N766" s="114"/>
      <c r="O766" s="242"/>
      <c r="P766" s="243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  <c r="AB766" s="114"/>
      <c r="AC766" s="114"/>
      <c r="AD766" s="114"/>
      <c r="AE766" s="114"/>
      <c r="AF766" s="114"/>
      <c r="AM766" s="114"/>
      <c r="AN766" s="236"/>
      <c r="AO766" s="114"/>
    </row>
    <row r="767" ht="15.75" customHeight="1">
      <c r="C767" s="114"/>
      <c r="D767" s="114"/>
      <c r="E767" s="114"/>
      <c r="F767" s="114"/>
      <c r="G767" s="114"/>
      <c r="H767" s="114"/>
      <c r="I767" s="114"/>
      <c r="J767" s="114"/>
      <c r="K767" s="114"/>
      <c r="L767" s="114"/>
      <c r="M767" s="114"/>
      <c r="N767" s="114"/>
      <c r="O767" s="242"/>
      <c r="P767" s="243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  <c r="AB767" s="114"/>
      <c r="AC767" s="114"/>
      <c r="AD767" s="114"/>
      <c r="AE767" s="114"/>
      <c r="AF767" s="114"/>
      <c r="AM767" s="114"/>
      <c r="AN767" s="236"/>
      <c r="AO767" s="114"/>
    </row>
    <row r="768" ht="15.75" customHeight="1">
      <c r="C768" s="114"/>
      <c r="D768" s="114"/>
      <c r="E768" s="114"/>
      <c r="F768" s="114"/>
      <c r="G768" s="114"/>
      <c r="H768" s="114"/>
      <c r="I768" s="114"/>
      <c r="J768" s="114"/>
      <c r="K768" s="114"/>
      <c r="L768" s="114"/>
      <c r="M768" s="114"/>
      <c r="N768" s="114"/>
      <c r="O768" s="242"/>
      <c r="P768" s="243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  <c r="AA768" s="114"/>
      <c r="AB768" s="114"/>
      <c r="AC768" s="114"/>
      <c r="AD768" s="114"/>
      <c r="AE768" s="114"/>
      <c r="AF768" s="114"/>
      <c r="AM768" s="114"/>
      <c r="AN768" s="236"/>
      <c r="AO768" s="114"/>
    </row>
    <row r="769" ht="15.75" customHeight="1">
      <c r="C769" s="114"/>
      <c r="D769" s="114"/>
      <c r="E769" s="114"/>
      <c r="F769" s="114"/>
      <c r="G769" s="114"/>
      <c r="H769" s="114"/>
      <c r="I769" s="114"/>
      <c r="J769" s="114"/>
      <c r="K769" s="114"/>
      <c r="L769" s="114"/>
      <c r="M769" s="114"/>
      <c r="N769" s="114"/>
      <c r="O769" s="242"/>
      <c r="P769" s="243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  <c r="AB769" s="114"/>
      <c r="AC769" s="114"/>
      <c r="AD769" s="114"/>
      <c r="AE769" s="114"/>
      <c r="AF769" s="114"/>
      <c r="AM769" s="114"/>
      <c r="AN769" s="236"/>
      <c r="AO769" s="114"/>
    </row>
    <row r="770" ht="15.75" customHeight="1">
      <c r="C770" s="114"/>
      <c r="D770" s="114"/>
      <c r="E770" s="114"/>
      <c r="F770" s="114"/>
      <c r="G770" s="114"/>
      <c r="H770" s="114"/>
      <c r="I770" s="114"/>
      <c r="J770" s="114"/>
      <c r="K770" s="114"/>
      <c r="L770" s="114"/>
      <c r="M770" s="114"/>
      <c r="N770" s="114"/>
      <c r="O770" s="242"/>
      <c r="P770" s="243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  <c r="AB770" s="114"/>
      <c r="AC770" s="114"/>
      <c r="AD770" s="114"/>
      <c r="AE770" s="114"/>
      <c r="AF770" s="114"/>
      <c r="AM770" s="114"/>
      <c r="AN770" s="236"/>
      <c r="AO770" s="114"/>
    </row>
    <row r="771" ht="15.75" customHeight="1">
      <c r="C771" s="114"/>
      <c r="D771" s="114"/>
      <c r="E771" s="114"/>
      <c r="F771" s="114"/>
      <c r="G771" s="114"/>
      <c r="H771" s="114"/>
      <c r="I771" s="114"/>
      <c r="J771" s="114"/>
      <c r="K771" s="114"/>
      <c r="L771" s="114"/>
      <c r="M771" s="114"/>
      <c r="N771" s="114"/>
      <c r="O771" s="242"/>
      <c r="P771" s="243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  <c r="AA771" s="114"/>
      <c r="AB771" s="114"/>
      <c r="AC771" s="114"/>
      <c r="AD771" s="114"/>
      <c r="AE771" s="114"/>
      <c r="AF771" s="114"/>
      <c r="AM771" s="114"/>
      <c r="AN771" s="236"/>
      <c r="AO771" s="114"/>
    </row>
    <row r="772" ht="15.75" customHeight="1">
      <c r="C772" s="114"/>
      <c r="D772" s="114"/>
      <c r="E772" s="114"/>
      <c r="F772" s="114"/>
      <c r="G772" s="114"/>
      <c r="H772" s="114"/>
      <c r="I772" s="114"/>
      <c r="J772" s="114"/>
      <c r="K772" s="114"/>
      <c r="L772" s="114"/>
      <c r="M772" s="114"/>
      <c r="N772" s="114"/>
      <c r="O772" s="242"/>
      <c r="P772" s="243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  <c r="AB772" s="114"/>
      <c r="AC772" s="114"/>
      <c r="AD772" s="114"/>
      <c r="AE772" s="114"/>
      <c r="AF772" s="114"/>
      <c r="AM772" s="114"/>
      <c r="AN772" s="236"/>
      <c r="AO772" s="114"/>
    </row>
    <row r="773" ht="15.75" customHeight="1">
      <c r="C773" s="114"/>
      <c r="D773" s="114"/>
      <c r="E773" s="114"/>
      <c r="F773" s="114"/>
      <c r="G773" s="114"/>
      <c r="H773" s="114"/>
      <c r="I773" s="114"/>
      <c r="J773" s="114"/>
      <c r="K773" s="114"/>
      <c r="L773" s="114"/>
      <c r="M773" s="114"/>
      <c r="N773" s="114"/>
      <c r="O773" s="242"/>
      <c r="P773" s="243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  <c r="AB773" s="114"/>
      <c r="AC773" s="114"/>
      <c r="AD773" s="114"/>
      <c r="AE773" s="114"/>
      <c r="AF773" s="114"/>
      <c r="AM773" s="114"/>
      <c r="AN773" s="236"/>
      <c r="AO773" s="114"/>
    </row>
    <row r="774" ht="15.75" customHeight="1">
      <c r="C774" s="114"/>
      <c r="D774" s="114"/>
      <c r="E774" s="114"/>
      <c r="F774" s="114"/>
      <c r="G774" s="114"/>
      <c r="H774" s="114"/>
      <c r="I774" s="114"/>
      <c r="J774" s="114"/>
      <c r="K774" s="114"/>
      <c r="L774" s="114"/>
      <c r="M774" s="114"/>
      <c r="N774" s="114"/>
      <c r="O774" s="242"/>
      <c r="P774" s="243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  <c r="AB774" s="114"/>
      <c r="AC774" s="114"/>
      <c r="AD774" s="114"/>
      <c r="AE774" s="114"/>
      <c r="AF774" s="114"/>
      <c r="AM774" s="114"/>
      <c r="AN774" s="236"/>
      <c r="AO774" s="114"/>
    </row>
    <row r="775" ht="15.75" customHeight="1">
      <c r="C775" s="114"/>
      <c r="D775" s="114"/>
      <c r="E775" s="114"/>
      <c r="F775" s="114"/>
      <c r="G775" s="114"/>
      <c r="H775" s="114"/>
      <c r="I775" s="114"/>
      <c r="J775" s="114"/>
      <c r="K775" s="114"/>
      <c r="L775" s="114"/>
      <c r="M775" s="114"/>
      <c r="N775" s="114"/>
      <c r="O775" s="242"/>
      <c r="P775" s="243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  <c r="AB775" s="114"/>
      <c r="AC775" s="114"/>
      <c r="AD775" s="114"/>
      <c r="AE775" s="114"/>
      <c r="AF775" s="114"/>
      <c r="AM775" s="114"/>
      <c r="AN775" s="236"/>
      <c r="AO775" s="114"/>
    </row>
    <row r="776" ht="15.75" customHeight="1">
      <c r="C776" s="114"/>
      <c r="D776" s="114"/>
      <c r="E776" s="114"/>
      <c r="F776" s="114"/>
      <c r="G776" s="114"/>
      <c r="H776" s="114"/>
      <c r="I776" s="114"/>
      <c r="J776" s="114"/>
      <c r="K776" s="114"/>
      <c r="L776" s="114"/>
      <c r="M776" s="114"/>
      <c r="N776" s="114"/>
      <c r="O776" s="242"/>
      <c r="P776" s="243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  <c r="AB776" s="114"/>
      <c r="AC776" s="114"/>
      <c r="AD776" s="114"/>
      <c r="AE776" s="114"/>
      <c r="AF776" s="114"/>
      <c r="AM776" s="114"/>
      <c r="AN776" s="236"/>
      <c r="AO776" s="114"/>
    </row>
    <row r="777" ht="15.75" customHeight="1">
      <c r="C777" s="114"/>
      <c r="D777" s="114"/>
      <c r="E777" s="114"/>
      <c r="F777" s="114"/>
      <c r="G777" s="114"/>
      <c r="H777" s="114"/>
      <c r="I777" s="114"/>
      <c r="J777" s="114"/>
      <c r="K777" s="114"/>
      <c r="L777" s="114"/>
      <c r="M777" s="114"/>
      <c r="N777" s="114"/>
      <c r="O777" s="242"/>
      <c r="P777" s="243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  <c r="AB777" s="114"/>
      <c r="AC777" s="114"/>
      <c r="AD777" s="114"/>
      <c r="AE777" s="114"/>
      <c r="AF777" s="114"/>
      <c r="AM777" s="114"/>
      <c r="AN777" s="236"/>
      <c r="AO777" s="114"/>
    </row>
    <row r="778" ht="15.75" customHeight="1">
      <c r="C778" s="114"/>
      <c r="D778" s="114"/>
      <c r="E778" s="114"/>
      <c r="F778" s="114"/>
      <c r="G778" s="114"/>
      <c r="H778" s="114"/>
      <c r="I778" s="114"/>
      <c r="J778" s="114"/>
      <c r="K778" s="114"/>
      <c r="L778" s="114"/>
      <c r="M778" s="114"/>
      <c r="N778" s="114"/>
      <c r="O778" s="242"/>
      <c r="P778" s="243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  <c r="AB778" s="114"/>
      <c r="AC778" s="114"/>
      <c r="AD778" s="114"/>
      <c r="AE778" s="114"/>
      <c r="AF778" s="114"/>
      <c r="AM778" s="114"/>
      <c r="AN778" s="236"/>
      <c r="AO778" s="114"/>
    </row>
    <row r="779" ht="15.75" customHeight="1">
      <c r="C779" s="114"/>
      <c r="D779" s="114"/>
      <c r="E779" s="114"/>
      <c r="F779" s="114"/>
      <c r="G779" s="114"/>
      <c r="H779" s="114"/>
      <c r="I779" s="114"/>
      <c r="J779" s="114"/>
      <c r="K779" s="114"/>
      <c r="L779" s="114"/>
      <c r="M779" s="114"/>
      <c r="N779" s="114"/>
      <c r="O779" s="242"/>
      <c r="P779" s="243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  <c r="AB779" s="114"/>
      <c r="AC779" s="114"/>
      <c r="AD779" s="114"/>
      <c r="AE779" s="114"/>
      <c r="AF779" s="114"/>
      <c r="AM779" s="114"/>
      <c r="AN779" s="236"/>
      <c r="AO779" s="114"/>
    </row>
    <row r="780" ht="15.75" customHeight="1">
      <c r="C780" s="114"/>
      <c r="D780" s="114"/>
      <c r="E780" s="114"/>
      <c r="F780" s="114"/>
      <c r="G780" s="114"/>
      <c r="H780" s="114"/>
      <c r="I780" s="114"/>
      <c r="J780" s="114"/>
      <c r="K780" s="114"/>
      <c r="L780" s="114"/>
      <c r="M780" s="114"/>
      <c r="N780" s="114"/>
      <c r="O780" s="242"/>
      <c r="P780" s="243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  <c r="AB780" s="114"/>
      <c r="AC780" s="114"/>
      <c r="AD780" s="114"/>
      <c r="AE780" s="114"/>
      <c r="AF780" s="114"/>
      <c r="AM780" s="114"/>
      <c r="AN780" s="236"/>
      <c r="AO780" s="114"/>
    </row>
    <row r="781" ht="15.75" customHeight="1">
      <c r="C781" s="114"/>
      <c r="D781" s="114"/>
      <c r="E781" s="114"/>
      <c r="F781" s="114"/>
      <c r="G781" s="114"/>
      <c r="H781" s="114"/>
      <c r="I781" s="114"/>
      <c r="J781" s="114"/>
      <c r="K781" s="114"/>
      <c r="L781" s="114"/>
      <c r="M781" s="114"/>
      <c r="N781" s="114"/>
      <c r="O781" s="242"/>
      <c r="P781" s="243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  <c r="AB781" s="114"/>
      <c r="AC781" s="114"/>
      <c r="AD781" s="114"/>
      <c r="AE781" s="114"/>
      <c r="AF781" s="114"/>
      <c r="AM781" s="114"/>
      <c r="AN781" s="236"/>
      <c r="AO781" s="114"/>
    </row>
    <row r="782" ht="15.75" customHeight="1">
      <c r="C782" s="114"/>
      <c r="D782" s="114"/>
      <c r="E782" s="114"/>
      <c r="F782" s="114"/>
      <c r="G782" s="114"/>
      <c r="H782" s="114"/>
      <c r="I782" s="114"/>
      <c r="J782" s="114"/>
      <c r="K782" s="114"/>
      <c r="L782" s="114"/>
      <c r="M782" s="114"/>
      <c r="N782" s="114"/>
      <c r="O782" s="242"/>
      <c r="P782" s="243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  <c r="AB782" s="114"/>
      <c r="AC782" s="114"/>
      <c r="AD782" s="114"/>
      <c r="AE782" s="114"/>
      <c r="AF782" s="114"/>
      <c r="AM782" s="114"/>
      <c r="AN782" s="236"/>
      <c r="AO782" s="114"/>
    </row>
    <row r="783" ht="15.75" customHeight="1">
      <c r="C783" s="114"/>
      <c r="D783" s="114"/>
      <c r="E783" s="114"/>
      <c r="F783" s="114"/>
      <c r="G783" s="114"/>
      <c r="H783" s="114"/>
      <c r="I783" s="114"/>
      <c r="J783" s="114"/>
      <c r="K783" s="114"/>
      <c r="L783" s="114"/>
      <c r="M783" s="114"/>
      <c r="N783" s="114"/>
      <c r="O783" s="242"/>
      <c r="P783" s="243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  <c r="AB783" s="114"/>
      <c r="AC783" s="114"/>
      <c r="AD783" s="114"/>
      <c r="AE783" s="114"/>
      <c r="AF783" s="114"/>
      <c r="AM783" s="114"/>
      <c r="AN783" s="236"/>
      <c r="AO783" s="114"/>
    </row>
    <row r="784" ht="15.75" customHeight="1">
      <c r="C784" s="114"/>
      <c r="D784" s="114"/>
      <c r="E784" s="114"/>
      <c r="F784" s="114"/>
      <c r="G784" s="114"/>
      <c r="H784" s="114"/>
      <c r="I784" s="114"/>
      <c r="J784" s="114"/>
      <c r="K784" s="114"/>
      <c r="L784" s="114"/>
      <c r="M784" s="114"/>
      <c r="N784" s="114"/>
      <c r="O784" s="242"/>
      <c r="P784" s="243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  <c r="AA784" s="114"/>
      <c r="AB784" s="114"/>
      <c r="AC784" s="114"/>
      <c r="AD784" s="114"/>
      <c r="AE784" s="114"/>
      <c r="AF784" s="114"/>
      <c r="AM784" s="114"/>
      <c r="AN784" s="236"/>
      <c r="AO784" s="114"/>
    </row>
    <row r="785" ht="15.75" customHeight="1">
      <c r="C785" s="114"/>
      <c r="D785" s="114"/>
      <c r="E785" s="114"/>
      <c r="F785" s="114"/>
      <c r="G785" s="114"/>
      <c r="H785" s="114"/>
      <c r="I785" s="114"/>
      <c r="J785" s="114"/>
      <c r="K785" s="114"/>
      <c r="L785" s="114"/>
      <c r="M785" s="114"/>
      <c r="N785" s="114"/>
      <c r="O785" s="242"/>
      <c r="P785" s="243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  <c r="AB785" s="114"/>
      <c r="AC785" s="114"/>
      <c r="AD785" s="114"/>
      <c r="AE785" s="114"/>
      <c r="AF785" s="114"/>
      <c r="AM785" s="114"/>
      <c r="AN785" s="236"/>
      <c r="AO785" s="114"/>
    </row>
    <row r="786" ht="15.75" customHeight="1">
      <c r="C786" s="114"/>
      <c r="D786" s="114"/>
      <c r="E786" s="114"/>
      <c r="F786" s="114"/>
      <c r="G786" s="114"/>
      <c r="H786" s="114"/>
      <c r="I786" s="114"/>
      <c r="J786" s="114"/>
      <c r="K786" s="114"/>
      <c r="L786" s="114"/>
      <c r="M786" s="114"/>
      <c r="N786" s="114"/>
      <c r="O786" s="242"/>
      <c r="P786" s="243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  <c r="AB786" s="114"/>
      <c r="AC786" s="114"/>
      <c r="AD786" s="114"/>
      <c r="AE786" s="114"/>
      <c r="AF786" s="114"/>
      <c r="AM786" s="114"/>
      <c r="AN786" s="236"/>
      <c r="AO786" s="114"/>
    </row>
    <row r="787" ht="15.75" customHeight="1">
      <c r="C787" s="114"/>
      <c r="D787" s="114"/>
      <c r="E787" s="114"/>
      <c r="F787" s="114"/>
      <c r="G787" s="114"/>
      <c r="H787" s="114"/>
      <c r="I787" s="114"/>
      <c r="J787" s="114"/>
      <c r="K787" s="114"/>
      <c r="L787" s="114"/>
      <c r="M787" s="114"/>
      <c r="N787" s="114"/>
      <c r="O787" s="242"/>
      <c r="P787" s="243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  <c r="AA787" s="114"/>
      <c r="AB787" s="114"/>
      <c r="AC787" s="114"/>
      <c r="AD787" s="114"/>
      <c r="AE787" s="114"/>
      <c r="AF787" s="114"/>
      <c r="AM787" s="114"/>
      <c r="AN787" s="236"/>
      <c r="AO787" s="114"/>
    </row>
    <row r="788" ht="15.75" customHeight="1">
      <c r="C788" s="114"/>
      <c r="D788" s="114"/>
      <c r="E788" s="114"/>
      <c r="F788" s="114"/>
      <c r="G788" s="114"/>
      <c r="H788" s="114"/>
      <c r="I788" s="114"/>
      <c r="J788" s="114"/>
      <c r="K788" s="114"/>
      <c r="L788" s="114"/>
      <c r="M788" s="114"/>
      <c r="N788" s="114"/>
      <c r="O788" s="242"/>
      <c r="P788" s="243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  <c r="AB788" s="114"/>
      <c r="AC788" s="114"/>
      <c r="AD788" s="114"/>
      <c r="AE788" s="114"/>
      <c r="AF788" s="114"/>
      <c r="AM788" s="114"/>
      <c r="AN788" s="236"/>
      <c r="AO788" s="114"/>
    </row>
    <row r="789" ht="15.75" customHeight="1">
      <c r="C789" s="114"/>
      <c r="D789" s="114"/>
      <c r="E789" s="114"/>
      <c r="F789" s="114"/>
      <c r="G789" s="114"/>
      <c r="H789" s="114"/>
      <c r="I789" s="114"/>
      <c r="J789" s="114"/>
      <c r="K789" s="114"/>
      <c r="L789" s="114"/>
      <c r="M789" s="114"/>
      <c r="N789" s="114"/>
      <c r="O789" s="242"/>
      <c r="P789" s="243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  <c r="AB789" s="114"/>
      <c r="AC789" s="114"/>
      <c r="AD789" s="114"/>
      <c r="AE789" s="114"/>
      <c r="AF789" s="114"/>
      <c r="AM789" s="114"/>
      <c r="AN789" s="236"/>
      <c r="AO789" s="114"/>
    </row>
    <row r="790" ht="15.75" customHeight="1">
      <c r="C790" s="114"/>
      <c r="D790" s="114"/>
      <c r="E790" s="114"/>
      <c r="F790" s="114"/>
      <c r="G790" s="114"/>
      <c r="H790" s="114"/>
      <c r="I790" s="114"/>
      <c r="J790" s="114"/>
      <c r="K790" s="114"/>
      <c r="L790" s="114"/>
      <c r="M790" s="114"/>
      <c r="N790" s="114"/>
      <c r="O790" s="242"/>
      <c r="P790" s="243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  <c r="AB790" s="114"/>
      <c r="AC790" s="114"/>
      <c r="AD790" s="114"/>
      <c r="AE790" s="114"/>
      <c r="AF790" s="114"/>
      <c r="AM790" s="114"/>
      <c r="AN790" s="236"/>
      <c r="AO790" s="114"/>
    </row>
    <row r="791" ht="15.75" customHeight="1">
      <c r="C791" s="114"/>
      <c r="D791" s="114"/>
      <c r="E791" s="114"/>
      <c r="F791" s="114"/>
      <c r="G791" s="114"/>
      <c r="H791" s="114"/>
      <c r="I791" s="114"/>
      <c r="J791" s="114"/>
      <c r="K791" s="114"/>
      <c r="L791" s="114"/>
      <c r="M791" s="114"/>
      <c r="N791" s="114"/>
      <c r="O791" s="242"/>
      <c r="P791" s="243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  <c r="AB791" s="114"/>
      <c r="AC791" s="114"/>
      <c r="AD791" s="114"/>
      <c r="AE791" s="114"/>
      <c r="AF791" s="114"/>
      <c r="AM791" s="114"/>
      <c r="AN791" s="236"/>
      <c r="AO791" s="114"/>
    </row>
    <row r="792" ht="15.75" customHeight="1">
      <c r="C792" s="114"/>
      <c r="D792" s="114"/>
      <c r="E792" s="114"/>
      <c r="F792" s="114"/>
      <c r="G792" s="114"/>
      <c r="H792" s="114"/>
      <c r="I792" s="114"/>
      <c r="J792" s="114"/>
      <c r="K792" s="114"/>
      <c r="L792" s="114"/>
      <c r="M792" s="114"/>
      <c r="N792" s="114"/>
      <c r="O792" s="242"/>
      <c r="P792" s="243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  <c r="AB792" s="114"/>
      <c r="AC792" s="114"/>
      <c r="AD792" s="114"/>
      <c r="AE792" s="114"/>
      <c r="AF792" s="114"/>
      <c r="AM792" s="114"/>
      <c r="AN792" s="236"/>
      <c r="AO792" s="114"/>
    </row>
    <row r="793" ht="15.75" customHeight="1">
      <c r="C793" s="114"/>
      <c r="D793" s="114"/>
      <c r="E793" s="114"/>
      <c r="F793" s="114"/>
      <c r="G793" s="114"/>
      <c r="H793" s="114"/>
      <c r="I793" s="114"/>
      <c r="J793" s="114"/>
      <c r="K793" s="114"/>
      <c r="L793" s="114"/>
      <c r="M793" s="114"/>
      <c r="N793" s="114"/>
      <c r="O793" s="242"/>
      <c r="P793" s="243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  <c r="AB793" s="114"/>
      <c r="AC793" s="114"/>
      <c r="AD793" s="114"/>
      <c r="AE793" s="114"/>
      <c r="AF793" s="114"/>
      <c r="AM793" s="114"/>
      <c r="AN793" s="236"/>
      <c r="AO793" s="114"/>
    </row>
    <row r="794" ht="15.75" customHeight="1">
      <c r="C794" s="114"/>
      <c r="D794" s="114"/>
      <c r="E794" s="114"/>
      <c r="F794" s="114"/>
      <c r="G794" s="114"/>
      <c r="H794" s="114"/>
      <c r="I794" s="114"/>
      <c r="J794" s="114"/>
      <c r="K794" s="114"/>
      <c r="L794" s="114"/>
      <c r="M794" s="114"/>
      <c r="N794" s="114"/>
      <c r="O794" s="242"/>
      <c r="P794" s="243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  <c r="AB794" s="114"/>
      <c r="AC794" s="114"/>
      <c r="AD794" s="114"/>
      <c r="AE794" s="114"/>
      <c r="AF794" s="114"/>
      <c r="AM794" s="114"/>
      <c r="AN794" s="236"/>
      <c r="AO794" s="114"/>
    </row>
    <row r="795" ht="15.75" customHeight="1">
      <c r="C795" s="114"/>
      <c r="D795" s="114"/>
      <c r="E795" s="114"/>
      <c r="F795" s="114"/>
      <c r="G795" s="114"/>
      <c r="H795" s="114"/>
      <c r="I795" s="114"/>
      <c r="J795" s="114"/>
      <c r="K795" s="114"/>
      <c r="L795" s="114"/>
      <c r="M795" s="114"/>
      <c r="N795" s="114"/>
      <c r="O795" s="242"/>
      <c r="P795" s="243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  <c r="AB795" s="114"/>
      <c r="AC795" s="114"/>
      <c r="AD795" s="114"/>
      <c r="AE795" s="114"/>
      <c r="AF795" s="114"/>
      <c r="AM795" s="114"/>
      <c r="AN795" s="236"/>
      <c r="AO795" s="114"/>
    </row>
    <row r="796" ht="15.75" customHeight="1">
      <c r="C796" s="114"/>
      <c r="D796" s="114"/>
      <c r="E796" s="114"/>
      <c r="F796" s="114"/>
      <c r="G796" s="114"/>
      <c r="H796" s="114"/>
      <c r="I796" s="114"/>
      <c r="J796" s="114"/>
      <c r="K796" s="114"/>
      <c r="L796" s="114"/>
      <c r="M796" s="114"/>
      <c r="N796" s="114"/>
      <c r="O796" s="242"/>
      <c r="P796" s="243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  <c r="AB796" s="114"/>
      <c r="AC796" s="114"/>
      <c r="AD796" s="114"/>
      <c r="AE796" s="114"/>
      <c r="AF796" s="114"/>
      <c r="AM796" s="114"/>
      <c r="AN796" s="236"/>
      <c r="AO796" s="114"/>
    </row>
    <row r="797" ht="15.75" customHeight="1">
      <c r="C797" s="114"/>
      <c r="D797" s="114"/>
      <c r="E797" s="114"/>
      <c r="F797" s="114"/>
      <c r="G797" s="114"/>
      <c r="H797" s="114"/>
      <c r="I797" s="114"/>
      <c r="J797" s="114"/>
      <c r="K797" s="114"/>
      <c r="L797" s="114"/>
      <c r="M797" s="114"/>
      <c r="N797" s="114"/>
      <c r="O797" s="242"/>
      <c r="P797" s="243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  <c r="AB797" s="114"/>
      <c r="AC797" s="114"/>
      <c r="AD797" s="114"/>
      <c r="AE797" s="114"/>
      <c r="AF797" s="114"/>
      <c r="AM797" s="114"/>
      <c r="AN797" s="236"/>
      <c r="AO797" s="114"/>
    </row>
    <row r="798" ht="15.75" customHeight="1">
      <c r="C798" s="114"/>
      <c r="D798" s="114"/>
      <c r="E798" s="114"/>
      <c r="F798" s="114"/>
      <c r="G798" s="114"/>
      <c r="H798" s="114"/>
      <c r="I798" s="114"/>
      <c r="J798" s="114"/>
      <c r="K798" s="114"/>
      <c r="L798" s="114"/>
      <c r="M798" s="114"/>
      <c r="N798" s="114"/>
      <c r="O798" s="242"/>
      <c r="P798" s="243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  <c r="AB798" s="114"/>
      <c r="AC798" s="114"/>
      <c r="AD798" s="114"/>
      <c r="AE798" s="114"/>
      <c r="AF798" s="114"/>
      <c r="AM798" s="114"/>
      <c r="AN798" s="236"/>
      <c r="AO798" s="114"/>
    </row>
    <row r="799" ht="15.75" customHeight="1">
      <c r="C799" s="114"/>
      <c r="D799" s="114"/>
      <c r="E799" s="114"/>
      <c r="F799" s="114"/>
      <c r="G799" s="114"/>
      <c r="H799" s="114"/>
      <c r="I799" s="114"/>
      <c r="J799" s="114"/>
      <c r="K799" s="114"/>
      <c r="L799" s="114"/>
      <c r="M799" s="114"/>
      <c r="N799" s="114"/>
      <c r="O799" s="242"/>
      <c r="P799" s="243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  <c r="AB799" s="114"/>
      <c r="AC799" s="114"/>
      <c r="AD799" s="114"/>
      <c r="AE799" s="114"/>
      <c r="AF799" s="114"/>
      <c r="AM799" s="114"/>
      <c r="AN799" s="236"/>
      <c r="AO799" s="114"/>
    </row>
    <row r="800" ht="15.75" customHeight="1">
      <c r="C800" s="114"/>
      <c r="D800" s="114"/>
      <c r="E800" s="114"/>
      <c r="F800" s="114"/>
      <c r="G800" s="114"/>
      <c r="H800" s="114"/>
      <c r="I800" s="114"/>
      <c r="J800" s="114"/>
      <c r="K800" s="114"/>
      <c r="L800" s="114"/>
      <c r="M800" s="114"/>
      <c r="N800" s="114"/>
      <c r="O800" s="242"/>
      <c r="P800" s="243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  <c r="AA800" s="114"/>
      <c r="AB800" s="114"/>
      <c r="AC800" s="114"/>
      <c r="AD800" s="114"/>
      <c r="AE800" s="114"/>
      <c r="AF800" s="114"/>
      <c r="AM800" s="114"/>
      <c r="AN800" s="236"/>
      <c r="AO800" s="114"/>
    </row>
    <row r="801" ht="15.75" customHeight="1">
      <c r="C801" s="114"/>
      <c r="D801" s="114"/>
      <c r="E801" s="114"/>
      <c r="F801" s="114"/>
      <c r="G801" s="114"/>
      <c r="H801" s="114"/>
      <c r="I801" s="114"/>
      <c r="J801" s="114"/>
      <c r="K801" s="114"/>
      <c r="L801" s="114"/>
      <c r="M801" s="114"/>
      <c r="N801" s="114"/>
      <c r="O801" s="242"/>
      <c r="P801" s="243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  <c r="AB801" s="114"/>
      <c r="AC801" s="114"/>
      <c r="AD801" s="114"/>
      <c r="AE801" s="114"/>
      <c r="AF801" s="114"/>
      <c r="AM801" s="114"/>
      <c r="AN801" s="236"/>
      <c r="AO801" s="114"/>
    </row>
    <row r="802" ht="15.75" customHeight="1">
      <c r="C802" s="114"/>
      <c r="D802" s="114"/>
      <c r="E802" s="114"/>
      <c r="F802" s="114"/>
      <c r="G802" s="114"/>
      <c r="H802" s="114"/>
      <c r="I802" s="114"/>
      <c r="J802" s="114"/>
      <c r="K802" s="114"/>
      <c r="L802" s="114"/>
      <c r="M802" s="114"/>
      <c r="N802" s="114"/>
      <c r="O802" s="242"/>
      <c r="P802" s="243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  <c r="AB802" s="114"/>
      <c r="AC802" s="114"/>
      <c r="AD802" s="114"/>
      <c r="AE802" s="114"/>
      <c r="AF802" s="114"/>
      <c r="AM802" s="114"/>
      <c r="AN802" s="236"/>
      <c r="AO802" s="114"/>
    </row>
    <row r="803" ht="15.75" customHeight="1">
      <c r="C803" s="114"/>
      <c r="D803" s="114"/>
      <c r="E803" s="114"/>
      <c r="F803" s="114"/>
      <c r="G803" s="114"/>
      <c r="H803" s="114"/>
      <c r="I803" s="114"/>
      <c r="J803" s="114"/>
      <c r="K803" s="114"/>
      <c r="L803" s="114"/>
      <c r="M803" s="114"/>
      <c r="N803" s="114"/>
      <c r="O803" s="242"/>
      <c r="P803" s="243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  <c r="AA803" s="114"/>
      <c r="AB803" s="114"/>
      <c r="AC803" s="114"/>
      <c r="AD803" s="114"/>
      <c r="AE803" s="114"/>
      <c r="AF803" s="114"/>
      <c r="AM803" s="114"/>
      <c r="AN803" s="236"/>
      <c r="AO803" s="114"/>
    </row>
    <row r="804" ht="15.75" customHeight="1">
      <c r="C804" s="114"/>
      <c r="D804" s="114"/>
      <c r="E804" s="114"/>
      <c r="F804" s="114"/>
      <c r="G804" s="114"/>
      <c r="H804" s="114"/>
      <c r="I804" s="114"/>
      <c r="J804" s="114"/>
      <c r="K804" s="114"/>
      <c r="L804" s="114"/>
      <c r="M804" s="114"/>
      <c r="N804" s="114"/>
      <c r="O804" s="242"/>
      <c r="P804" s="243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  <c r="AB804" s="114"/>
      <c r="AC804" s="114"/>
      <c r="AD804" s="114"/>
      <c r="AE804" s="114"/>
      <c r="AF804" s="114"/>
      <c r="AM804" s="114"/>
      <c r="AN804" s="236"/>
      <c r="AO804" s="114"/>
    </row>
    <row r="805" ht="15.75" customHeight="1">
      <c r="C805" s="114"/>
      <c r="D805" s="114"/>
      <c r="E805" s="114"/>
      <c r="F805" s="114"/>
      <c r="G805" s="114"/>
      <c r="H805" s="114"/>
      <c r="I805" s="114"/>
      <c r="J805" s="114"/>
      <c r="K805" s="114"/>
      <c r="L805" s="114"/>
      <c r="M805" s="114"/>
      <c r="N805" s="114"/>
      <c r="O805" s="242"/>
      <c r="P805" s="243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  <c r="AB805" s="114"/>
      <c r="AC805" s="114"/>
      <c r="AD805" s="114"/>
      <c r="AE805" s="114"/>
      <c r="AF805" s="114"/>
      <c r="AM805" s="114"/>
      <c r="AN805" s="236"/>
      <c r="AO805" s="114"/>
    </row>
    <row r="806" ht="15.75" customHeight="1">
      <c r="C806" s="114"/>
      <c r="D806" s="114"/>
      <c r="E806" s="114"/>
      <c r="F806" s="114"/>
      <c r="G806" s="114"/>
      <c r="H806" s="114"/>
      <c r="I806" s="114"/>
      <c r="J806" s="114"/>
      <c r="K806" s="114"/>
      <c r="L806" s="114"/>
      <c r="M806" s="114"/>
      <c r="N806" s="114"/>
      <c r="O806" s="242"/>
      <c r="P806" s="243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  <c r="AB806" s="114"/>
      <c r="AC806" s="114"/>
      <c r="AD806" s="114"/>
      <c r="AE806" s="114"/>
      <c r="AF806" s="114"/>
      <c r="AM806" s="114"/>
      <c r="AN806" s="236"/>
      <c r="AO806" s="114"/>
    </row>
    <row r="807" ht="15.75" customHeight="1">
      <c r="C807" s="114"/>
      <c r="D807" s="114"/>
      <c r="E807" s="114"/>
      <c r="F807" s="114"/>
      <c r="G807" s="114"/>
      <c r="H807" s="114"/>
      <c r="I807" s="114"/>
      <c r="J807" s="114"/>
      <c r="K807" s="114"/>
      <c r="L807" s="114"/>
      <c r="M807" s="114"/>
      <c r="N807" s="114"/>
      <c r="O807" s="242"/>
      <c r="P807" s="243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  <c r="AB807" s="114"/>
      <c r="AC807" s="114"/>
      <c r="AD807" s="114"/>
      <c r="AE807" s="114"/>
      <c r="AF807" s="114"/>
      <c r="AM807" s="114"/>
      <c r="AN807" s="236"/>
      <c r="AO807" s="114"/>
    </row>
    <row r="808" ht="15.75" customHeight="1">
      <c r="C808" s="114"/>
      <c r="D808" s="114"/>
      <c r="E808" s="114"/>
      <c r="F808" s="114"/>
      <c r="G808" s="114"/>
      <c r="H808" s="114"/>
      <c r="I808" s="114"/>
      <c r="J808" s="114"/>
      <c r="K808" s="114"/>
      <c r="L808" s="114"/>
      <c r="M808" s="114"/>
      <c r="N808" s="114"/>
      <c r="O808" s="242"/>
      <c r="P808" s="243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  <c r="AB808" s="114"/>
      <c r="AC808" s="114"/>
      <c r="AD808" s="114"/>
      <c r="AE808" s="114"/>
      <c r="AF808" s="114"/>
      <c r="AM808" s="114"/>
      <c r="AN808" s="236"/>
      <c r="AO808" s="114"/>
    </row>
    <row r="809" ht="15.75" customHeight="1">
      <c r="C809" s="114"/>
      <c r="D809" s="114"/>
      <c r="E809" s="114"/>
      <c r="F809" s="114"/>
      <c r="G809" s="114"/>
      <c r="H809" s="114"/>
      <c r="I809" s="114"/>
      <c r="J809" s="114"/>
      <c r="K809" s="114"/>
      <c r="L809" s="114"/>
      <c r="M809" s="114"/>
      <c r="N809" s="114"/>
      <c r="O809" s="242"/>
      <c r="P809" s="243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  <c r="AB809" s="114"/>
      <c r="AC809" s="114"/>
      <c r="AD809" s="114"/>
      <c r="AE809" s="114"/>
      <c r="AF809" s="114"/>
      <c r="AM809" s="114"/>
      <c r="AN809" s="236"/>
      <c r="AO809" s="114"/>
    </row>
    <row r="810" ht="15.75" customHeight="1">
      <c r="C810" s="114"/>
      <c r="D810" s="114"/>
      <c r="E810" s="114"/>
      <c r="F810" s="114"/>
      <c r="G810" s="114"/>
      <c r="H810" s="114"/>
      <c r="I810" s="114"/>
      <c r="J810" s="114"/>
      <c r="K810" s="114"/>
      <c r="L810" s="114"/>
      <c r="M810" s="114"/>
      <c r="N810" s="114"/>
      <c r="O810" s="242"/>
      <c r="P810" s="243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  <c r="AB810" s="114"/>
      <c r="AC810" s="114"/>
      <c r="AD810" s="114"/>
      <c r="AE810" s="114"/>
      <c r="AF810" s="114"/>
      <c r="AM810" s="114"/>
      <c r="AN810" s="236"/>
      <c r="AO810" s="114"/>
    </row>
    <row r="811" ht="15.75" customHeight="1">
      <c r="C811" s="114"/>
      <c r="D811" s="114"/>
      <c r="E811" s="114"/>
      <c r="F811" s="114"/>
      <c r="G811" s="114"/>
      <c r="H811" s="114"/>
      <c r="I811" s="114"/>
      <c r="J811" s="114"/>
      <c r="K811" s="114"/>
      <c r="L811" s="114"/>
      <c r="M811" s="114"/>
      <c r="N811" s="114"/>
      <c r="O811" s="242"/>
      <c r="P811" s="243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  <c r="AB811" s="114"/>
      <c r="AC811" s="114"/>
      <c r="AD811" s="114"/>
      <c r="AE811" s="114"/>
      <c r="AF811" s="114"/>
      <c r="AM811" s="114"/>
      <c r="AN811" s="236"/>
      <c r="AO811" s="114"/>
    </row>
    <row r="812" ht="15.75" customHeight="1">
      <c r="C812" s="114"/>
      <c r="D812" s="114"/>
      <c r="E812" s="114"/>
      <c r="F812" s="114"/>
      <c r="G812" s="114"/>
      <c r="H812" s="114"/>
      <c r="I812" s="114"/>
      <c r="J812" s="114"/>
      <c r="K812" s="114"/>
      <c r="L812" s="114"/>
      <c r="M812" s="114"/>
      <c r="N812" s="114"/>
      <c r="O812" s="242"/>
      <c r="P812" s="243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  <c r="AB812" s="114"/>
      <c r="AC812" s="114"/>
      <c r="AD812" s="114"/>
      <c r="AE812" s="114"/>
      <c r="AF812" s="114"/>
      <c r="AM812" s="114"/>
      <c r="AN812" s="236"/>
      <c r="AO812" s="114"/>
    </row>
    <row r="813" ht="15.75" customHeight="1">
      <c r="C813" s="114"/>
      <c r="D813" s="114"/>
      <c r="E813" s="114"/>
      <c r="F813" s="114"/>
      <c r="G813" s="114"/>
      <c r="H813" s="114"/>
      <c r="I813" s="114"/>
      <c r="J813" s="114"/>
      <c r="K813" s="114"/>
      <c r="L813" s="114"/>
      <c r="M813" s="114"/>
      <c r="N813" s="114"/>
      <c r="O813" s="242"/>
      <c r="P813" s="243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  <c r="AB813" s="114"/>
      <c r="AC813" s="114"/>
      <c r="AD813" s="114"/>
      <c r="AE813" s="114"/>
      <c r="AF813" s="114"/>
      <c r="AM813" s="114"/>
      <c r="AN813" s="236"/>
      <c r="AO813" s="114"/>
    </row>
    <row r="814" ht="15.75" customHeight="1">
      <c r="C814" s="114"/>
      <c r="D814" s="114"/>
      <c r="E814" s="114"/>
      <c r="F814" s="114"/>
      <c r="G814" s="114"/>
      <c r="H814" s="114"/>
      <c r="I814" s="114"/>
      <c r="J814" s="114"/>
      <c r="K814" s="114"/>
      <c r="L814" s="114"/>
      <c r="M814" s="114"/>
      <c r="N814" s="114"/>
      <c r="O814" s="242"/>
      <c r="P814" s="243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  <c r="AA814" s="114"/>
      <c r="AB814" s="114"/>
      <c r="AC814" s="114"/>
      <c r="AD814" s="114"/>
      <c r="AE814" s="114"/>
      <c r="AF814" s="114"/>
      <c r="AM814" s="114"/>
      <c r="AN814" s="236"/>
      <c r="AO814" s="114"/>
    </row>
    <row r="815" ht="15.75" customHeight="1">
      <c r="C815" s="114"/>
      <c r="D815" s="114"/>
      <c r="E815" s="114"/>
      <c r="F815" s="114"/>
      <c r="G815" s="114"/>
      <c r="H815" s="114"/>
      <c r="I815" s="114"/>
      <c r="J815" s="114"/>
      <c r="K815" s="114"/>
      <c r="L815" s="114"/>
      <c r="M815" s="114"/>
      <c r="N815" s="114"/>
      <c r="O815" s="242"/>
      <c r="P815" s="243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  <c r="AB815" s="114"/>
      <c r="AC815" s="114"/>
      <c r="AD815" s="114"/>
      <c r="AE815" s="114"/>
      <c r="AF815" s="114"/>
      <c r="AM815" s="114"/>
      <c r="AN815" s="236"/>
      <c r="AO815" s="114"/>
    </row>
    <row r="816" ht="15.75" customHeight="1">
      <c r="C816" s="114"/>
      <c r="D816" s="114"/>
      <c r="E816" s="114"/>
      <c r="F816" s="114"/>
      <c r="G816" s="114"/>
      <c r="H816" s="114"/>
      <c r="I816" s="114"/>
      <c r="J816" s="114"/>
      <c r="K816" s="114"/>
      <c r="L816" s="114"/>
      <c r="M816" s="114"/>
      <c r="N816" s="114"/>
      <c r="O816" s="242"/>
      <c r="P816" s="243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  <c r="AB816" s="114"/>
      <c r="AC816" s="114"/>
      <c r="AD816" s="114"/>
      <c r="AE816" s="114"/>
      <c r="AF816" s="114"/>
      <c r="AM816" s="114"/>
      <c r="AN816" s="236"/>
      <c r="AO816" s="114"/>
    </row>
    <row r="817" ht="15.75" customHeight="1">
      <c r="C817" s="114"/>
      <c r="D817" s="114"/>
      <c r="E817" s="114"/>
      <c r="F817" s="114"/>
      <c r="G817" s="114"/>
      <c r="H817" s="114"/>
      <c r="I817" s="114"/>
      <c r="J817" s="114"/>
      <c r="K817" s="114"/>
      <c r="L817" s="114"/>
      <c r="M817" s="114"/>
      <c r="N817" s="114"/>
      <c r="O817" s="242"/>
      <c r="P817" s="243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  <c r="AA817" s="114"/>
      <c r="AB817" s="114"/>
      <c r="AC817" s="114"/>
      <c r="AD817" s="114"/>
      <c r="AE817" s="114"/>
      <c r="AF817" s="114"/>
      <c r="AM817" s="114"/>
      <c r="AN817" s="236"/>
      <c r="AO817" s="114"/>
    </row>
    <row r="818" ht="15.75" customHeight="1">
      <c r="C818" s="114"/>
      <c r="D818" s="114"/>
      <c r="E818" s="114"/>
      <c r="F818" s="114"/>
      <c r="G818" s="114"/>
      <c r="H818" s="114"/>
      <c r="I818" s="114"/>
      <c r="J818" s="114"/>
      <c r="K818" s="114"/>
      <c r="L818" s="114"/>
      <c r="M818" s="114"/>
      <c r="N818" s="114"/>
      <c r="O818" s="242"/>
      <c r="P818" s="243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  <c r="AB818" s="114"/>
      <c r="AC818" s="114"/>
      <c r="AD818" s="114"/>
      <c r="AE818" s="114"/>
      <c r="AF818" s="114"/>
      <c r="AM818" s="114"/>
      <c r="AN818" s="236"/>
      <c r="AO818" s="114"/>
    </row>
    <row r="819" ht="15.75" customHeight="1">
      <c r="C819" s="114"/>
      <c r="D819" s="114"/>
      <c r="E819" s="114"/>
      <c r="F819" s="114"/>
      <c r="G819" s="114"/>
      <c r="H819" s="114"/>
      <c r="I819" s="114"/>
      <c r="J819" s="114"/>
      <c r="K819" s="114"/>
      <c r="L819" s="114"/>
      <c r="M819" s="114"/>
      <c r="N819" s="114"/>
      <c r="O819" s="242"/>
      <c r="P819" s="243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  <c r="AB819" s="114"/>
      <c r="AC819" s="114"/>
      <c r="AD819" s="114"/>
      <c r="AE819" s="114"/>
      <c r="AF819" s="114"/>
      <c r="AM819" s="114"/>
      <c r="AN819" s="236"/>
      <c r="AO819" s="114"/>
    </row>
    <row r="820" ht="15.75" customHeight="1">
      <c r="C820" s="114"/>
      <c r="D820" s="114"/>
      <c r="E820" s="114"/>
      <c r="F820" s="114"/>
      <c r="G820" s="114"/>
      <c r="H820" s="114"/>
      <c r="I820" s="114"/>
      <c r="J820" s="114"/>
      <c r="K820" s="114"/>
      <c r="L820" s="114"/>
      <c r="M820" s="114"/>
      <c r="N820" s="114"/>
      <c r="O820" s="242"/>
      <c r="P820" s="243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  <c r="AB820" s="114"/>
      <c r="AC820" s="114"/>
      <c r="AD820" s="114"/>
      <c r="AE820" s="114"/>
      <c r="AF820" s="114"/>
      <c r="AM820" s="114"/>
      <c r="AN820" s="236"/>
      <c r="AO820" s="114"/>
    </row>
    <row r="821" ht="15.75" customHeight="1">
      <c r="C821" s="114"/>
      <c r="D821" s="114"/>
      <c r="E821" s="114"/>
      <c r="F821" s="114"/>
      <c r="G821" s="114"/>
      <c r="H821" s="114"/>
      <c r="I821" s="114"/>
      <c r="J821" s="114"/>
      <c r="K821" s="114"/>
      <c r="L821" s="114"/>
      <c r="M821" s="114"/>
      <c r="N821" s="114"/>
      <c r="O821" s="242"/>
      <c r="P821" s="243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  <c r="AB821" s="114"/>
      <c r="AC821" s="114"/>
      <c r="AD821" s="114"/>
      <c r="AE821" s="114"/>
      <c r="AF821" s="114"/>
      <c r="AM821" s="114"/>
      <c r="AN821" s="236"/>
      <c r="AO821" s="114"/>
    </row>
    <row r="822" ht="15.75" customHeight="1">
      <c r="C822" s="114"/>
      <c r="D822" s="114"/>
      <c r="E822" s="114"/>
      <c r="F822" s="114"/>
      <c r="G822" s="114"/>
      <c r="H822" s="114"/>
      <c r="I822" s="114"/>
      <c r="J822" s="114"/>
      <c r="K822" s="114"/>
      <c r="L822" s="114"/>
      <c r="M822" s="114"/>
      <c r="N822" s="114"/>
      <c r="O822" s="242"/>
      <c r="P822" s="243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  <c r="AB822" s="114"/>
      <c r="AC822" s="114"/>
      <c r="AD822" s="114"/>
      <c r="AE822" s="114"/>
      <c r="AF822" s="114"/>
      <c r="AM822" s="114"/>
      <c r="AN822" s="236"/>
      <c r="AO822" s="114"/>
    </row>
    <row r="823" ht="15.75" customHeight="1">
      <c r="C823" s="114"/>
      <c r="D823" s="114"/>
      <c r="E823" s="114"/>
      <c r="F823" s="114"/>
      <c r="G823" s="114"/>
      <c r="H823" s="114"/>
      <c r="I823" s="114"/>
      <c r="J823" s="114"/>
      <c r="K823" s="114"/>
      <c r="L823" s="114"/>
      <c r="M823" s="114"/>
      <c r="N823" s="114"/>
      <c r="O823" s="242"/>
      <c r="P823" s="243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  <c r="AB823" s="114"/>
      <c r="AC823" s="114"/>
      <c r="AD823" s="114"/>
      <c r="AE823" s="114"/>
      <c r="AF823" s="114"/>
      <c r="AM823" s="114"/>
      <c r="AN823" s="236"/>
      <c r="AO823" s="114"/>
    </row>
    <row r="824" ht="15.75" customHeight="1">
      <c r="C824" s="114"/>
      <c r="D824" s="114"/>
      <c r="E824" s="114"/>
      <c r="F824" s="114"/>
      <c r="G824" s="114"/>
      <c r="H824" s="114"/>
      <c r="I824" s="114"/>
      <c r="J824" s="114"/>
      <c r="K824" s="114"/>
      <c r="L824" s="114"/>
      <c r="M824" s="114"/>
      <c r="N824" s="114"/>
      <c r="O824" s="242"/>
      <c r="P824" s="243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  <c r="AB824" s="114"/>
      <c r="AC824" s="114"/>
      <c r="AD824" s="114"/>
      <c r="AE824" s="114"/>
      <c r="AF824" s="114"/>
      <c r="AM824" s="114"/>
      <c r="AN824" s="236"/>
      <c r="AO824" s="114"/>
    </row>
    <row r="825" ht="15.75" customHeight="1">
      <c r="C825" s="114"/>
      <c r="D825" s="114"/>
      <c r="E825" s="114"/>
      <c r="F825" s="114"/>
      <c r="G825" s="114"/>
      <c r="H825" s="114"/>
      <c r="I825" s="114"/>
      <c r="J825" s="114"/>
      <c r="K825" s="114"/>
      <c r="L825" s="114"/>
      <c r="M825" s="114"/>
      <c r="N825" s="114"/>
      <c r="O825" s="242"/>
      <c r="P825" s="243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  <c r="AB825" s="114"/>
      <c r="AC825" s="114"/>
      <c r="AD825" s="114"/>
      <c r="AE825" s="114"/>
      <c r="AF825" s="114"/>
      <c r="AM825" s="114"/>
      <c r="AN825" s="236"/>
      <c r="AO825" s="114"/>
    </row>
    <row r="826" ht="15.75" customHeight="1">
      <c r="C826" s="114"/>
      <c r="D826" s="114"/>
      <c r="E826" s="114"/>
      <c r="F826" s="114"/>
      <c r="G826" s="114"/>
      <c r="H826" s="114"/>
      <c r="I826" s="114"/>
      <c r="J826" s="114"/>
      <c r="K826" s="114"/>
      <c r="L826" s="114"/>
      <c r="M826" s="114"/>
      <c r="N826" s="114"/>
      <c r="O826" s="242"/>
      <c r="P826" s="243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  <c r="AB826" s="114"/>
      <c r="AC826" s="114"/>
      <c r="AD826" s="114"/>
      <c r="AE826" s="114"/>
      <c r="AF826" s="114"/>
      <c r="AM826" s="114"/>
      <c r="AN826" s="236"/>
      <c r="AO826" s="114"/>
    </row>
    <row r="827" ht="15.75" customHeight="1">
      <c r="C827" s="114"/>
      <c r="D827" s="114"/>
      <c r="E827" s="114"/>
      <c r="F827" s="114"/>
      <c r="G827" s="114"/>
      <c r="H827" s="114"/>
      <c r="I827" s="114"/>
      <c r="J827" s="114"/>
      <c r="K827" s="114"/>
      <c r="L827" s="114"/>
      <c r="M827" s="114"/>
      <c r="N827" s="114"/>
      <c r="O827" s="242"/>
      <c r="P827" s="243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  <c r="AB827" s="114"/>
      <c r="AC827" s="114"/>
      <c r="AD827" s="114"/>
      <c r="AE827" s="114"/>
      <c r="AF827" s="114"/>
      <c r="AM827" s="114"/>
      <c r="AN827" s="236"/>
      <c r="AO827" s="114"/>
    </row>
    <row r="828" ht="15.75" customHeight="1">
      <c r="C828" s="114"/>
      <c r="D828" s="114"/>
      <c r="E828" s="114"/>
      <c r="F828" s="114"/>
      <c r="G828" s="114"/>
      <c r="H828" s="114"/>
      <c r="I828" s="114"/>
      <c r="J828" s="114"/>
      <c r="K828" s="114"/>
      <c r="L828" s="114"/>
      <c r="M828" s="114"/>
      <c r="N828" s="114"/>
      <c r="O828" s="242"/>
      <c r="P828" s="243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  <c r="AA828" s="114"/>
      <c r="AB828" s="114"/>
      <c r="AC828" s="114"/>
      <c r="AD828" s="114"/>
      <c r="AE828" s="114"/>
      <c r="AF828" s="114"/>
      <c r="AM828" s="114"/>
      <c r="AN828" s="236"/>
      <c r="AO828" s="114"/>
    </row>
    <row r="829" ht="15.75" customHeight="1">
      <c r="C829" s="114"/>
      <c r="D829" s="114"/>
      <c r="E829" s="114"/>
      <c r="F829" s="114"/>
      <c r="G829" s="114"/>
      <c r="H829" s="114"/>
      <c r="I829" s="114"/>
      <c r="J829" s="114"/>
      <c r="K829" s="114"/>
      <c r="L829" s="114"/>
      <c r="M829" s="114"/>
      <c r="N829" s="114"/>
      <c r="O829" s="242"/>
      <c r="P829" s="243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  <c r="AB829" s="114"/>
      <c r="AC829" s="114"/>
      <c r="AD829" s="114"/>
      <c r="AE829" s="114"/>
      <c r="AF829" s="114"/>
      <c r="AM829" s="114"/>
      <c r="AN829" s="236"/>
      <c r="AO829" s="114"/>
    </row>
    <row r="830" ht="15.75" customHeight="1">
      <c r="C830" s="114"/>
      <c r="D830" s="114"/>
      <c r="E830" s="114"/>
      <c r="F830" s="114"/>
      <c r="G830" s="114"/>
      <c r="H830" s="114"/>
      <c r="I830" s="114"/>
      <c r="J830" s="114"/>
      <c r="K830" s="114"/>
      <c r="L830" s="114"/>
      <c r="M830" s="114"/>
      <c r="N830" s="114"/>
      <c r="O830" s="242"/>
      <c r="P830" s="243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  <c r="AB830" s="114"/>
      <c r="AC830" s="114"/>
      <c r="AD830" s="114"/>
      <c r="AE830" s="114"/>
      <c r="AF830" s="114"/>
      <c r="AM830" s="114"/>
      <c r="AN830" s="236"/>
      <c r="AO830" s="114"/>
    </row>
    <row r="831" ht="15.75" customHeight="1">
      <c r="C831" s="114"/>
      <c r="D831" s="114"/>
      <c r="E831" s="114"/>
      <c r="F831" s="114"/>
      <c r="G831" s="114"/>
      <c r="H831" s="114"/>
      <c r="I831" s="114"/>
      <c r="J831" s="114"/>
      <c r="K831" s="114"/>
      <c r="L831" s="114"/>
      <c r="M831" s="114"/>
      <c r="N831" s="114"/>
      <c r="O831" s="242"/>
      <c r="P831" s="243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  <c r="AB831" s="114"/>
      <c r="AC831" s="114"/>
      <c r="AD831" s="114"/>
      <c r="AE831" s="114"/>
      <c r="AF831" s="114"/>
      <c r="AM831" s="114"/>
      <c r="AN831" s="236"/>
      <c r="AO831" s="114"/>
    </row>
    <row r="832" ht="15.75" customHeight="1">
      <c r="C832" s="114"/>
      <c r="D832" s="114"/>
      <c r="E832" s="114"/>
      <c r="F832" s="114"/>
      <c r="G832" s="114"/>
      <c r="H832" s="114"/>
      <c r="I832" s="114"/>
      <c r="J832" s="114"/>
      <c r="K832" s="114"/>
      <c r="L832" s="114"/>
      <c r="M832" s="114"/>
      <c r="N832" s="114"/>
      <c r="O832" s="242"/>
      <c r="P832" s="243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  <c r="AB832" s="114"/>
      <c r="AC832" s="114"/>
      <c r="AD832" s="114"/>
      <c r="AE832" s="114"/>
      <c r="AF832" s="114"/>
      <c r="AM832" s="114"/>
      <c r="AN832" s="236"/>
      <c r="AO832" s="114"/>
    </row>
    <row r="833" ht="15.75" customHeight="1">
      <c r="C833" s="114"/>
      <c r="D833" s="114"/>
      <c r="E833" s="114"/>
      <c r="F833" s="114"/>
      <c r="G833" s="114"/>
      <c r="H833" s="114"/>
      <c r="I833" s="114"/>
      <c r="J833" s="114"/>
      <c r="K833" s="114"/>
      <c r="L833" s="114"/>
      <c r="M833" s="114"/>
      <c r="N833" s="114"/>
      <c r="O833" s="242"/>
      <c r="P833" s="243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  <c r="AB833" s="114"/>
      <c r="AC833" s="114"/>
      <c r="AD833" s="114"/>
      <c r="AE833" s="114"/>
      <c r="AF833" s="114"/>
      <c r="AM833" s="114"/>
      <c r="AN833" s="236"/>
      <c r="AO833" s="114"/>
    </row>
    <row r="834" ht="15.75" customHeight="1">
      <c r="C834" s="114"/>
      <c r="D834" s="114"/>
      <c r="E834" s="114"/>
      <c r="F834" s="114"/>
      <c r="G834" s="114"/>
      <c r="H834" s="114"/>
      <c r="I834" s="114"/>
      <c r="J834" s="114"/>
      <c r="K834" s="114"/>
      <c r="L834" s="114"/>
      <c r="M834" s="114"/>
      <c r="N834" s="114"/>
      <c r="O834" s="242"/>
      <c r="P834" s="243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  <c r="AB834" s="114"/>
      <c r="AC834" s="114"/>
      <c r="AD834" s="114"/>
      <c r="AE834" s="114"/>
      <c r="AF834" s="114"/>
      <c r="AM834" s="114"/>
      <c r="AN834" s="236"/>
      <c r="AO834" s="114"/>
    </row>
    <row r="835" ht="15.75" customHeight="1">
      <c r="C835" s="114"/>
      <c r="D835" s="114"/>
      <c r="E835" s="114"/>
      <c r="F835" s="114"/>
      <c r="G835" s="114"/>
      <c r="H835" s="114"/>
      <c r="I835" s="114"/>
      <c r="J835" s="114"/>
      <c r="K835" s="114"/>
      <c r="L835" s="114"/>
      <c r="M835" s="114"/>
      <c r="N835" s="114"/>
      <c r="O835" s="242"/>
      <c r="P835" s="243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  <c r="AB835" s="114"/>
      <c r="AC835" s="114"/>
      <c r="AD835" s="114"/>
      <c r="AE835" s="114"/>
      <c r="AF835" s="114"/>
      <c r="AM835" s="114"/>
      <c r="AN835" s="236"/>
      <c r="AO835" s="114"/>
    </row>
    <row r="836" ht="15.75" customHeight="1">
      <c r="C836" s="114"/>
      <c r="D836" s="114"/>
      <c r="E836" s="114"/>
      <c r="F836" s="114"/>
      <c r="G836" s="114"/>
      <c r="H836" s="114"/>
      <c r="I836" s="114"/>
      <c r="J836" s="114"/>
      <c r="K836" s="114"/>
      <c r="L836" s="114"/>
      <c r="M836" s="114"/>
      <c r="N836" s="114"/>
      <c r="O836" s="242"/>
      <c r="P836" s="243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  <c r="AB836" s="114"/>
      <c r="AC836" s="114"/>
      <c r="AD836" s="114"/>
      <c r="AE836" s="114"/>
      <c r="AF836" s="114"/>
      <c r="AM836" s="114"/>
      <c r="AN836" s="236"/>
      <c r="AO836" s="114"/>
    </row>
    <row r="837" ht="15.75" customHeight="1">
      <c r="C837" s="114"/>
      <c r="D837" s="114"/>
      <c r="E837" s="114"/>
      <c r="F837" s="114"/>
      <c r="G837" s="114"/>
      <c r="H837" s="114"/>
      <c r="I837" s="114"/>
      <c r="J837" s="114"/>
      <c r="K837" s="114"/>
      <c r="L837" s="114"/>
      <c r="M837" s="114"/>
      <c r="N837" s="114"/>
      <c r="O837" s="242"/>
      <c r="P837" s="243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  <c r="AB837" s="114"/>
      <c r="AC837" s="114"/>
      <c r="AD837" s="114"/>
      <c r="AE837" s="114"/>
      <c r="AF837" s="114"/>
      <c r="AM837" s="114"/>
      <c r="AN837" s="236"/>
      <c r="AO837" s="114"/>
    </row>
    <row r="838" ht="15.75" customHeight="1">
      <c r="C838" s="114"/>
      <c r="D838" s="114"/>
      <c r="E838" s="114"/>
      <c r="F838" s="114"/>
      <c r="G838" s="114"/>
      <c r="H838" s="114"/>
      <c r="I838" s="114"/>
      <c r="J838" s="114"/>
      <c r="K838" s="114"/>
      <c r="L838" s="114"/>
      <c r="M838" s="114"/>
      <c r="N838" s="114"/>
      <c r="O838" s="242"/>
      <c r="P838" s="243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  <c r="AB838" s="114"/>
      <c r="AC838" s="114"/>
      <c r="AD838" s="114"/>
      <c r="AE838" s="114"/>
      <c r="AF838" s="114"/>
      <c r="AM838" s="114"/>
      <c r="AN838" s="236"/>
      <c r="AO838" s="114"/>
    </row>
    <row r="839" ht="15.75" customHeight="1">
      <c r="C839" s="114"/>
      <c r="D839" s="114"/>
      <c r="E839" s="114"/>
      <c r="F839" s="114"/>
      <c r="G839" s="114"/>
      <c r="H839" s="114"/>
      <c r="I839" s="114"/>
      <c r="J839" s="114"/>
      <c r="K839" s="114"/>
      <c r="L839" s="114"/>
      <c r="M839" s="114"/>
      <c r="N839" s="114"/>
      <c r="O839" s="242"/>
      <c r="P839" s="243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  <c r="AB839" s="114"/>
      <c r="AC839" s="114"/>
      <c r="AD839" s="114"/>
      <c r="AE839" s="114"/>
      <c r="AF839" s="114"/>
      <c r="AM839" s="114"/>
      <c r="AN839" s="236"/>
      <c r="AO839" s="114"/>
    </row>
    <row r="840" ht="15.75" customHeight="1">
      <c r="C840" s="114"/>
      <c r="D840" s="114"/>
      <c r="E840" s="114"/>
      <c r="F840" s="114"/>
      <c r="G840" s="114"/>
      <c r="H840" s="114"/>
      <c r="I840" s="114"/>
      <c r="J840" s="114"/>
      <c r="K840" s="114"/>
      <c r="L840" s="114"/>
      <c r="M840" s="114"/>
      <c r="N840" s="114"/>
      <c r="O840" s="242"/>
      <c r="P840" s="243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  <c r="AB840" s="114"/>
      <c r="AC840" s="114"/>
      <c r="AD840" s="114"/>
      <c r="AE840" s="114"/>
      <c r="AF840" s="114"/>
      <c r="AM840" s="114"/>
      <c r="AN840" s="236"/>
      <c r="AO840" s="114"/>
    </row>
    <row r="841" ht="15.75" customHeight="1">
      <c r="C841" s="114"/>
      <c r="D841" s="114"/>
      <c r="E841" s="114"/>
      <c r="F841" s="114"/>
      <c r="G841" s="114"/>
      <c r="H841" s="114"/>
      <c r="I841" s="114"/>
      <c r="J841" s="114"/>
      <c r="K841" s="114"/>
      <c r="L841" s="114"/>
      <c r="M841" s="114"/>
      <c r="N841" s="114"/>
      <c r="O841" s="242"/>
      <c r="P841" s="243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  <c r="AB841" s="114"/>
      <c r="AC841" s="114"/>
      <c r="AD841" s="114"/>
      <c r="AE841" s="114"/>
      <c r="AF841" s="114"/>
      <c r="AM841" s="114"/>
      <c r="AN841" s="236"/>
      <c r="AO841" s="114"/>
    </row>
    <row r="842" ht="15.75" customHeight="1">
      <c r="C842" s="114"/>
      <c r="D842" s="114"/>
      <c r="E842" s="114"/>
      <c r="F842" s="114"/>
      <c r="G842" s="114"/>
      <c r="H842" s="114"/>
      <c r="I842" s="114"/>
      <c r="J842" s="114"/>
      <c r="K842" s="114"/>
      <c r="L842" s="114"/>
      <c r="M842" s="114"/>
      <c r="N842" s="114"/>
      <c r="O842" s="242"/>
      <c r="P842" s="243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  <c r="AB842" s="114"/>
      <c r="AC842" s="114"/>
      <c r="AD842" s="114"/>
      <c r="AE842" s="114"/>
      <c r="AF842" s="114"/>
      <c r="AM842" s="114"/>
      <c r="AN842" s="236"/>
      <c r="AO842" s="114"/>
    </row>
    <row r="843" ht="15.75" customHeight="1">
      <c r="C843" s="114"/>
      <c r="D843" s="114"/>
      <c r="E843" s="114"/>
      <c r="F843" s="114"/>
      <c r="G843" s="114"/>
      <c r="H843" s="114"/>
      <c r="I843" s="114"/>
      <c r="J843" s="114"/>
      <c r="K843" s="114"/>
      <c r="L843" s="114"/>
      <c r="M843" s="114"/>
      <c r="N843" s="114"/>
      <c r="O843" s="242"/>
      <c r="P843" s="243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  <c r="AB843" s="114"/>
      <c r="AC843" s="114"/>
      <c r="AD843" s="114"/>
      <c r="AE843" s="114"/>
      <c r="AF843" s="114"/>
      <c r="AM843" s="114"/>
      <c r="AN843" s="236"/>
      <c r="AO843" s="114"/>
    </row>
    <row r="844" ht="15.75" customHeight="1">
      <c r="C844" s="114"/>
      <c r="D844" s="114"/>
      <c r="E844" s="114"/>
      <c r="F844" s="114"/>
      <c r="G844" s="114"/>
      <c r="H844" s="114"/>
      <c r="I844" s="114"/>
      <c r="J844" s="114"/>
      <c r="K844" s="114"/>
      <c r="L844" s="114"/>
      <c r="M844" s="114"/>
      <c r="N844" s="114"/>
      <c r="O844" s="242"/>
      <c r="P844" s="243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  <c r="AB844" s="114"/>
      <c r="AC844" s="114"/>
      <c r="AD844" s="114"/>
      <c r="AE844" s="114"/>
      <c r="AF844" s="114"/>
      <c r="AM844" s="114"/>
      <c r="AN844" s="236"/>
      <c r="AO844" s="114"/>
    </row>
    <row r="845" ht="15.75" customHeight="1">
      <c r="C845" s="114"/>
      <c r="D845" s="114"/>
      <c r="E845" s="114"/>
      <c r="F845" s="114"/>
      <c r="G845" s="114"/>
      <c r="H845" s="114"/>
      <c r="I845" s="114"/>
      <c r="J845" s="114"/>
      <c r="K845" s="114"/>
      <c r="L845" s="114"/>
      <c r="M845" s="114"/>
      <c r="N845" s="114"/>
      <c r="O845" s="242"/>
      <c r="P845" s="243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  <c r="AB845" s="114"/>
      <c r="AC845" s="114"/>
      <c r="AD845" s="114"/>
      <c r="AE845" s="114"/>
      <c r="AF845" s="114"/>
      <c r="AM845" s="114"/>
      <c r="AN845" s="236"/>
      <c r="AO845" s="114"/>
    </row>
    <row r="846" ht="15.75" customHeight="1">
      <c r="C846" s="114"/>
      <c r="D846" s="114"/>
      <c r="E846" s="114"/>
      <c r="F846" s="114"/>
      <c r="G846" s="114"/>
      <c r="H846" s="114"/>
      <c r="I846" s="114"/>
      <c r="J846" s="114"/>
      <c r="K846" s="114"/>
      <c r="L846" s="114"/>
      <c r="M846" s="114"/>
      <c r="N846" s="114"/>
      <c r="O846" s="242"/>
      <c r="P846" s="243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  <c r="AA846" s="114"/>
      <c r="AB846" s="114"/>
      <c r="AC846" s="114"/>
      <c r="AD846" s="114"/>
      <c r="AE846" s="114"/>
      <c r="AF846" s="114"/>
      <c r="AM846" s="114"/>
      <c r="AN846" s="236"/>
      <c r="AO846" s="114"/>
    </row>
    <row r="847" ht="15.75" customHeight="1">
      <c r="C847" s="114"/>
      <c r="D847" s="114"/>
      <c r="E847" s="114"/>
      <c r="F847" s="114"/>
      <c r="G847" s="114"/>
      <c r="H847" s="114"/>
      <c r="I847" s="114"/>
      <c r="J847" s="114"/>
      <c r="K847" s="114"/>
      <c r="L847" s="114"/>
      <c r="M847" s="114"/>
      <c r="N847" s="114"/>
      <c r="O847" s="242"/>
      <c r="P847" s="243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  <c r="AB847" s="114"/>
      <c r="AC847" s="114"/>
      <c r="AD847" s="114"/>
      <c r="AE847" s="114"/>
      <c r="AF847" s="114"/>
      <c r="AM847" s="114"/>
      <c r="AN847" s="236"/>
      <c r="AO847" s="114"/>
    </row>
    <row r="848" ht="15.75" customHeight="1">
      <c r="C848" s="114"/>
      <c r="D848" s="114"/>
      <c r="E848" s="114"/>
      <c r="F848" s="114"/>
      <c r="G848" s="114"/>
      <c r="H848" s="114"/>
      <c r="I848" s="114"/>
      <c r="J848" s="114"/>
      <c r="K848" s="114"/>
      <c r="L848" s="114"/>
      <c r="M848" s="114"/>
      <c r="N848" s="114"/>
      <c r="O848" s="242"/>
      <c r="P848" s="243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  <c r="AB848" s="114"/>
      <c r="AC848" s="114"/>
      <c r="AD848" s="114"/>
      <c r="AE848" s="114"/>
      <c r="AF848" s="114"/>
      <c r="AM848" s="114"/>
      <c r="AN848" s="236"/>
      <c r="AO848" s="114"/>
    </row>
    <row r="849" ht="15.75" customHeight="1">
      <c r="C849" s="114"/>
      <c r="D849" s="114"/>
      <c r="E849" s="114"/>
      <c r="F849" s="114"/>
      <c r="G849" s="114"/>
      <c r="H849" s="114"/>
      <c r="I849" s="114"/>
      <c r="J849" s="114"/>
      <c r="K849" s="114"/>
      <c r="L849" s="114"/>
      <c r="M849" s="114"/>
      <c r="N849" s="114"/>
      <c r="O849" s="242"/>
      <c r="P849" s="243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  <c r="AB849" s="114"/>
      <c r="AC849" s="114"/>
      <c r="AD849" s="114"/>
      <c r="AE849" s="114"/>
      <c r="AF849" s="114"/>
      <c r="AM849" s="114"/>
      <c r="AN849" s="236"/>
      <c r="AO849" s="114"/>
    </row>
    <row r="850" ht="15.75" customHeight="1">
      <c r="C850" s="114"/>
      <c r="D850" s="114"/>
      <c r="E850" s="114"/>
      <c r="F850" s="114"/>
      <c r="G850" s="114"/>
      <c r="H850" s="114"/>
      <c r="I850" s="114"/>
      <c r="J850" s="114"/>
      <c r="K850" s="114"/>
      <c r="L850" s="114"/>
      <c r="M850" s="114"/>
      <c r="N850" s="114"/>
      <c r="O850" s="242"/>
      <c r="P850" s="243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  <c r="AB850" s="114"/>
      <c r="AC850" s="114"/>
      <c r="AD850" s="114"/>
      <c r="AE850" s="114"/>
      <c r="AF850" s="114"/>
      <c r="AM850" s="114"/>
      <c r="AN850" s="236"/>
      <c r="AO850" s="114"/>
    </row>
    <row r="851" ht="15.75" customHeight="1">
      <c r="C851" s="114"/>
      <c r="D851" s="114"/>
      <c r="E851" s="114"/>
      <c r="F851" s="114"/>
      <c r="G851" s="114"/>
      <c r="H851" s="114"/>
      <c r="I851" s="114"/>
      <c r="J851" s="114"/>
      <c r="K851" s="114"/>
      <c r="L851" s="114"/>
      <c r="M851" s="114"/>
      <c r="N851" s="114"/>
      <c r="O851" s="242"/>
      <c r="P851" s="243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  <c r="AB851" s="114"/>
      <c r="AC851" s="114"/>
      <c r="AD851" s="114"/>
      <c r="AE851" s="114"/>
      <c r="AF851" s="114"/>
      <c r="AM851" s="114"/>
      <c r="AN851" s="236"/>
      <c r="AO851" s="114"/>
    </row>
    <row r="852" ht="15.75" customHeight="1">
      <c r="C852" s="114"/>
      <c r="D852" s="114"/>
      <c r="E852" s="114"/>
      <c r="F852" s="114"/>
      <c r="G852" s="114"/>
      <c r="H852" s="114"/>
      <c r="I852" s="114"/>
      <c r="J852" s="114"/>
      <c r="K852" s="114"/>
      <c r="L852" s="114"/>
      <c r="M852" s="114"/>
      <c r="N852" s="114"/>
      <c r="O852" s="242"/>
      <c r="P852" s="243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  <c r="AB852" s="114"/>
      <c r="AC852" s="114"/>
      <c r="AD852" s="114"/>
      <c r="AE852" s="114"/>
      <c r="AF852" s="114"/>
      <c r="AM852" s="114"/>
      <c r="AN852" s="236"/>
      <c r="AO852" s="114"/>
    </row>
    <row r="853" ht="15.75" customHeight="1">
      <c r="C853" s="114"/>
      <c r="D853" s="114"/>
      <c r="E853" s="114"/>
      <c r="F853" s="114"/>
      <c r="G853" s="114"/>
      <c r="H853" s="114"/>
      <c r="I853" s="114"/>
      <c r="J853" s="114"/>
      <c r="K853" s="114"/>
      <c r="L853" s="114"/>
      <c r="M853" s="114"/>
      <c r="N853" s="114"/>
      <c r="O853" s="242"/>
      <c r="P853" s="243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  <c r="AB853" s="114"/>
      <c r="AC853" s="114"/>
      <c r="AD853" s="114"/>
      <c r="AE853" s="114"/>
      <c r="AF853" s="114"/>
      <c r="AM853" s="114"/>
      <c r="AN853" s="236"/>
      <c r="AO853" s="114"/>
    </row>
    <row r="854" ht="15.75" customHeight="1">
      <c r="C854" s="114"/>
      <c r="D854" s="114"/>
      <c r="E854" s="114"/>
      <c r="F854" s="114"/>
      <c r="G854" s="114"/>
      <c r="H854" s="114"/>
      <c r="I854" s="114"/>
      <c r="J854" s="114"/>
      <c r="K854" s="114"/>
      <c r="L854" s="114"/>
      <c r="M854" s="114"/>
      <c r="N854" s="114"/>
      <c r="O854" s="242"/>
      <c r="P854" s="243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  <c r="AB854" s="114"/>
      <c r="AC854" s="114"/>
      <c r="AD854" s="114"/>
      <c r="AE854" s="114"/>
      <c r="AF854" s="114"/>
      <c r="AM854" s="114"/>
      <c r="AN854" s="236"/>
      <c r="AO854" s="114"/>
    </row>
    <row r="855" ht="15.75" customHeight="1">
      <c r="C855" s="114"/>
      <c r="D855" s="114"/>
      <c r="E855" s="114"/>
      <c r="F855" s="114"/>
      <c r="G855" s="114"/>
      <c r="H855" s="114"/>
      <c r="I855" s="114"/>
      <c r="J855" s="114"/>
      <c r="K855" s="114"/>
      <c r="L855" s="114"/>
      <c r="M855" s="114"/>
      <c r="N855" s="114"/>
      <c r="O855" s="242"/>
      <c r="P855" s="243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  <c r="AB855" s="114"/>
      <c r="AC855" s="114"/>
      <c r="AD855" s="114"/>
      <c r="AE855" s="114"/>
      <c r="AF855" s="114"/>
      <c r="AM855" s="114"/>
      <c r="AN855" s="236"/>
      <c r="AO855" s="114"/>
    </row>
    <row r="856" ht="15.75" customHeight="1">
      <c r="C856" s="114"/>
      <c r="D856" s="114"/>
      <c r="E856" s="114"/>
      <c r="F856" s="114"/>
      <c r="G856" s="114"/>
      <c r="H856" s="114"/>
      <c r="I856" s="114"/>
      <c r="J856" s="114"/>
      <c r="K856" s="114"/>
      <c r="L856" s="114"/>
      <c r="M856" s="114"/>
      <c r="N856" s="114"/>
      <c r="O856" s="242"/>
      <c r="P856" s="243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  <c r="AB856" s="114"/>
      <c r="AC856" s="114"/>
      <c r="AD856" s="114"/>
      <c r="AE856" s="114"/>
      <c r="AF856" s="114"/>
      <c r="AM856" s="114"/>
      <c r="AN856" s="236"/>
      <c r="AO856" s="114"/>
    </row>
    <row r="857" ht="15.75" customHeight="1">
      <c r="C857" s="114"/>
      <c r="D857" s="114"/>
      <c r="E857" s="114"/>
      <c r="F857" s="114"/>
      <c r="G857" s="114"/>
      <c r="H857" s="114"/>
      <c r="I857" s="114"/>
      <c r="J857" s="114"/>
      <c r="K857" s="114"/>
      <c r="L857" s="114"/>
      <c r="M857" s="114"/>
      <c r="N857" s="114"/>
      <c r="O857" s="242"/>
      <c r="P857" s="243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  <c r="AB857" s="114"/>
      <c r="AC857" s="114"/>
      <c r="AD857" s="114"/>
      <c r="AE857" s="114"/>
      <c r="AF857" s="114"/>
      <c r="AM857" s="114"/>
      <c r="AN857" s="236"/>
      <c r="AO857" s="114"/>
    </row>
    <row r="858" ht="15.75" customHeight="1">
      <c r="C858" s="114"/>
      <c r="D858" s="114"/>
      <c r="E858" s="114"/>
      <c r="F858" s="114"/>
      <c r="G858" s="114"/>
      <c r="H858" s="114"/>
      <c r="I858" s="114"/>
      <c r="J858" s="114"/>
      <c r="K858" s="114"/>
      <c r="L858" s="114"/>
      <c r="M858" s="114"/>
      <c r="N858" s="114"/>
      <c r="O858" s="242"/>
      <c r="P858" s="243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  <c r="AB858" s="114"/>
      <c r="AC858" s="114"/>
      <c r="AD858" s="114"/>
      <c r="AE858" s="114"/>
      <c r="AF858" s="114"/>
      <c r="AM858" s="114"/>
      <c r="AN858" s="236"/>
      <c r="AO858" s="114"/>
    </row>
    <row r="859" ht="15.75" customHeight="1">
      <c r="C859" s="114"/>
      <c r="D859" s="114"/>
      <c r="E859" s="114"/>
      <c r="F859" s="114"/>
      <c r="G859" s="114"/>
      <c r="H859" s="114"/>
      <c r="I859" s="114"/>
      <c r="J859" s="114"/>
      <c r="K859" s="114"/>
      <c r="L859" s="114"/>
      <c r="M859" s="114"/>
      <c r="N859" s="114"/>
      <c r="O859" s="242"/>
      <c r="P859" s="243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  <c r="AA859" s="114"/>
      <c r="AB859" s="114"/>
      <c r="AC859" s="114"/>
      <c r="AD859" s="114"/>
      <c r="AE859" s="114"/>
      <c r="AF859" s="114"/>
      <c r="AM859" s="114"/>
      <c r="AN859" s="236"/>
      <c r="AO859" s="114"/>
    </row>
    <row r="860" ht="15.75" customHeight="1">
      <c r="C860" s="114"/>
      <c r="D860" s="114"/>
      <c r="E860" s="114"/>
      <c r="F860" s="114"/>
      <c r="G860" s="114"/>
      <c r="H860" s="114"/>
      <c r="I860" s="114"/>
      <c r="J860" s="114"/>
      <c r="K860" s="114"/>
      <c r="L860" s="114"/>
      <c r="M860" s="114"/>
      <c r="N860" s="114"/>
      <c r="O860" s="242"/>
      <c r="P860" s="243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  <c r="AB860" s="114"/>
      <c r="AC860" s="114"/>
      <c r="AD860" s="114"/>
      <c r="AE860" s="114"/>
      <c r="AF860" s="114"/>
      <c r="AM860" s="114"/>
      <c r="AN860" s="236"/>
      <c r="AO860" s="114"/>
    </row>
    <row r="861" ht="15.75" customHeight="1">
      <c r="C861" s="114"/>
      <c r="D861" s="114"/>
      <c r="E861" s="114"/>
      <c r="F861" s="114"/>
      <c r="G861" s="114"/>
      <c r="H861" s="114"/>
      <c r="I861" s="114"/>
      <c r="J861" s="114"/>
      <c r="K861" s="114"/>
      <c r="L861" s="114"/>
      <c r="M861" s="114"/>
      <c r="N861" s="114"/>
      <c r="O861" s="242"/>
      <c r="P861" s="243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  <c r="AB861" s="114"/>
      <c r="AC861" s="114"/>
      <c r="AD861" s="114"/>
      <c r="AE861" s="114"/>
      <c r="AF861" s="114"/>
      <c r="AM861" s="114"/>
      <c r="AN861" s="236"/>
      <c r="AO861" s="114"/>
    </row>
    <row r="862" ht="15.75" customHeight="1">
      <c r="C862" s="114"/>
      <c r="D862" s="114"/>
      <c r="E862" s="114"/>
      <c r="F862" s="114"/>
      <c r="G862" s="114"/>
      <c r="H862" s="114"/>
      <c r="I862" s="114"/>
      <c r="J862" s="114"/>
      <c r="K862" s="114"/>
      <c r="L862" s="114"/>
      <c r="M862" s="114"/>
      <c r="N862" s="114"/>
      <c r="O862" s="242"/>
      <c r="P862" s="243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  <c r="AA862" s="114"/>
      <c r="AB862" s="114"/>
      <c r="AC862" s="114"/>
      <c r="AD862" s="114"/>
      <c r="AE862" s="114"/>
      <c r="AF862" s="114"/>
      <c r="AM862" s="114"/>
      <c r="AN862" s="236"/>
      <c r="AO862" s="114"/>
    </row>
    <row r="863" ht="15.75" customHeight="1">
      <c r="C863" s="114"/>
      <c r="D863" s="114"/>
      <c r="E863" s="114"/>
      <c r="F863" s="114"/>
      <c r="G863" s="114"/>
      <c r="H863" s="114"/>
      <c r="I863" s="114"/>
      <c r="J863" s="114"/>
      <c r="K863" s="114"/>
      <c r="L863" s="114"/>
      <c r="M863" s="114"/>
      <c r="N863" s="114"/>
      <c r="O863" s="242"/>
      <c r="P863" s="243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  <c r="AB863" s="114"/>
      <c r="AC863" s="114"/>
      <c r="AD863" s="114"/>
      <c r="AE863" s="114"/>
      <c r="AF863" s="114"/>
      <c r="AM863" s="114"/>
      <c r="AN863" s="236"/>
      <c r="AO863" s="114"/>
    </row>
    <row r="864" ht="15.75" customHeight="1">
      <c r="C864" s="114"/>
      <c r="D864" s="114"/>
      <c r="E864" s="114"/>
      <c r="F864" s="114"/>
      <c r="G864" s="114"/>
      <c r="H864" s="114"/>
      <c r="I864" s="114"/>
      <c r="J864" s="114"/>
      <c r="K864" s="114"/>
      <c r="L864" s="114"/>
      <c r="M864" s="114"/>
      <c r="N864" s="114"/>
      <c r="O864" s="242"/>
      <c r="P864" s="243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  <c r="AB864" s="114"/>
      <c r="AC864" s="114"/>
      <c r="AD864" s="114"/>
      <c r="AE864" s="114"/>
      <c r="AF864" s="114"/>
      <c r="AM864" s="114"/>
      <c r="AN864" s="236"/>
      <c r="AO864" s="114"/>
    </row>
    <row r="865" ht="15.75" customHeight="1">
      <c r="C865" s="114"/>
      <c r="D865" s="114"/>
      <c r="E865" s="114"/>
      <c r="F865" s="114"/>
      <c r="G865" s="114"/>
      <c r="H865" s="114"/>
      <c r="I865" s="114"/>
      <c r="J865" s="114"/>
      <c r="K865" s="114"/>
      <c r="L865" s="114"/>
      <c r="M865" s="114"/>
      <c r="N865" s="114"/>
      <c r="O865" s="242"/>
      <c r="P865" s="243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  <c r="AB865" s="114"/>
      <c r="AC865" s="114"/>
      <c r="AD865" s="114"/>
      <c r="AE865" s="114"/>
      <c r="AF865" s="114"/>
      <c r="AM865" s="114"/>
      <c r="AN865" s="236"/>
      <c r="AO865" s="114"/>
    </row>
    <row r="866" ht="15.75" customHeight="1">
      <c r="C866" s="114"/>
      <c r="D866" s="114"/>
      <c r="E866" s="114"/>
      <c r="F866" s="114"/>
      <c r="G866" s="114"/>
      <c r="H866" s="114"/>
      <c r="I866" s="114"/>
      <c r="J866" s="114"/>
      <c r="K866" s="114"/>
      <c r="L866" s="114"/>
      <c r="M866" s="114"/>
      <c r="N866" s="114"/>
      <c r="O866" s="242"/>
      <c r="P866" s="243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  <c r="AB866" s="114"/>
      <c r="AC866" s="114"/>
      <c r="AD866" s="114"/>
      <c r="AE866" s="114"/>
      <c r="AF866" s="114"/>
      <c r="AM866" s="114"/>
      <c r="AN866" s="236"/>
      <c r="AO866" s="114"/>
    </row>
    <row r="867" ht="15.75" customHeight="1">
      <c r="C867" s="114"/>
      <c r="D867" s="114"/>
      <c r="E867" s="114"/>
      <c r="F867" s="114"/>
      <c r="G867" s="114"/>
      <c r="H867" s="114"/>
      <c r="I867" s="114"/>
      <c r="J867" s="114"/>
      <c r="K867" s="114"/>
      <c r="L867" s="114"/>
      <c r="M867" s="114"/>
      <c r="N867" s="114"/>
      <c r="O867" s="242"/>
      <c r="P867" s="243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  <c r="AB867" s="114"/>
      <c r="AC867" s="114"/>
      <c r="AD867" s="114"/>
      <c r="AE867" s="114"/>
      <c r="AF867" s="114"/>
      <c r="AM867" s="114"/>
      <c r="AN867" s="236"/>
      <c r="AO867" s="114"/>
    </row>
    <row r="868" ht="15.75" customHeight="1">
      <c r="C868" s="114"/>
      <c r="D868" s="114"/>
      <c r="E868" s="114"/>
      <c r="F868" s="114"/>
      <c r="G868" s="114"/>
      <c r="H868" s="114"/>
      <c r="I868" s="114"/>
      <c r="J868" s="114"/>
      <c r="K868" s="114"/>
      <c r="L868" s="114"/>
      <c r="M868" s="114"/>
      <c r="N868" s="114"/>
      <c r="O868" s="242"/>
      <c r="P868" s="243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  <c r="AB868" s="114"/>
      <c r="AC868" s="114"/>
      <c r="AD868" s="114"/>
      <c r="AE868" s="114"/>
      <c r="AF868" s="114"/>
      <c r="AM868" s="114"/>
      <c r="AN868" s="236"/>
      <c r="AO868" s="114"/>
    </row>
    <row r="869" ht="15.75" customHeight="1">
      <c r="C869" s="114"/>
      <c r="D869" s="114"/>
      <c r="E869" s="114"/>
      <c r="F869" s="114"/>
      <c r="G869" s="114"/>
      <c r="H869" s="114"/>
      <c r="I869" s="114"/>
      <c r="J869" s="114"/>
      <c r="K869" s="114"/>
      <c r="L869" s="114"/>
      <c r="M869" s="114"/>
      <c r="N869" s="114"/>
      <c r="O869" s="242"/>
      <c r="P869" s="243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  <c r="AB869" s="114"/>
      <c r="AC869" s="114"/>
      <c r="AD869" s="114"/>
      <c r="AE869" s="114"/>
      <c r="AF869" s="114"/>
      <c r="AM869" s="114"/>
      <c r="AN869" s="236"/>
      <c r="AO869" s="114"/>
    </row>
    <row r="870" ht="15.75" customHeight="1">
      <c r="C870" s="114"/>
      <c r="D870" s="114"/>
      <c r="E870" s="114"/>
      <c r="F870" s="114"/>
      <c r="G870" s="114"/>
      <c r="H870" s="114"/>
      <c r="I870" s="114"/>
      <c r="J870" s="114"/>
      <c r="K870" s="114"/>
      <c r="L870" s="114"/>
      <c r="M870" s="114"/>
      <c r="N870" s="114"/>
      <c r="O870" s="242"/>
      <c r="P870" s="243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  <c r="AB870" s="114"/>
      <c r="AC870" s="114"/>
      <c r="AD870" s="114"/>
      <c r="AE870" s="114"/>
      <c r="AF870" s="114"/>
      <c r="AM870" s="114"/>
      <c r="AN870" s="236"/>
      <c r="AO870" s="114"/>
    </row>
    <row r="871" ht="15.75" customHeight="1">
      <c r="C871" s="114"/>
      <c r="D871" s="114"/>
      <c r="E871" s="114"/>
      <c r="F871" s="114"/>
      <c r="G871" s="114"/>
      <c r="H871" s="114"/>
      <c r="I871" s="114"/>
      <c r="J871" s="114"/>
      <c r="K871" s="114"/>
      <c r="L871" s="114"/>
      <c r="M871" s="114"/>
      <c r="N871" s="114"/>
      <c r="O871" s="242"/>
      <c r="P871" s="243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  <c r="AB871" s="114"/>
      <c r="AC871" s="114"/>
      <c r="AD871" s="114"/>
      <c r="AE871" s="114"/>
      <c r="AF871" s="114"/>
      <c r="AM871" s="114"/>
      <c r="AN871" s="236"/>
      <c r="AO871" s="114"/>
    </row>
    <row r="872" ht="15.75" customHeight="1">
      <c r="C872" s="114"/>
      <c r="D872" s="114"/>
      <c r="E872" s="114"/>
      <c r="F872" s="114"/>
      <c r="G872" s="114"/>
      <c r="H872" s="114"/>
      <c r="I872" s="114"/>
      <c r="J872" s="114"/>
      <c r="K872" s="114"/>
      <c r="L872" s="114"/>
      <c r="M872" s="114"/>
      <c r="N872" s="114"/>
      <c r="O872" s="242"/>
      <c r="P872" s="243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  <c r="AB872" s="114"/>
      <c r="AC872" s="114"/>
      <c r="AD872" s="114"/>
      <c r="AE872" s="114"/>
      <c r="AF872" s="114"/>
      <c r="AM872" s="114"/>
      <c r="AN872" s="236"/>
      <c r="AO872" s="114"/>
    </row>
    <row r="873" ht="15.75" customHeight="1">
      <c r="C873" s="114"/>
      <c r="D873" s="114"/>
      <c r="E873" s="114"/>
      <c r="F873" s="114"/>
      <c r="G873" s="114"/>
      <c r="H873" s="114"/>
      <c r="I873" s="114"/>
      <c r="J873" s="114"/>
      <c r="K873" s="114"/>
      <c r="L873" s="114"/>
      <c r="M873" s="114"/>
      <c r="N873" s="114"/>
      <c r="O873" s="242"/>
      <c r="P873" s="243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  <c r="AB873" s="114"/>
      <c r="AC873" s="114"/>
      <c r="AD873" s="114"/>
      <c r="AE873" s="114"/>
      <c r="AF873" s="114"/>
      <c r="AM873" s="114"/>
      <c r="AN873" s="236"/>
      <c r="AO873" s="114"/>
    </row>
    <row r="874" ht="15.75" customHeight="1">
      <c r="C874" s="114"/>
      <c r="D874" s="114"/>
      <c r="E874" s="114"/>
      <c r="F874" s="114"/>
      <c r="G874" s="114"/>
      <c r="H874" s="114"/>
      <c r="I874" s="114"/>
      <c r="J874" s="114"/>
      <c r="K874" s="114"/>
      <c r="L874" s="114"/>
      <c r="M874" s="114"/>
      <c r="N874" s="114"/>
      <c r="O874" s="242"/>
      <c r="P874" s="243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  <c r="AB874" s="114"/>
      <c r="AC874" s="114"/>
      <c r="AD874" s="114"/>
      <c r="AE874" s="114"/>
      <c r="AF874" s="114"/>
      <c r="AM874" s="114"/>
      <c r="AN874" s="236"/>
      <c r="AO874" s="114"/>
    </row>
    <row r="875" ht="15.75" customHeight="1">
      <c r="C875" s="114"/>
      <c r="D875" s="114"/>
      <c r="E875" s="114"/>
      <c r="F875" s="114"/>
      <c r="G875" s="114"/>
      <c r="H875" s="114"/>
      <c r="I875" s="114"/>
      <c r="J875" s="114"/>
      <c r="K875" s="114"/>
      <c r="L875" s="114"/>
      <c r="M875" s="114"/>
      <c r="N875" s="114"/>
      <c r="O875" s="242"/>
      <c r="P875" s="243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  <c r="AA875" s="114"/>
      <c r="AB875" s="114"/>
      <c r="AC875" s="114"/>
      <c r="AD875" s="114"/>
      <c r="AE875" s="114"/>
      <c r="AF875" s="114"/>
      <c r="AM875" s="114"/>
      <c r="AN875" s="236"/>
      <c r="AO875" s="114"/>
    </row>
    <row r="876" ht="15.75" customHeight="1">
      <c r="C876" s="114"/>
      <c r="D876" s="114"/>
      <c r="E876" s="114"/>
      <c r="F876" s="114"/>
      <c r="G876" s="114"/>
      <c r="H876" s="114"/>
      <c r="I876" s="114"/>
      <c r="J876" s="114"/>
      <c r="K876" s="114"/>
      <c r="L876" s="114"/>
      <c r="M876" s="114"/>
      <c r="N876" s="114"/>
      <c r="O876" s="242"/>
      <c r="P876" s="243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  <c r="AB876" s="114"/>
      <c r="AC876" s="114"/>
      <c r="AD876" s="114"/>
      <c r="AE876" s="114"/>
      <c r="AF876" s="114"/>
      <c r="AM876" s="114"/>
      <c r="AN876" s="236"/>
      <c r="AO876" s="114"/>
    </row>
    <row r="877" ht="15.75" customHeight="1">
      <c r="C877" s="114"/>
      <c r="D877" s="114"/>
      <c r="E877" s="114"/>
      <c r="F877" s="114"/>
      <c r="G877" s="114"/>
      <c r="H877" s="114"/>
      <c r="I877" s="114"/>
      <c r="J877" s="114"/>
      <c r="K877" s="114"/>
      <c r="L877" s="114"/>
      <c r="M877" s="114"/>
      <c r="N877" s="114"/>
      <c r="O877" s="242"/>
      <c r="P877" s="243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  <c r="AB877" s="114"/>
      <c r="AC877" s="114"/>
      <c r="AD877" s="114"/>
      <c r="AE877" s="114"/>
      <c r="AF877" s="114"/>
      <c r="AM877" s="114"/>
      <c r="AN877" s="236"/>
      <c r="AO877" s="114"/>
    </row>
    <row r="878" ht="15.75" customHeight="1">
      <c r="C878" s="114"/>
      <c r="D878" s="114"/>
      <c r="E878" s="114"/>
      <c r="F878" s="114"/>
      <c r="G878" s="114"/>
      <c r="H878" s="114"/>
      <c r="I878" s="114"/>
      <c r="J878" s="114"/>
      <c r="K878" s="114"/>
      <c r="L878" s="114"/>
      <c r="M878" s="114"/>
      <c r="N878" s="114"/>
      <c r="O878" s="242"/>
      <c r="P878" s="243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  <c r="AA878" s="114"/>
      <c r="AB878" s="114"/>
      <c r="AC878" s="114"/>
      <c r="AD878" s="114"/>
      <c r="AE878" s="114"/>
      <c r="AF878" s="114"/>
      <c r="AM878" s="114"/>
      <c r="AN878" s="236"/>
      <c r="AO878" s="114"/>
    </row>
    <row r="879" ht="15.75" customHeight="1">
      <c r="C879" s="114"/>
      <c r="D879" s="114"/>
      <c r="E879" s="114"/>
      <c r="F879" s="114"/>
      <c r="G879" s="114"/>
      <c r="H879" s="114"/>
      <c r="I879" s="114"/>
      <c r="J879" s="114"/>
      <c r="K879" s="114"/>
      <c r="L879" s="114"/>
      <c r="M879" s="114"/>
      <c r="N879" s="114"/>
      <c r="O879" s="242"/>
      <c r="P879" s="243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  <c r="AB879" s="114"/>
      <c r="AC879" s="114"/>
      <c r="AD879" s="114"/>
      <c r="AE879" s="114"/>
      <c r="AF879" s="114"/>
      <c r="AM879" s="114"/>
      <c r="AN879" s="236"/>
      <c r="AO879" s="114"/>
    </row>
    <row r="880" ht="15.75" customHeight="1">
      <c r="C880" s="114"/>
      <c r="D880" s="114"/>
      <c r="E880" s="114"/>
      <c r="F880" s="114"/>
      <c r="G880" s="114"/>
      <c r="H880" s="114"/>
      <c r="I880" s="114"/>
      <c r="J880" s="114"/>
      <c r="K880" s="114"/>
      <c r="L880" s="114"/>
      <c r="M880" s="114"/>
      <c r="N880" s="114"/>
      <c r="O880" s="242"/>
      <c r="P880" s="243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  <c r="AB880" s="114"/>
      <c r="AC880" s="114"/>
      <c r="AD880" s="114"/>
      <c r="AE880" s="114"/>
      <c r="AF880" s="114"/>
      <c r="AM880" s="114"/>
      <c r="AN880" s="236"/>
      <c r="AO880" s="114"/>
    </row>
    <row r="881" ht="15.75" customHeight="1">
      <c r="C881" s="114"/>
      <c r="D881" s="114"/>
      <c r="E881" s="114"/>
      <c r="F881" s="114"/>
      <c r="G881" s="114"/>
      <c r="H881" s="114"/>
      <c r="I881" s="114"/>
      <c r="J881" s="114"/>
      <c r="K881" s="114"/>
      <c r="L881" s="114"/>
      <c r="M881" s="114"/>
      <c r="N881" s="114"/>
      <c r="O881" s="242"/>
      <c r="P881" s="243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  <c r="AB881" s="114"/>
      <c r="AC881" s="114"/>
      <c r="AD881" s="114"/>
      <c r="AE881" s="114"/>
      <c r="AF881" s="114"/>
      <c r="AM881" s="114"/>
      <c r="AN881" s="236"/>
      <c r="AO881" s="114"/>
    </row>
    <row r="882" ht="15.75" customHeight="1">
      <c r="C882" s="114"/>
      <c r="D882" s="114"/>
      <c r="E882" s="114"/>
      <c r="F882" s="114"/>
      <c r="G882" s="114"/>
      <c r="H882" s="114"/>
      <c r="I882" s="114"/>
      <c r="J882" s="114"/>
      <c r="K882" s="114"/>
      <c r="L882" s="114"/>
      <c r="M882" s="114"/>
      <c r="N882" s="114"/>
      <c r="O882" s="242"/>
      <c r="P882" s="243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  <c r="AB882" s="114"/>
      <c r="AC882" s="114"/>
      <c r="AD882" s="114"/>
      <c r="AE882" s="114"/>
      <c r="AF882" s="114"/>
      <c r="AM882" s="114"/>
      <c r="AN882" s="236"/>
      <c r="AO882" s="114"/>
    </row>
    <row r="883" ht="15.75" customHeight="1">
      <c r="C883" s="114"/>
      <c r="D883" s="114"/>
      <c r="E883" s="114"/>
      <c r="F883" s="114"/>
      <c r="G883" s="114"/>
      <c r="H883" s="114"/>
      <c r="I883" s="114"/>
      <c r="J883" s="114"/>
      <c r="K883" s="114"/>
      <c r="L883" s="114"/>
      <c r="M883" s="114"/>
      <c r="N883" s="114"/>
      <c r="O883" s="242"/>
      <c r="P883" s="243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  <c r="AB883" s="114"/>
      <c r="AC883" s="114"/>
      <c r="AD883" s="114"/>
      <c r="AE883" s="114"/>
      <c r="AF883" s="114"/>
      <c r="AM883" s="114"/>
      <c r="AN883" s="236"/>
      <c r="AO883" s="114"/>
    </row>
    <row r="884" ht="15.75" customHeight="1">
      <c r="C884" s="114"/>
      <c r="D884" s="114"/>
      <c r="E884" s="114"/>
      <c r="F884" s="114"/>
      <c r="G884" s="114"/>
      <c r="H884" s="114"/>
      <c r="I884" s="114"/>
      <c r="J884" s="114"/>
      <c r="K884" s="114"/>
      <c r="L884" s="114"/>
      <c r="M884" s="114"/>
      <c r="N884" s="114"/>
      <c r="O884" s="242"/>
      <c r="P884" s="243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  <c r="AB884" s="114"/>
      <c r="AC884" s="114"/>
      <c r="AD884" s="114"/>
      <c r="AE884" s="114"/>
      <c r="AF884" s="114"/>
      <c r="AM884" s="114"/>
      <c r="AN884" s="236"/>
      <c r="AO884" s="114"/>
    </row>
    <row r="885" ht="15.75" customHeight="1">
      <c r="C885" s="114"/>
      <c r="D885" s="114"/>
      <c r="E885" s="114"/>
      <c r="F885" s="114"/>
      <c r="G885" s="114"/>
      <c r="H885" s="114"/>
      <c r="I885" s="114"/>
      <c r="J885" s="114"/>
      <c r="K885" s="114"/>
      <c r="L885" s="114"/>
      <c r="M885" s="114"/>
      <c r="N885" s="114"/>
      <c r="O885" s="242"/>
      <c r="P885" s="243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  <c r="AB885" s="114"/>
      <c r="AC885" s="114"/>
      <c r="AD885" s="114"/>
      <c r="AE885" s="114"/>
      <c r="AF885" s="114"/>
      <c r="AM885" s="114"/>
      <c r="AN885" s="236"/>
      <c r="AO885" s="114"/>
    </row>
    <row r="886" ht="15.75" customHeight="1">
      <c r="C886" s="114"/>
      <c r="D886" s="114"/>
      <c r="E886" s="114"/>
      <c r="F886" s="114"/>
      <c r="G886" s="114"/>
      <c r="H886" s="114"/>
      <c r="I886" s="114"/>
      <c r="J886" s="114"/>
      <c r="K886" s="114"/>
      <c r="L886" s="114"/>
      <c r="M886" s="114"/>
      <c r="N886" s="114"/>
      <c r="O886" s="242"/>
      <c r="P886" s="243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  <c r="AB886" s="114"/>
      <c r="AC886" s="114"/>
      <c r="AD886" s="114"/>
      <c r="AE886" s="114"/>
      <c r="AF886" s="114"/>
      <c r="AM886" s="114"/>
      <c r="AN886" s="236"/>
      <c r="AO886" s="114"/>
    </row>
    <row r="887" ht="15.75" customHeight="1">
      <c r="C887" s="114"/>
      <c r="D887" s="114"/>
      <c r="E887" s="114"/>
      <c r="F887" s="114"/>
      <c r="G887" s="114"/>
      <c r="H887" s="114"/>
      <c r="I887" s="114"/>
      <c r="J887" s="114"/>
      <c r="K887" s="114"/>
      <c r="L887" s="114"/>
      <c r="M887" s="114"/>
      <c r="N887" s="114"/>
      <c r="O887" s="242"/>
      <c r="P887" s="243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  <c r="AB887" s="114"/>
      <c r="AC887" s="114"/>
      <c r="AD887" s="114"/>
      <c r="AE887" s="114"/>
      <c r="AF887" s="114"/>
      <c r="AM887" s="114"/>
      <c r="AN887" s="236"/>
      <c r="AO887" s="114"/>
    </row>
    <row r="888" ht="15.75" customHeight="1">
      <c r="C888" s="114"/>
      <c r="D888" s="114"/>
      <c r="E888" s="114"/>
      <c r="F888" s="114"/>
      <c r="G888" s="114"/>
      <c r="H888" s="114"/>
      <c r="I888" s="114"/>
      <c r="J888" s="114"/>
      <c r="K888" s="114"/>
      <c r="L888" s="114"/>
      <c r="M888" s="114"/>
      <c r="N888" s="114"/>
      <c r="O888" s="242"/>
      <c r="P888" s="243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  <c r="AB888" s="114"/>
      <c r="AC888" s="114"/>
      <c r="AD888" s="114"/>
      <c r="AE888" s="114"/>
      <c r="AF888" s="114"/>
      <c r="AM888" s="114"/>
      <c r="AN888" s="236"/>
      <c r="AO888" s="114"/>
    </row>
    <row r="889" ht="15.75" customHeight="1">
      <c r="C889" s="114"/>
      <c r="D889" s="114"/>
      <c r="E889" s="114"/>
      <c r="F889" s="114"/>
      <c r="G889" s="114"/>
      <c r="H889" s="114"/>
      <c r="I889" s="114"/>
      <c r="J889" s="114"/>
      <c r="K889" s="114"/>
      <c r="L889" s="114"/>
      <c r="M889" s="114"/>
      <c r="N889" s="114"/>
      <c r="O889" s="242"/>
      <c r="P889" s="243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  <c r="AB889" s="114"/>
      <c r="AC889" s="114"/>
      <c r="AD889" s="114"/>
      <c r="AE889" s="114"/>
      <c r="AF889" s="114"/>
      <c r="AM889" s="114"/>
      <c r="AN889" s="236"/>
      <c r="AO889" s="114"/>
    </row>
    <row r="890" ht="15.75" customHeight="1">
      <c r="C890" s="114"/>
      <c r="D890" s="114"/>
      <c r="E890" s="114"/>
      <c r="F890" s="114"/>
      <c r="G890" s="114"/>
      <c r="H890" s="114"/>
      <c r="I890" s="114"/>
      <c r="J890" s="114"/>
      <c r="K890" s="114"/>
      <c r="L890" s="114"/>
      <c r="M890" s="114"/>
      <c r="N890" s="114"/>
      <c r="O890" s="242"/>
      <c r="P890" s="243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  <c r="AB890" s="114"/>
      <c r="AC890" s="114"/>
      <c r="AD890" s="114"/>
      <c r="AE890" s="114"/>
      <c r="AF890" s="114"/>
      <c r="AM890" s="114"/>
      <c r="AN890" s="236"/>
      <c r="AO890" s="114"/>
    </row>
    <row r="891" ht="15.75" customHeight="1">
      <c r="C891" s="114"/>
      <c r="D891" s="114"/>
      <c r="E891" s="114"/>
      <c r="F891" s="114"/>
      <c r="G891" s="114"/>
      <c r="H891" s="114"/>
      <c r="I891" s="114"/>
      <c r="J891" s="114"/>
      <c r="K891" s="114"/>
      <c r="L891" s="114"/>
      <c r="M891" s="114"/>
      <c r="N891" s="114"/>
      <c r="O891" s="242"/>
      <c r="P891" s="243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  <c r="AA891" s="114"/>
      <c r="AB891" s="114"/>
      <c r="AC891" s="114"/>
      <c r="AD891" s="114"/>
      <c r="AE891" s="114"/>
      <c r="AF891" s="114"/>
      <c r="AM891" s="114"/>
      <c r="AN891" s="236"/>
      <c r="AO891" s="114"/>
    </row>
    <row r="892" ht="15.75" customHeight="1">
      <c r="C892" s="114"/>
      <c r="D892" s="114"/>
      <c r="E892" s="114"/>
      <c r="F892" s="114"/>
      <c r="G892" s="114"/>
      <c r="H892" s="114"/>
      <c r="I892" s="114"/>
      <c r="J892" s="114"/>
      <c r="K892" s="114"/>
      <c r="L892" s="114"/>
      <c r="M892" s="114"/>
      <c r="N892" s="114"/>
      <c r="O892" s="242"/>
      <c r="P892" s="243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  <c r="AB892" s="114"/>
      <c r="AC892" s="114"/>
      <c r="AD892" s="114"/>
      <c r="AE892" s="114"/>
      <c r="AF892" s="114"/>
      <c r="AM892" s="114"/>
      <c r="AN892" s="236"/>
      <c r="AO892" s="114"/>
    </row>
    <row r="893" ht="15.75" customHeight="1">
      <c r="C893" s="114"/>
      <c r="D893" s="114"/>
      <c r="E893" s="114"/>
      <c r="F893" s="114"/>
      <c r="G893" s="114"/>
      <c r="H893" s="114"/>
      <c r="I893" s="114"/>
      <c r="J893" s="114"/>
      <c r="K893" s="114"/>
      <c r="L893" s="114"/>
      <c r="M893" s="114"/>
      <c r="N893" s="114"/>
      <c r="O893" s="242"/>
      <c r="P893" s="243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  <c r="AB893" s="114"/>
      <c r="AC893" s="114"/>
      <c r="AD893" s="114"/>
      <c r="AE893" s="114"/>
      <c r="AF893" s="114"/>
      <c r="AM893" s="114"/>
      <c r="AN893" s="236"/>
      <c r="AO893" s="114"/>
    </row>
    <row r="894" ht="15.75" customHeight="1">
      <c r="C894" s="114"/>
      <c r="D894" s="114"/>
      <c r="E894" s="114"/>
      <c r="F894" s="114"/>
      <c r="G894" s="114"/>
      <c r="H894" s="114"/>
      <c r="I894" s="114"/>
      <c r="J894" s="114"/>
      <c r="K894" s="114"/>
      <c r="L894" s="114"/>
      <c r="M894" s="114"/>
      <c r="N894" s="114"/>
      <c r="O894" s="242"/>
      <c r="P894" s="243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  <c r="AA894" s="114"/>
      <c r="AB894" s="114"/>
      <c r="AC894" s="114"/>
      <c r="AD894" s="114"/>
      <c r="AE894" s="114"/>
      <c r="AF894" s="114"/>
      <c r="AM894" s="114"/>
      <c r="AN894" s="236"/>
      <c r="AO894" s="114"/>
    </row>
    <row r="895" ht="15.75" customHeight="1">
      <c r="C895" s="114"/>
      <c r="D895" s="114"/>
      <c r="E895" s="114"/>
      <c r="F895" s="114"/>
      <c r="G895" s="114"/>
      <c r="H895" s="114"/>
      <c r="I895" s="114"/>
      <c r="J895" s="114"/>
      <c r="K895" s="114"/>
      <c r="L895" s="114"/>
      <c r="M895" s="114"/>
      <c r="N895" s="114"/>
      <c r="O895" s="242"/>
      <c r="P895" s="243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  <c r="AB895" s="114"/>
      <c r="AC895" s="114"/>
      <c r="AD895" s="114"/>
      <c r="AE895" s="114"/>
      <c r="AF895" s="114"/>
      <c r="AM895" s="114"/>
      <c r="AN895" s="236"/>
      <c r="AO895" s="114"/>
    </row>
    <row r="896" ht="15.75" customHeight="1">
      <c r="C896" s="114"/>
      <c r="D896" s="114"/>
      <c r="E896" s="114"/>
      <c r="F896" s="114"/>
      <c r="G896" s="114"/>
      <c r="H896" s="114"/>
      <c r="I896" s="114"/>
      <c r="J896" s="114"/>
      <c r="K896" s="114"/>
      <c r="L896" s="114"/>
      <c r="M896" s="114"/>
      <c r="N896" s="114"/>
      <c r="O896" s="242"/>
      <c r="P896" s="243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  <c r="AB896" s="114"/>
      <c r="AC896" s="114"/>
      <c r="AD896" s="114"/>
      <c r="AE896" s="114"/>
      <c r="AF896" s="114"/>
      <c r="AM896" s="114"/>
      <c r="AN896" s="236"/>
      <c r="AO896" s="114"/>
    </row>
    <row r="897" ht="15.75" customHeight="1">
      <c r="C897" s="114"/>
      <c r="D897" s="114"/>
      <c r="E897" s="114"/>
      <c r="F897" s="114"/>
      <c r="G897" s="114"/>
      <c r="H897" s="114"/>
      <c r="I897" s="114"/>
      <c r="J897" s="114"/>
      <c r="K897" s="114"/>
      <c r="L897" s="114"/>
      <c r="M897" s="114"/>
      <c r="N897" s="114"/>
      <c r="O897" s="242"/>
      <c r="P897" s="243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  <c r="AB897" s="114"/>
      <c r="AC897" s="114"/>
      <c r="AD897" s="114"/>
      <c r="AE897" s="114"/>
      <c r="AF897" s="114"/>
      <c r="AM897" s="114"/>
      <c r="AN897" s="236"/>
      <c r="AO897" s="114"/>
    </row>
    <row r="898" ht="15.75" customHeight="1">
      <c r="C898" s="114"/>
      <c r="D898" s="114"/>
      <c r="E898" s="114"/>
      <c r="F898" s="114"/>
      <c r="G898" s="114"/>
      <c r="H898" s="114"/>
      <c r="I898" s="114"/>
      <c r="J898" s="114"/>
      <c r="K898" s="114"/>
      <c r="L898" s="114"/>
      <c r="M898" s="114"/>
      <c r="N898" s="114"/>
      <c r="O898" s="242"/>
      <c r="P898" s="243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  <c r="AB898" s="114"/>
      <c r="AC898" s="114"/>
      <c r="AD898" s="114"/>
      <c r="AE898" s="114"/>
      <c r="AF898" s="114"/>
      <c r="AM898" s="114"/>
      <c r="AN898" s="236"/>
      <c r="AO898" s="114"/>
    </row>
    <row r="899" ht="15.75" customHeight="1">
      <c r="C899" s="114"/>
      <c r="D899" s="114"/>
      <c r="E899" s="114"/>
      <c r="F899" s="114"/>
      <c r="G899" s="114"/>
      <c r="H899" s="114"/>
      <c r="I899" s="114"/>
      <c r="J899" s="114"/>
      <c r="K899" s="114"/>
      <c r="L899" s="114"/>
      <c r="M899" s="114"/>
      <c r="N899" s="114"/>
      <c r="O899" s="242"/>
      <c r="P899" s="243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  <c r="AB899" s="114"/>
      <c r="AC899" s="114"/>
      <c r="AD899" s="114"/>
      <c r="AE899" s="114"/>
      <c r="AF899" s="114"/>
      <c r="AM899" s="114"/>
      <c r="AN899" s="236"/>
      <c r="AO899" s="114"/>
    </row>
    <row r="900" ht="15.75" customHeight="1">
      <c r="C900" s="114"/>
      <c r="D900" s="114"/>
      <c r="E900" s="114"/>
      <c r="F900" s="114"/>
      <c r="G900" s="114"/>
      <c r="H900" s="114"/>
      <c r="I900" s="114"/>
      <c r="J900" s="114"/>
      <c r="K900" s="114"/>
      <c r="L900" s="114"/>
      <c r="M900" s="114"/>
      <c r="N900" s="114"/>
      <c r="O900" s="242"/>
      <c r="P900" s="243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  <c r="AB900" s="114"/>
      <c r="AC900" s="114"/>
      <c r="AD900" s="114"/>
      <c r="AE900" s="114"/>
      <c r="AF900" s="114"/>
      <c r="AM900" s="114"/>
      <c r="AN900" s="236"/>
      <c r="AO900" s="114"/>
    </row>
    <row r="901" ht="15.75" customHeight="1">
      <c r="C901" s="114"/>
      <c r="D901" s="114"/>
      <c r="E901" s="114"/>
      <c r="F901" s="114"/>
      <c r="G901" s="114"/>
      <c r="H901" s="114"/>
      <c r="I901" s="114"/>
      <c r="J901" s="114"/>
      <c r="K901" s="114"/>
      <c r="L901" s="114"/>
      <c r="M901" s="114"/>
      <c r="N901" s="114"/>
      <c r="O901" s="242"/>
      <c r="P901" s="243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  <c r="AB901" s="114"/>
      <c r="AC901" s="114"/>
      <c r="AD901" s="114"/>
      <c r="AE901" s="114"/>
      <c r="AF901" s="114"/>
      <c r="AM901" s="114"/>
      <c r="AN901" s="236"/>
      <c r="AO901" s="114"/>
    </row>
    <row r="902" ht="15.75" customHeight="1">
      <c r="C902" s="114"/>
      <c r="D902" s="114"/>
      <c r="E902" s="114"/>
      <c r="F902" s="114"/>
      <c r="G902" s="114"/>
      <c r="H902" s="114"/>
      <c r="I902" s="114"/>
      <c r="J902" s="114"/>
      <c r="K902" s="114"/>
      <c r="L902" s="114"/>
      <c r="M902" s="114"/>
      <c r="N902" s="114"/>
      <c r="O902" s="242"/>
      <c r="P902" s="243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  <c r="AB902" s="114"/>
      <c r="AC902" s="114"/>
      <c r="AD902" s="114"/>
      <c r="AE902" s="114"/>
      <c r="AF902" s="114"/>
      <c r="AM902" s="114"/>
      <c r="AN902" s="236"/>
      <c r="AO902" s="114"/>
    </row>
    <row r="903" ht="15.75" customHeight="1">
      <c r="C903" s="114"/>
      <c r="D903" s="114"/>
      <c r="E903" s="114"/>
      <c r="F903" s="114"/>
      <c r="G903" s="114"/>
      <c r="H903" s="114"/>
      <c r="I903" s="114"/>
      <c r="J903" s="114"/>
      <c r="K903" s="114"/>
      <c r="L903" s="114"/>
      <c r="M903" s="114"/>
      <c r="N903" s="114"/>
      <c r="O903" s="242"/>
      <c r="P903" s="243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  <c r="AB903" s="114"/>
      <c r="AC903" s="114"/>
      <c r="AD903" s="114"/>
      <c r="AE903" s="114"/>
      <c r="AF903" s="114"/>
      <c r="AM903" s="114"/>
      <c r="AN903" s="236"/>
      <c r="AO903" s="114"/>
    </row>
    <row r="904" ht="15.75" customHeight="1">
      <c r="C904" s="114"/>
      <c r="D904" s="114"/>
      <c r="E904" s="114"/>
      <c r="F904" s="114"/>
      <c r="G904" s="114"/>
      <c r="H904" s="114"/>
      <c r="I904" s="114"/>
      <c r="J904" s="114"/>
      <c r="K904" s="114"/>
      <c r="L904" s="114"/>
      <c r="M904" s="114"/>
      <c r="N904" s="114"/>
      <c r="O904" s="242"/>
      <c r="P904" s="243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  <c r="AB904" s="114"/>
      <c r="AC904" s="114"/>
      <c r="AD904" s="114"/>
      <c r="AE904" s="114"/>
      <c r="AF904" s="114"/>
      <c r="AM904" s="114"/>
      <c r="AN904" s="236"/>
      <c r="AO904" s="114"/>
    </row>
    <row r="905" ht="15.75" customHeight="1">
      <c r="C905" s="114"/>
      <c r="D905" s="114"/>
      <c r="E905" s="114"/>
      <c r="F905" s="114"/>
      <c r="G905" s="114"/>
      <c r="H905" s="114"/>
      <c r="I905" s="114"/>
      <c r="J905" s="114"/>
      <c r="K905" s="114"/>
      <c r="L905" s="114"/>
      <c r="M905" s="114"/>
      <c r="N905" s="114"/>
      <c r="O905" s="242"/>
      <c r="P905" s="243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  <c r="AB905" s="114"/>
      <c r="AC905" s="114"/>
      <c r="AD905" s="114"/>
      <c r="AE905" s="114"/>
      <c r="AF905" s="114"/>
      <c r="AM905" s="114"/>
      <c r="AN905" s="236"/>
      <c r="AO905" s="114"/>
    </row>
    <row r="906" ht="15.75" customHeight="1">
      <c r="C906" s="114"/>
      <c r="D906" s="114"/>
      <c r="E906" s="114"/>
      <c r="F906" s="114"/>
      <c r="G906" s="114"/>
      <c r="H906" s="114"/>
      <c r="I906" s="114"/>
      <c r="J906" s="114"/>
      <c r="K906" s="114"/>
      <c r="L906" s="114"/>
      <c r="M906" s="114"/>
      <c r="N906" s="114"/>
      <c r="O906" s="242"/>
      <c r="P906" s="243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  <c r="AB906" s="114"/>
      <c r="AC906" s="114"/>
      <c r="AD906" s="114"/>
      <c r="AE906" s="114"/>
      <c r="AF906" s="114"/>
      <c r="AM906" s="114"/>
      <c r="AN906" s="236"/>
      <c r="AO906" s="114"/>
    </row>
    <row r="907" ht="15.75" customHeight="1">
      <c r="C907" s="114"/>
      <c r="D907" s="114"/>
      <c r="E907" s="114"/>
      <c r="F907" s="114"/>
      <c r="G907" s="114"/>
      <c r="H907" s="114"/>
      <c r="I907" s="114"/>
      <c r="J907" s="114"/>
      <c r="K907" s="114"/>
      <c r="L907" s="114"/>
      <c r="M907" s="114"/>
      <c r="N907" s="114"/>
      <c r="O907" s="242"/>
      <c r="P907" s="243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  <c r="AA907" s="114"/>
      <c r="AB907" s="114"/>
      <c r="AC907" s="114"/>
      <c r="AD907" s="114"/>
      <c r="AE907" s="114"/>
      <c r="AF907" s="114"/>
      <c r="AM907" s="114"/>
      <c r="AN907" s="236"/>
      <c r="AO907" s="114"/>
    </row>
    <row r="908" ht="15.75" customHeight="1">
      <c r="C908" s="114"/>
      <c r="D908" s="114"/>
      <c r="E908" s="114"/>
      <c r="F908" s="114"/>
      <c r="G908" s="114"/>
      <c r="H908" s="114"/>
      <c r="I908" s="114"/>
      <c r="J908" s="114"/>
      <c r="K908" s="114"/>
      <c r="L908" s="114"/>
      <c r="M908" s="114"/>
      <c r="N908" s="114"/>
      <c r="O908" s="242"/>
      <c r="P908" s="243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  <c r="AB908" s="114"/>
      <c r="AC908" s="114"/>
      <c r="AD908" s="114"/>
      <c r="AE908" s="114"/>
      <c r="AF908" s="114"/>
      <c r="AM908" s="114"/>
      <c r="AN908" s="236"/>
      <c r="AO908" s="114"/>
    </row>
    <row r="909" ht="15.75" customHeight="1">
      <c r="C909" s="114"/>
      <c r="D909" s="114"/>
      <c r="E909" s="114"/>
      <c r="F909" s="114"/>
      <c r="G909" s="114"/>
      <c r="H909" s="114"/>
      <c r="I909" s="114"/>
      <c r="J909" s="114"/>
      <c r="K909" s="114"/>
      <c r="L909" s="114"/>
      <c r="M909" s="114"/>
      <c r="N909" s="114"/>
      <c r="O909" s="242"/>
      <c r="P909" s="243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  <c r="AB909" s="114"/>
      <c r="AC909" s="114"/>
      <c r="AD909" s="114"/>
      <c r="AE909" s="114"/>
      <c r="AF909" s="114"/>
      <c r="AM909" s="114"/>
      <c r="AN909" s="236"/>
      <c r="AO909" s="114"/>
    </row>
    <row r="910" ht="15.75" customHeight="1">
      <c r="C910" s="114"/>
      <c r="D910" s="114"/>
      <c r="E910" s="114"/>
      <c r="F910" s="114"/>
      <c r="G910" s="114"/>
      <c r="H910" s="114"/>
      <c r="I910" s="114"/>
      <c r="J910" s="114"/>
      <c r="K910" s="114"/>
      <c r="L910" s="114"/>
      <c r="M910" s="114"/>
      <c r="N910" s="114"/>
      <c r="O910" s="242"/>
      <c r="P910" s="243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  <c r="AA910" s="114"/>
      <c r="AB910" s="114"/>
      <c r="AC910" s="114"/>
      <c r="AD910" s="114"/>
      <c r="AE910" s="114"/>
      <c r="AF910" s="114"/>
      <c r="AM910" s="114"/>
      <c r="AN910" s="236"/>
      <c r="AO910" s="114"/>
    </row>
    <row r="911" ht="15.75" customHeight="1">
      <c r="C911" s="114"/>
      <c r="D911" s="114"/>
      <c r="E911" s="114"/>
      <c r="F911" s="114"/>
      <c r="G911" s="114"/>
      <c r="H911" s="114"/>
      <c r="I911" s="114"/>
      <c r="J911" s="114"/>
      <c r="K911" s="114"/>
      <c r="L911" s="114"/>
      <c r="M911" s="114"/>
      <c r="N911" s="114"/>
      <c r="O911" s="242"/>
      <c r="P911" s="243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  <c r="AB911" s="114"/>
      <c r="AC911" s="114"/>
      <c r="AD911" s="114"/>
      <c r="AE911" s="114"/>
      <c r="AF911" s="114"/>
      <c r="AM911" s="114"/>
      <c r="AN911" s="236"/>
      <c r="AO911" s="114"/>
    </row>
    <row r="912" ht="15.75" customHeight="1">
      <c r="C912" s="114"/>
      <c r="D912" s="114"/>
      <c r="E912" s="114"/>
      <c r="F912" s="114"/>
      <c r="G912" s="114"/>
      <c r="H912" s="114"/>
      <c r="I912" s="114"/>
      <c r="J912" s="114"/>
      <c r="K912" s="114"/>
      <c r="L912" s="114"/>
      <c r="M912" s="114"/>
      <c r="N912" s="114"/>
      <c r="O912" s="242"/>
      <c r="P912" s="243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  <c r="AB912" s="114"/>
      <c r="AC912" s="114"/>
      <c r="AD912" s="114"/>
      <c r="AE912" s="114"/>
      <c r="AF912" s="114"/>
      <c r="AM912" s="114"/>
      <c r="AN912" s="236"/>
      <c r="AO912" s="114"/>
    </row>
    <row r="913" ht="15.75" customHeight="1">
      <c r="C913" s="114"/>
      <c r="D913" s="114"/>
      <c r="E913" s="114"/>
      <c r="F913" s="114"/>
      <c r="G913" s="114"/>
      <c r="H913" s="114"/>
      <c r="I913" s="114"/>
      <c r="J913" s="114"/>
      <c r="K913" s="114"/>
      <c r="L913" s="114"/>
      <c r="M913" s="114"/>
      <c r="N913" s="114"/>
      <c r="O913" s="242"/>
      <c r="P913" s="243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  <c r="AB913" s="114"/>
      <c r="AC913" s="114"/>
      <c r="AD913" s="114"/>
      <c r="AE913" s="114"/>
      <c r="AF913" s="114"/>
      <c r="AM913" s="114"/>
      <c r="AN913" s="236"/>
      <c r="AO913" s="114"/>
    </row>
    <row r="914" ht="15.75" customHeight="1">
      <c r="C914" s="114"/>
      <c r="D914" s="114"/>
      <c r="E914" s="114"/>
      <c r="F914" s="114"/>
      <c r="G914" s="114"/>
      <c r="H914" s="114"/>
      <c r="I914" s="114"/>
      <c r="J914" s="114"/>
      <c r="K914" s="114"/>
      <c r="L914" s="114"/>
      <c r="M914" s="114"/>
      <c r="N914" s="114"/>
      <c r="O914" s="242"/>
      <c r="P914" s="243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  <c r="AB914" s="114"/>
      <c r="AC914" s="114"/>
      <c r="AD914" s="114"/>
      <c r="AE914" s="114"/>
      <c r="AF914" s="114"/>
      <c r="AM914" s="114"/>
      <c r="AN914" s="236"/>
      <c r="AO914" s="114"/>
    </row>
    <row r="915" ht="15.75" customHeight="1">
      <c r="C915" s="114"/>
      <c r="D915" s="114"/>
      <c r="E915" s="114"/>
      <c r="F915" s="114"/>
      <c r="G915" s="114"/>
      <c r="H915" s="114"/>
      <c r="I915" s="114"/>
      <c r="J915" s="114"/>
      <c r="K915" s="114"/>
      <c r="L915" s="114"/>
      <c r="M915" s="114"/>
      <c r="N915" s="114"/>
      <c r="O915" s="242"/>
      <c r="P915" s="243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  <c r="AB915" s="114"/>
      <c r="AC915" s="114"/>
      <c r="AD915" s="114"/>
      <c r="AE915" s="114"/>
      <c r="AF915" s="114"/>
      <c r="AM915" s="114"/>
      <c r="AN915" s="236"/>
      <c r="AO915" s="114"/>
    </row>
    <row r="916" ht="15.75" customHeight="1">
      <c r="C916" s="114"/>
      <c r="D916" s="114"/>
      <c r="E916" s="114"/>
      <c r="F916" s="114"/>
      <c r="G916" s="114"/>
      <c r="H916" s="114"/>
      <c r="I916" s="114"/>
      <c r="J916" s="114"/>
      <c r="K916" s="114"/>
      <c r="L916" s="114"/>
      <c r="M916" s="114"/>
      <c r="N916" s="114"/>
      <c r="O916" s="242"/>
      <c r="P916" s="243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  <c r="AB916" s="114"/>
      <c r="AC916" s="114"/>
      <c r="AD916" s="114"/>
      <c r="AE916" s="114"/>
      <c r="AF916" s="114"/>
      <c r="AM916" s="114"/>
      <c r="AN916" s="236"/>
      <c r="AO916" s="114"/>
    </row>
    <row r="917" ht="15.75" customHeight="1">
      <c r="C917" s="114"/>
      <c r="D917" s="114"/>
      <c r="E917" s="114"/>
      <c r="F917" s="114"/>
      <c r="G917" s="114"/>
      <c r="H917" s="114"/>
      <c r="I917" s="114"/>
      <c r="J917" s="114"/>
      <c r="K917" s="114"/>
      <c r="L917" s="114"/>
      <c r="M917" s="114"/>
      <c r="N917" s="114"/>
      <c r="O917" s="242"/>
      <c r="P917" s="243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  <c r="AB917" s="114"/>
      <c r="AC917" s="114"/>
      <c r="AD917" s="114"/>
      <c r="AE917" s="114"/>
      <c r="AF917" s="114"/>
      <c r="AM917" s="114"/>
      <c r="AN917" s="236"/>
      <c r="AO917" s="114"/>
    </row>
    <row r="918" ht="15.75" customHeight="1">
      <c r="C918" s="114"/>
      <c r="D918" s="114"/>
      <c r="E918" s="114"/>
      <c r="F918" s="114"/>
      <c r="G918" s="114"/>
      <c r="H918" s="114"/>
      <c r="I918" s="114"/>
      <c r="J918" s="114"/>
      <c r="K918" s="114"/>
      <c r="L918" s="114"/>
      <c r="M918" s="114"/>
      <c r="N918" s="114"/>
      <c r="O918" s="242"/>
      <c r="P918" s="243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  <c r="AB918" s="114"/>
      <c r="AC918" s="114"/>
      <c r="AD918" s="114"/>
      <c r="AE918" s="114"/>
      <c r="AF918" s="114"/>
      <c r="AM918" s="114"/>
      <c r="AN918" s="236"/>
      <c r="AO918" s="114"/>
    </row>
    <row r="919" ht="15.75" customHeight="1">
      <c r="C919" s="114"/>
      <c r="D919" s="114"/>
      <c r="E919" s="114"/>
      <c r="F919" s="114"/>
      <c r="G919" s="114"/>
      <c r="H919" s="114"/>
      <c r="I919" s="114"/>
      <c r="J919" s="114"/>
      <c r="K919" s="114"/>
      <c r="L919" s="114"/>
      <c r="M919" s="114"/>
      <c r="N919" s="114"/>
      <c r="O919" s="242"/>
      <c r="P919" s="243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  <c r="AB919" s="114"/>
      <c r="AC919" s="114"/>
      <c r="AD919" s="114"/>
      <c r="AE919" s="114"/>
      <c r="AF919" s="114"/>
      <c r="AM919" s="114"/>
      <c r="AN919" s="236"/>
      <c r="AO919" s="114"/>
    </row>
    <row r="920" ht="15.75" customHeight="1">
      <c r="C920" s="114"/>
      <c r="D920" s="114"/>
      <c r="E920" s="114"/>
      <c r="F920" s="114"/>
      <c r="G920" s="114"/>
      <c r="H920" s="114"/>
      <c r="I920" s="114"/>
      <c r="J920" s="114"/>
      <c r="K920" s="114"/>
      <c r="L920" s="114"/>
      <c r="M920" s="114"/>
      <c r="N920" s="114"/>
      <c r="O920" s="242"/>
      <c r="P920" s="243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  <c r="AB920" s="114"/>
      <c r="AC920" s="114"/>
      <c r="AD920" s="114"/>
      <c r="AE920" s="114"/>
      <c r="AF920" s="114"/>
      <c r="AM920" s="114"/>
      <c r="AN920" s="236"/>
      <c r="AO920" s="114"/>
    </row>
    <row r="921" ht="15.75" customHeight="1">
      <c r="C921" s="114"/>
      <c r="D921" s="114"/>
      <c r="E921" s="114"/>
      <c r="F921" s="114"/>
      <c r="G921" s="114"/>
      <c r="H921" s="114"/>
      <c r="I921" s="114"/>
      <c r="J921" s="114"/>
      <c r="K921" s="114"/>
      <c r="L921" s="114"/>
      <c r="M921" s="114"/>
      <c r="N921" s="114"/>
      <c r="O921" s="242"/>
      <c r="P921" s="243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  <c r="AB921" s="114"/>
      <c r="AC921" s="114"/>
      <c r="AD921" s="114"/>
      <c r="AE921" s="114"/>
      <c r="AF921" s="114"/>
      <c r="AM921" s="114"/>
      <c r="AN921" s="236"/>
      <c r="AO921" s="114"/>
    </row>
    <row r="922" ht="15.75" customHeight="1">
      <c r="C922" s="114"/>
      <c r="D922" s="114"/>
      <c r="E922" s="114"/>
      <c r="F922" s="114"/>
      <c r="G922" s="114"/>
      <c r="H922" s="114"/>
      <c r="I922" s="114"/>
      <c r="J922" s="114"/>
      <c r="K922" s="114"/>
      <c r="L922" s="114"/>
      <c r="M922" s="114"/>
      <c r="N922" s="114"/>
      <c r="O922" s="242"/>
      <c r="P922" s="243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  <c r="AB922" s="114"/>
      <c r="AC922" s="114"/>
      <c r="AD922" s="114"/>
      <c r="AE922" s="114"/>
      <c r="AF922" s="114"/>
      <c r="AM922" s="114"/>
      <c r="AN922" s="236"/>
      <c r="AO922" s="114"/>
    </row>
    <row r="923" ht="15.75" customHeight="1">
      <c r="C923" s="114"/>
      <c r="D923" s="114"/>
      <c r="E923" s="114"/>
      <c r="F923" s="114"/>
      <c r="G923" s="114"/>
      <c r="H923" s="114"/>
      <c r="I923" s="114"/>
      <c r="J923" s="114"/>
      <c r="K923" s="114"/>
      <c r="L923" s="114"/>
      <c r="M923" s="114"/>
      <c r="N923" s="114"/>
      <c r="O923" s="242"/>
      <c r="P923" s="243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  <c r="AA923" s="114"/>
      <c r="AB923" s="114"/>
      <c r="AC923" s="114"/>
      <c r="AD923" s="114"/>
      <c r="AE923" s="114"/>
      <c r="AF923" s="114"/>
      <c r="AM923" s="114"/>
      <c r="AN923" s="236"/>
      <c r="AO923" s="114"/>
    </row>
    <row r="924" ht="15.75" customHeight="1">
      <c r="C924" s="114"/>
      <c r="D924" s="114"/>
      <c r="E924" s="114"/>
      <c r="F924" s="114"/>
      <c r="G924" s="114"/>
      <c r="H924" s="114"/>
      <c r="I924" s="114"/>
      <c r="J924" s="114"/>
      <c r="K924" s="114"/>
      <c r="L924" s="114"/>
      <c r="M924" s="114"/>
      <c r="N924" s="114"/>
      <c r="O924" s="242"/>
      <c r="P924" s="243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  <c r="AB924" s="114"/>
      <c r="AC924" s="114"/>
      <c r="AD924" s="114"/>
      <c r="AE924" s="114"/>
      <c r="AF924" s="114"/>
      <c r="AM924" s="114"/>
      <c r="AN924" s="236"/>
      <c r="AO924" s="114"/>
    </row>
    <row r="925" ht="15.75" customHeight="1">
      <c r="C925" s="114"/>
      <c r="D925" s="114"/>
      <c r="E925" s="114"/>
      <c r="F925" s="114"/>
      <c r="G925" s="114"/>
      <c r="H925" s="114"/>
      <c r="I925" s="114"/>
      <c r="J925" s="114"/>
      <c r="K925" s="114"/>
      <c r="L925" s="114"/>
      <c r="M925" s="114"/>
      <c r="N925" s="114"/>
      <c r="O925" s="242"/>
      <c r="P925" s="243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  <c r="AB925" s="114"/>
      <c r="AC925" s="114"/>
      <c r="AD925" s="114"/>
      <c r="AE925" s="114"/>
      <c r="AF925" s="114"/>
      <c r="AM925" s="114"/>
      <c r="AN925" s="236"/>
      <c r="AO925" s="114"/>
    </row>
    <row r="926" ht="15.75" customHeight="1">
      <c r="C926" s="114"/>
      <c r="D926" s="114"/>
      <c r="E926" s="114"/>
      <c r="F926" s="114"/>
      <c r="G926" s="114"/>
      <c r="H926" s="114"/>
      <c r="I926" s="114"/>
      <c r="J926" s="114"/>
      <c r="K926" s="114"/>
      <c r="L926" s="114"/>
      <c r="M926" s="114"/>
      <c r="N926" s="114"/>
      <c r="O926" s="242"/>
      <c r="P926" s="243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  <c r="AA926" s="114"/>
      <c r="AB926" s="114"/>
      <c r="AC926" s="114"/>
      <c r="AD926" s="114"/>
      <c r="AE926" s="114"/>
      <c r="AF926" s="114"/>
      <c r="AM926" s="114"/>
      <c r="AN926" s="236"/>
      <c r="AO926" s="114"/>
    </row>
    <row r="927" ht="15.75" customHeight="1">
      <c r="C927" s="114"/>
      <c r="D927" s="114"/>
      <c r="E927" s="114"/>
      <c r="F927" s="114"/>
      <c r="G927" s="114"/>
      <c r="H927" s="114"/>
      <c r="I927" s="114"/>
      <c r="J927" s="114"/>
      <c r="K927" s="114"/>
      <c r="L927" s="114"/>
      <c r="M927" s="114"/>
      <c r="N927" s="114"/>
      <c r="O927" s="242"/>
      <c r="P927" s="243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  <c r="AB927" s="114"/>
      <c r="AC927" s="114"/>
      <c r="AD927" s="114"/>
      <c r="AE927" s="114"/>
      <c r="AF927" s="114"/>
      <c r="AM927" s="114"/>
      <c r="AN927" s="236"/>
      <c r="AO927" s="114"/>
    </row>
    <row r="928" ht="15.75" customHeight="1">
      <c r="C928" s="114"/>
      <c r="D928" s="114"/>
      <c r="E928" s="114"/>
      <c r="F928" s="114"/>
      <c r="G928" s="114"/>
      <c r="H928" s="114"/>
      <c r="I928" s="114"/>
      <c r="J928" s="114"/>
      <c r="K928" s="114"/>
      <c r="L928" s="114"/>
      <c r="M928" s="114"/>
      <c r="N928" s="114"/>
      <c r="O928" s="242"/>
      <c r="P928" s="243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  <c r="AB928" s="114"/>
      <c r="AC928" s="114"/>
      <c r="AD928" s="114"/>
      <c r="AE928" s="114"/>
      <c r="AF928" s="114"/>
      <c r="AM928" s="114"/>
      <c r="AN928" s="236"/>
      <c r="AO928" s="114"/>
    </row>
    <row r="929" ht="15.75" customHeight="1">
      <c r="C929" s="114"/>
      <c r="D929" s="114"/>
      <c r="E929" s="114"/>
      <c r="F929" s="114"/>
      <c r="G929" s="114"/>
      <c r="H929" s="114"/>
      <c r="I929" s="114"/>
      <c r="J929" s="114"/>
      <c r="K929" s="114"/>
      <c r="L929" s="114"/>
      <c r="M929" s="114"/>
      <c r="N929" s="114"/>
      <c r="O929" s="242"/>
      <c r="P929" s="243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  <c r="AB929" s="114"/>
      <c r="AC929" s="114"/>
      <c r="AD929" s="114"/>
      <c r="AE929" s="114"/>
      <c r="AF929" s="114"/>
      <c r="AM929" s="114"/>
      <c r="AN929" s="236"/>
      <c r="AO929" s="114"/>
    </row>
    <row r="930" ht="15.75" customHeight="1">
      <c r="C930" s="114"/>
      <c r="D930" s="114"/>
      <c r="E930" s="114"/>
      <c r="F930" s="114"/>
      <c r="G930" s="114"/>
      <c r="H930" s="114"/>
      <c r="I930" s="114"/>
      <c r="J930" s="114"/>
      <c r="K930" s="114"/>
      <c r="L930" s="114"/>
      <c r="M930" s="114"/>
      <c r="N930" s="114"/>
      <c r="O930" s="242"/>
      <c r="P930" s="243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  <c r="AB930" s="114"/>
      <c r="AC930" s="114"/>
      <c r="AD930" s="114"/>
      <c r="AE930" s="114"/>
      <c r="AF930" s="114"/>
      <c r="AM930" s="114"/>
      <c r="AN930" s="236"/>
      <c r="AO930" s="114"/>
    </row>
    <row r="931" ht="15.75" customHeight="1">
      <c r="C931" s="114"/>
      <c r="D931" s="114"/>
      <c r="E931" s="114"/>
      <c r="F931" s="114"/>
      <c r="G931" s="114"/>
      <c r="H931" s="114"/>
      <c r="I931" s="114"/>
      <c r="J931" s="114"/>
      <c r="K931" s="114"/>
      <c r="L931" s="114"/>
      <c r="M931" s="114"/>
      <c r="N931" s="114"/>
      <c r="O931" s="242"/>
      <c r="P931" s="243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  <c r="AB931" s="114"/>
      <c r="AC931" s="114"/>
      <c r="AD931" s="114"/>
      <c r="AE931" s="114"/>
      <c r="AF931" s="114"/>
      <c r="AM931" s="114"/>
      <c r="AN931" s="236"/>
      <c r="AO931" s="114"/>
    </row>
    <row r="932" ht="15.75" customHeight="1">
      <c r="C932" s="114"/>
      <c r="D932" s="114"/>
      <c r="E932" s="114"/>
      <c r="F932" s="114"/>
      <c r="G932" s="114"/>
      <c r="H932" s="114"/>
      <c r="I932" s="114"/>
      <c r="J932" s="114"/>
      <c r="K932" s="114"/>
      <c r="L932" s="114"/>
      <c r="M932" s="114"/>
      <c r="N932" s="114"/>
      <c r="O932" s="242"/>
      <c r="P932" s="243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  <c r="AB932" s="114"/>
      <c r="AC932" s="114"/>
      <c r="AD932" s="114"/>
      <c r="AE932" s="114"/>
      <c r="AF932" s="114"/>
      <c r="AM932" s="114"/>
      <c r="AN932" s="236"/>
      <c r="AO932" s="114"/>
    </row>
    <row r="933" ht="15.75" customHeight="1">
      <c r="C933" s="114"/>
      <c r="D933" s="114"/>
      <c r="E933" s="114"/>
      <c r="F933" s="114"/>
      <c r="G933" s="114"/>
      <c r="H933" s="114"/>
      <c r="I933" s="114"/>
      <c r="J933" s="114"/>
      <c r="K933" s="114"/>
      <c r="L933" s="114"/>
      <c r="M933" s="114"/>
      <c r="N933" s="114"/>
      <c r="O933" s="242"/>
      <c r="P933" s="243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  <c r="AB933" s="114"/>
      <c r="AC933" s="114"/>
      <c r="AD933" s="114"/>
      <c r="AE933" s="114"/>
      <c r="AF933" s="114"/>
      <c r="AM933" s="114"/>
      <c r="AN933" s="236"/>
      <c r="AO933" s="114"/>
    </row>
    <row r="934" ht="15.75" customHeight="1">
      <c r="C934" s="114"/>
      <c r="D934" s="114"/>
      <c r="E934" s="114"/>
      <c r="F934" s="114"/>
      <c r="G934" s="114"/>
      <c r="H934" s="114"/>
      <c r="I934" s="114"/>
      <c r="J934" s="114"/>
      <c r="K934" s="114"/>
      <c r="L934" s="114"/>
      <c r="M934" s="114"/>
      <c r="N934" s="114"/>
      <c r="O934" s="242"/>
      <c r="P934" s="243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  <c r="AB934" s="114"/>
      <c r="AC934" s="114"/>
      <c r="AD934" s="114"/>
      <c r="AE934" s="114"/>
      <c r="AF934" s="114"/>
      <c r="AM934" s="114"/>
      <c r="AN934" s="236"/>
      <c r="AO934" s="114"/>
    </row>
    <row r="935" ht="15.75" customHeight="1">
      <c r="C935" s="114"/>
      <c r="D935" s="114"/>
      <c r="E935" s="114"/>
      <c r="F935" s="114"/>
      <c r="G935" s="114"/>
      <c r="H935" s="114"/>
      <c r="I935" s="114"/>
      <c r="J935" s="114"/>
      <c r="K935" s="114"/>
      <c r="L935" s="114"/>
      <c r="M935" s="114"/>
      <c r="N935" s="114"/>
      <c r="O935" s="242"/>
      <c r="P935" s="243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  <c r="AB935" s="114"/>
      <c r="AC935" s="114"/>
      <c r="AD935" s="114"/>
      <c r="AE935" s="114"/>
      <c r="AF935" s="114"/>
      <c r="AM935" s="114"/>
      <c r="AN935" s="236"/>
      <c r="AO935" s="114"/>
    </row>
    <row r="936" ht="15.75" customHeight="1">
      <c r="C936" s="114"/>
      <c r="D936" s="114"/>
      <c r="E936" s="114"/>
      <c r="F936" s="114"/>
      <c r="G936" s="114"/>
      <c r="H936" s="114"/>
      <c r="I936" s="114"/>
      <c r="J936" s="114"/>
      <c r="K936" s="114"/>
      <c r="L936" s="114"/>
      <c r="M936" s="114"/>
      <c r="N936" s="114"/>
      <c r="O936" s="242"/>
      <c r="P936" s="243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  <c r="AB936" s="114"/>
      <c r="AC936" s="114"/>
      <c r="AD936" s="114"/>
      <c r="AE936" s="114"/>
      <c r="AF936" s="114"/>
      <c r="AM936" s="114"/>
      <c r="AN936" s="236"/>
      <c r="AO936" s="114"/>
    </row>
    <row r="937" ht="15.75" customHeight="1">
      <c r="C937" s="114"/>
      <c r="D937" s="114"/>
      <c r="E937" s="114"/>
      <c r="F937" s="114"/>
      <c r="G937" s="114"/>
      <c r="H937" s="114"/>
      <c r="I937" s="114"/>
      <c r="J937" s="114"/>
      <c r="K937" s="114"/>
      <c r="L937" s="114"/>
      <c r="M937" s="114"/>
      <c r="N937" s="114"/>
      <c r="O937" s="242"/>
      <c r="P937" s="243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  <c r="AB937" s="114"/>
      <c r="AC937" s="114"/>
      <c r="AD937" s="114"/>
      <c r="AE937" s="114"/>
      <c r="AF937" s="114"/>
      <c r="AM937" s="114"/>
      <c r="AN937" s="236"/>
      <c r="AO937" s="114"/>
    </row>
    <row r="938" ht="15.75" customHeight="1">
      <c r="C938" s="114"/>
      <c r="D938" s="114"/>
      <c r="E938" s="114"/>
      <c r="F938" s="114"/>
      <c r="G938" s="114"/>
      <c r="H938" s="114"/>
      <c r="I938" s="114"/>
      <c r="J938" s="114"/>
      <c r="K938" s="114"/>
      <c r="L938" s="114"/>
      <c r="M938" s="114"/>
      <c r="N938" s="114"/>
      <c r="O938" s="242"/>
      <c r="P938" s="243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  <c r="AB938" s="114"/>
      <c r="AC938" s="114"/>
      <c r="AD938" s="114"/>
      <c r="AE938" s="114"/>
      <c r="AF938" s="114"/>
      <c r="AM938" s="114"/>
      <c r="AN938" s="236"/>
      <c r="AO938" s="114"/>
    </row>
    <row r="939" ht="15.75" customHeight="1">
      <c r="C939" s="114"/>
      <c r="D939" s="114"/>
      <c r="E939" s="114"/>
      <c r="F939" s="114"/>
      <c r="G939" s="114"/>
      <c r="H939" s="114"/>
      <c r="I939" s="114"/>
      <c r="J939" s="114"/>
      <c r="K939" s="114"/>
      <c r="L939" s="114"/>
      <c r="M939" s="114"/>
      <c r="N939" s="114"/>
      <c r="O939" s="242"/>
      <c r="P939" s="243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  <c r="AB939" s="114"/>
      <c r="AC939" s="114"/>
      <c r="AD939" s="114"/>
      <c r="AE939" s="114"/>
      <c r="AF939" s="114"/>
      <c r="AM939" s="114"/>
      <c r="AN939" s="236"/>
      <c r="AO939" s="114"/>
    </row>
    <row r="940" ht="15.75" customHeight="1">
      <c r="C940" s="114"/>
      <c r="D940" s="114"/>
      <c r="E940" s="114"/>
      <c r="F940" s="114"/>
      <c r="G940" s="114"/>
      <c r="H940" s="114"/>
      <c r="I940" s="114"/>
      <c r="J940" s="114"/>
      <c r="K940" s="114"/>
      <c r="L940" s="114"/>
      <c r="M940" s="114"/>
      <c r="N940" s="114"/>
      <c r="O940" s="242"/>
      <c r="P940" s="243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  <c r="AB940" s="114"/>
      <c r="AC940" s="114"/>
      <c r="AD940" s="114"/>
      <c r="AE940" s="114"/>
      <c r="AF940" s="114"/>
      <c r="AM940" s="114"/>
      <c r="AN940" s="236"/>
      <c r="AO940" s="114"/>
    </row>
    <row r="941" ht="15.75" customHeight="1">
      <c r="C941" s="114"/>
      <c r="D941" s="114"/>
      <c r="E941" s="114"/>
      <c r="F941" s="114"/>
      <c r="G941" s="114"/>
      <c r="H941" s="114"/>
      <c r="I941" s="114"/>
      <c r="J941" s="114"/>
      <c r="K941" s="114"/>
      <c r="L941" s="114"/>
      <c r="M941" s="114"/>
      <c r="N941" s="114"/>
      <c r="O941" s="242"/>
      <c r="P941" s="243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  <c r="AB941" s="114"/>
      <c r="AC941" s="114"/>
      <c r="AD941" s="114"/>
      <c r="AE941" s="114"/>
      <c r="AF941" s="114"/>
      <c r="AM941" s="114"/>
      <c r="AN941" s="236"/>
      <c r="AO941" s="114"/>
    </row>
    <row r="942" ht="15.75" customHeight="1">
      <c r="C942" s="114"/>
      <c r="D942" s="114"/>
      <c r="E942" s="114"/>
      <c r="F942" s="114"/>
      <c r="G942" s="114"/>
      <c r="H942" s="114"/>
      <c r="I942" s="114"/>
      <c r="J942" s="114"/>
      <c r="K942" s="114"/>
      <c r="L942" s="114"/>
      <c r="M942" s="114"/>
      <c r="N942" s="114"/>
      <c r="O942" s="242"/>
      <c r="P942" s="243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  <c r="AB942" s="114"/>
      <c r="AC942" s="114"/>
      <c r="AD942" s="114"/>
      <c r="AE942" s="114"/>
      <c r="AF942" s="114"/>
      <c r="AM942" s="114"/>
      <c r="AN942" s="236"/>
      <c r="AO942" s="114"/>
    </row>
    <row r="943" ht="15.75" customHeight="1">
      <c r="C943" s="114"/>
      <c r="D943" s="114"/>
      <c r="E943" s="114"/>
      <c r="F943" s="114"/>
      <c r="G943" s="114"/>
      <c r="H943" s="114"/>
      <c r="I943" s="114"/>
      <c r="J943" s="114"/>
      <c r="K943" s="114"/>
      <c r="L943" s="114"/>
      <c r="M943" s="114"/>
      <c r="N943" s="114"/>
      <c r="O943" s="242"/>
      <c r="P943" s="243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  <c r="AB943" s="114"/>
      <c r="AC943" s="114"/>
      <c r="AD943" s="114"/>
      <c r="AE943" s="114"/>
      <c r="AF943" s="114"/>
      <c r="AM943" s="114"/>
      <c r="AN943" s="236"/>
      <c r="AO943" s="114"/>
    </row>
    <row r="944" ht="15.75" customHeight="1">
      <c r="C944" s="114"/>
      <c r="D944" s="114"/>
      <c r="E944" s="114"/>
      <c r="F944" s="114"/>
      <c r="G944" s="114"/>
      <c r="H944" s="114"/>
      <c r="I944" s="114"/>
      <c r="J944" s="114"/>
      <c r="K944" s="114"/>
      <c r="L944" s="114"/>
      <c r="M944" s="114"/>
      <c r="N944" s="114"/>
      <c r="O944" s="242"/>
      <c r="P944" s="243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  <c r="AB944" s="114"/>
      <c r="AC944" s="114"/>
      <c r="AD944" s="114"/>
      <c r="AE944" s="114"/>
      <c r="AF944" s="114"/>
      <c r="AM944" s="114"/>
      <c r="AN944" s="236"/>
      <c r="AO944" s="114"/>
    </row>
    <row r="945" ht="15.75" customHeight="1">
      <c r="C945" s="114"/>
      <c r="D945" s="114"/>
      <c r="E945" s="114"/>
      <c r="F945" s="114"/>
      <c r="G945" s="114"/>
      <c r="H945" s="114"/>
      <c r="I945" s="114"/>
      <c r="J945" s="114"/>
      <c r="K945" s="114"/>
      <c r="L945" s="114"/>
      <c r="M945" s="114"/>
      <c r="N945" s="114"/>
      <c r="O945" s="242"/>
      <c r="P945" s="243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  <c r="AB945" s="114"/>
      <c r="AC945" s="114"/>
      <c r="AD945" s="114"/>
      <c r="AE945" s="114"/>
      <c r="AF945" s="114"/>
      <c r="AM945" s="114"/>
      <c r="AN945" s="236"/>
      <c r="AO945" s="114"/>
    </row>
    <row r="946" ht="15.75" customHeight="1">
      <c r="C946" s="114"/>
      <c r="D946" s="114"/>
      <c r="E946" s="114"/>
      <c r="F946" s="114"/>
      <c r="G946" s="114"/>
      <c r="H946" s="114"/>
      <c r="I946" s="114"/>
      <c r="J946" s="114"/>
      <c r="K946" s="114"/>
      <c r="L946" s="114"/>
      <c r="M946" s="114"/>
      <c r="N946" s="114"/>
      <c r="O946" s="242"/>
      <c r="P946" s="243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  <c r="AB946" s="114"/>
      <c r="AC946" s="114"/>
      <c r="AD946" s="114"/>
      <c r="AE946" s="114"/>
      <c r="AF946" s="114"/>
      <c r="AM946" s="114"/>
      <c r="AN946" s="236"/>
      <c r="AO946" s="114"/>
    </row>
    <row r="947" ht="15.75" customHeight="1">
      <c r="C947" s="114"/>
      <c r="D947" s="114"/>
      <c r="E947" s="114"/>
      <c r="F947" s="114"/>
      <c r="G947" s="114"/>
      <c r="H947" s="114"/>
      <c r="I947" s="114"/>
      <c r="J947" s="114"/>
      <c r="K947" s="114"/>
      <c r="L947" s="114"/>
      <c r="M947" s="114"/>
      <c r="N947" s="114"/>
      <c r="O947" s="242"/>
      <c r="P947" s="243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  <c r="AB947" s="114"/>
      <c r="AC947" s="114"/>
      <c r="AD947" s="114"/>
      <c r="AE947" s="114"/>
      <c r="AF947" s="114"/>
      <c r="AM947" s="114"/>
      <c r="AN947" s="236"/>
      <c r="AO947" s="114"/>
    </row>
    <row r="948" ht="15.75" customHeight="1">
      <c r="C948" s="114"/>
      <c r="D948" s="114"/>
      <c r="E948" s="114"/>
      <c r="F948" s="114"/>
      <c r="G948" s="114"/>
      <c r="H948" s="114"/>
      <c r="I948" s="114"/>
      <c r="J948" s="114"/>
      <c r="K948" s="114"/>
      <c r="L948" s="114"/>
      <c r="M948" s="114"/>
      <c r="N948" s="114"/>
      <c r="O948" s="242"/>
      <c r="P948" s="243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  <c r="AB948" s="114"/>
      <c r="AC948" s="114"/>
      <c r="AD948" s="114"/>
      <c r="AE948" s="114"/>
      <c r="AF948" s="114"/>
      <c r="AM948" s="114"/>
      <c r="AN948" s="236"/>
      <c r="AO948" s="114"/>
    </row>
    <row r="949" ht="15.75" customHeight="1">
      <c r="C949" s="114"/>
      <c r="D949" s="114"/>
      <c r="E949" s="114"/>
      <c r="F949" s="114"/>
      <c r="G949" s="114"/>
      <c r="H949" s="114"/>
      <c r="I949" s="114"/>
      <c r="J949" s="114"/>
      <c r="K949" s="114"/>
      <c r="L949" s="114"/>
      <c r="M949" s="114"/>
      <c r="N949" s="114"/>
      <c r="O949" s="242"/>
      <c r="P949" s="243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  <c r="AB949" s="114"/>
      <c r="AC949" s="114"/>
      <c r="AD949" s="114"/>
      <c r="AE949" s="114"/>
      <c r="AF949" s="114"/>
      <c r="AM949" s="114"/>
      <c r="AN949" s="236"/>
      <c r="AO949" s="114"/>
    </row>
    <row r="950" ht="15.75" customHeight="1">
      <c r="C950" s="114"/>
      <c r="D950" s="114"/>
      <c r="E950" s="114"/>
      <c r="F950" s="114"/>
      <c r="G950" s="114"/>
      <c r="H950" s="114"/>
      <c r="I950" s="114"/>
      <c r="J950" s="114"/>
      <c r="K950" s="114"/>
      <c r="L950" s="114"/>
      <c r="M950" s="114"/>
      <c r="N950" s="114"/>
      <c r="O950" s="242"/>
      <c r="P950" s="243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  <c r="AB950" s="114"/>
      <c r="AC950" s="114"/>
      <c r="AD950" s="114"/>
      <c r="AE950" s="114"/>
      <c r="AF950" s="114"/>
      <c r="AM950" s="114"/>
      <c r="AN950" s="236"/>
      <c r="AO950" s="114"/>
    </row>
    <row r="951" ht="15.75" customHeight="1">
      <c r="C951" s="114"/>
      <c r="D951" s="114"/>
      <c r="E951" s="114"/>
      <c r="F951" s="114"/>
      <c r="G951" s="114"/>
      <c r="H951" s="114"/>
      <c r="I951" s="114"/>
      <c r="J951" s="114"/>
      <c r="K951" s="114"/>
      <c r="L951" s="114"/>
      <c r="M951" s="114"/>
      <c r="N951" s="114"/>
      <c r="O951" s="242"/>
      <c r="P951" s="243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  <c r="AB951" s="114"/>
      <c r="AC951" s="114"/>
      <c r="AD951" s="114"/>
      <c r="AE951" s="114"/>
      <c r="AF951" s="114"/>
      <c r="AM951" s="114"/>
      <c r="AN951" s="236"/>
      <c r="AO951" s="114"/>
    </row>
    <row r="952" ht="15.75" customHeight="1">
      <c r="C952" s="114"/>
      <c r="D952" s="114"/>
      <c r="E952" s="114"/>
      <c r="F952" s="114"/>
      <c r="G952" s="114"/>
      <c r="H952" s="114"/>
      <c r="I952" s="114"/>
      <c r="J952" s="114"/>
      <c r="K952" s="114"/>
      <c r="L952" s="114"/>
      <c r="M952" s="114"/>
      <c r="N952" s="114"/>
      <c r="O952" s="242"/>
      <c r="P952" s="243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  <c r="AB952" s="114"/>
      <c r="AC952" s="114"/>
      <c r="AD952" s="114"/>
      <c r="AE952" s="114"/>
      <c r="AF952" s="114"/>
      <c r="AM952" s="114"/>
      <c r="AN952" s="236"/>
      <c r="AO952" s="114"/>
    </row>
    <row r="953" ht="15.75" customHeight="1">
      <c r="C953" s="114"/>
      <c r="D953" s="114"/>
      <c r="E953" s="114"/>
      <c r="F953" s="114"/>
      <c r="G953" s="114"/>
      <c r="H953" s="114"/>
      <c r="I953" s="114"/>
      <c r="J953" s="114"/>
      <c r="K953" s="114"/>
      <c r="L953" s="114"/>
      <c r="M953" s="114"/>
      <c r="N953" s="114"/>
      <c r="O953" s="242"/>
      <c r="P953" s="243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  <c r="AB953" s="114"/>
      <c r="AC953" s="114"/>
      <c r="AD953" s="114"/>
      <c r="AE953" s="114"/>
      <c r="AF953" s="114"/>
      <c r="AM953" s="114"/>
      <c r="AN953" s="236"/>
      <c r="AO953" s="114"/>
    </row>
    <row r="954" ht="15.75" customHeight="1">
      <c r="C954" s="114"/>
      <c r="D954" s="114"/>
      <c r="E954" s="114"/>
      <c r="F954" s="114"/>
      <c r="G954" s="114"/>
      <c r="H954" s="114"/>
      <c r="I954" s="114"/>
      <c r="J954" s="114"/>
      <c r="K954" s="114"/>
      <c r="L954" s="114"/>
      <c r="M954" s="114"/>
      <c r="N954" s="114"/>
      <c r="O954" s="242"/>
      <c r="P954" s="243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  <c r="AA954" s="114"/>
      <c r="AB954" s="114"/>
      <c r="AC954" s="114"/>
      <c r="AD954" s="114"/>
      <c r="AE954" s="114"/>
      <c r="AF954" s="114"/>
      <c r="AM954" s="114"/>
      <c r="AN954" s="236"/>
      <c r="AO954" s="114"/>
    </row>
    <row r="955" ht="15.75" customHeight="1">
      <c r="C955" s="114"/>
      <c r="D955" s="114"/>
      <c r="E955" s="114"/>
      <c r="F955" s="114"/>
      <c r="G955" s="114"/>
      <c r="H955" s="114"/>
      <c r="I955" s="114"/>
      <c r="J955" s="114"/>
      <c r="K955" s="114"/>
      <c r="L955" s="114"/>
      <c r="M955" s="114"/>
      <c r="N955" s="114"/>
      <c r="O955" s="242"/>
      <c r="P955" s="243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  <c r="AB955" s="114"/>
      <c r="AC955" s="114"/>
      <c r="AD955" s="114"/>
      <c r="AE955" s="114"/>
      <c r="AF955" s="114"/>
      <c r="AM955" s="114"/>
      <c r="AN955" s="236"/>
      <c r="AO955" s="114"/>
    </row>
    <row r="956" ht="15.75" customHeight="1">
      <c r="C956" s="114"/>
      <c r="D956" s="114"/>
      <c r="E956" s="114"/>
      <c r="F956" s="114"/>
      <c r="G956" s="114"/>
      <c r="H956" s="114"/>
      <c r="I956" s="114"/>
      <c r="J956" s="114"/>
      <c r="K956" s="114"/>
      <c r="L956" s="114"/>
      <c r="M956" s="114"/>
      <c r="N956" s="114"/>
      <c r="O956" s="242"/>
      <c r="P956" s="243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  <c r="AB956" s="114"/>
      <c r="AC956" s="114"/>
      <c r="AD956" s="114"/>
      <c r="AE956" s="114"/>
      <c r="AF956" s="114"/>
      <c r="AM956" s="114"/>
      <c r="AN956" s="236"/>
      <c r="AO956" s="114"/>
    </row>
    <row r="957" ht="15.75" customHeight="1">
      <c r="C957" s="114"/>
      <c r="D957" s="114"/>
      <c r="E957" s="114"/>
      <c r="F957" s="114"/>
      <c r="G957" s="114"/>
      <c r="H957" s="114"/>
      <c r="I957" s="114"/>
      <c r="J957" s="114"/>
      <c r="K957" s="114"/>
      <c r="L957" s="114"/>
      <c r="M957" s="114"/>
      <c r="N957" s="114"/>
      <c r="O957" s="242"/>
      <c r="P957" s="243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  <c r="AA957" s="114"/>
      <c r="AB957" s="114"/>
      <c r="AC957" s="114"/>
      <c r="AD957" s="114"/>
      <c r="AE957" s="114"/>
      <c r="AF957" s="114"/>
      <c r="AM957" s="114"/>
      <c r="AN957" s="236"/>
      <c r="AO957" s="114"/>
    </row>
    <row r="958" ht="15.75" customHeight="1">
      <c r="C958" s="114"/>
      <c r="D958" s="114"/>
      <c r="E958" s="114"/>
      <c r="F958" s="114"/>
      <c r="G958" s="114"/>
      <c r="H958" s="114"/>
      <c r="I958" s="114"/>
      <c r="J958" s="114"/>
      <c r="K958" s="114"/>
      <c r="L958" s="114"/>
      <c r="M958" s="114"/>
      <c r="N958" s="114"/>
      <c r="O958" s="242"/>
      <c r="P958" s="243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  <c r="AB958" s="114"/>
      <c r="AC958" s="114"/>
      <c r="AD958" s="114"/>
      <c r="AE958" s="114"/>
      <c r="AF958" s="114"/>
      <c r="AM958" s="114"/>
      <c r="AN958" s="236"/>
      <c r="AO958" s="114"/>
    </row>
    <row r="959" ht="15.75" customHeight="1">
      <c r="C959" s="114"/>
      <c r="D959" s="114"/>
      <c r="E959" s="114"/>
      <c r="F959" s="114"/>
      <c r="G959" s="114"/>
      <c r="H959" s="114"/>
      <c r="I959" s="114"/>
      <c r="J959" s="114"/>
      <c r="K959" s="114"/>
      <c r="L959" s="114"/>
      <c r="M959" s="114"/>
      <c r="N959" s="114"/>
      <c r="O959" s="242"/>
      <c r="P959" s="243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  <c r="AB959" s="114"/>
      <c r="AC959" s="114"/>
      <c r="AD959" s="114"/>
      <c r="AE959" s="114"/>
      <c r="AF959" s="114"/>
      <c r="AM959" s="114"/>
      <c r="AN959" s="236"/>
      <c r="AO959" s="114"/>
    </row>
    <row r="960" ht="15.75" customHeight="1">
      <c r="C960" s="114"/>
      <c r="D960" s="114"/>
      <c r="E960" s="114"/>
      <c r="F960" s="114"/>
      <c r="G960" s="114"/>
      <c r="H960" s="114"/>
      <c r="I960" s="114"/>
      <c r="J960" s="114"/>
      <c r="K960" s="114"/>
      <c r="L960" s="114"/>
      <c r="M960" s="114"/>
      <c r="N960" s="114"/>
      <c r="O960" s="242"/>
      <c r="P960" s="243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  <c r="AB960" s="114"/>
      <c r="AC960" s="114"/>
      <c r="AD960" s="114"/>
      <c r="AE960" s="114"/>
      <c r="AF960" s="114"/>
      <c r="AM960" s="114"/>
      <c r="AN960" s="236"/>
      <c r="AO960" s="114"/>
    </row>
    <row r="961" ht="15.75" customHeight="1">
      <c r="C961" s="114"/>
      <c r="D961" s="114"/>
      <c r="E961" s="114"/>
      <c r="F961" s="114"/>
      <c r="G961" s="114"/>
      <c r="H961" s="114"/>
      <c r="I961" s="114"/>
      <c r="J961" s="114"/>
      <c r="K961" s="114"/>
      <c r="L961" s="114"/>
      <c r="M961" s="114"/>
      <c r="N961" s="114"/>
      <c r="O961" s="242"/>
      <c r="P961" s="243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  <c r="AB961" s="114"/>
      <c r="AC961" s="114"/>
      <c r="AD961" s="114"/>
      <c r="AE961" s="114"/>
      <c r="AF961" s="114"/>
      <c r="AM961" s="114"/>
      <c r="AN961" s="236"/>
      <c r="AO961" s="114"/>
    </row>
    <row r="962" ht="15.75" customHeight="1">
      <c r="C962" s="114"/>
      <c r="D962" s="114"/>
      <c r="E962" s="114"/>
      <c r="F962" s="114"/>
      <c r="G962" s="114"/>
      <c r="H962" s="114"/>
      <c r="I962" s="114"/>
      <c r="J962" s="114"/>
      <c r="K962" s="114"/>
      <c r="L962" s="114"/>
      <c r="M962" s="114"/>
      <c r="N962" s="114"/>
      <c r="O962" s="242"/>
      <c r="P962" s="243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  <c r="AB962" s="114"/>
      <c r="AC962" s="114"/>
      <c r="AD962" s="114"/>
      <c r="AE962" s="114"/>
      <c r="AF962" s="114"/>
      <c r="AM962" s="114"/>
      <c r="AN962" s="236"/>
      <c r="AO962" s="114"/>
    </row>
    <row r="963" ht="15.75" customHeight="1">
      <c r="C963" s="114"/>
      <c r="D963" s="114"/>
      <c r="E963" s="114"/>
      <c r="F963" s="114"/>
      <c r="G963" s="114"/>
      <c r="H963" s="114"/>
      <c r="I963" s="114"/>
      <c r="J963" s="114"/>
      <c r="K963" s="114"/>
      <c r="L963" s="114"/>
      <c r="M963" s="114"/>
      <c r="N963" s="114"/>
      <c r="O963" s="242"/>
      <c r="P963" s="243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  <c r="AB963" s="114"/>
      <c r="AC963" s="114"/>
      <c r="AD963" s="114"/>
      <c r="AE963" s="114"/>
      <c r="AF963" s="114"/>
      <c r="AM963" s="114"/>
      <c r="AN963" s="236"/>
      <c r="AO963" s="114"/>
    </row>
    <row r="964" ht="15.75" customHeight="1">
      <c r="C964" s="114"/>
      <c r="D964" s="114"/>
      <c r="E964" s="114"/>
      <c r="F964" s="114"/>
      <c r="G964" s="114"/>
      <c r="H964" s="114"/>
      <c r="I964" s="114"/>
      <c r="J964" s="114"/>
      <c r="K964" s="114"/>
      <c r="L964" s="114"/>
      <c r="M964" s="114"/>
      <c r="N964" s="114"/>
      <c r="O964" s="242"/>
      <c r="P964" s="243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  <c r="AB964" s="114"/>
      <c r="AC964" s="114"/>
      <c r="AD964" s="114"/>
      <c r="AE964" s="114"/>
      <c r="AF964" s="114"/>
      <c r="AM964" s="114"/>
      <c r="AN964" s="236"/>
      <c r="AO964" s="114"/>
    </row>
    <row r="965" ht="15.75" customHeight="1">
      <c r="C965" s="114"/>
      <c r="D965" s="114"/>
      <c r="E965" s="114"/>
      <c r="F965" s="114"/>
      <c r="G965" s="114"/>
      <c r="H965" s="114"/>
      <c r="I965" s="114"/>
      <c r="J965" s="114"/>
      <c r="K965" s="114"/>
      <c r="L965" s="114"/>
      <c r="M965" s="114"/>
      <c r="N965" s="114"/>
      <c r="O965" s="242"/>
      <c r="P965" s="243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  <c r="AB965" s="114"/>
      <c r="AC965" s="114"/>
      <c r="AD965" s="114"/>
      <c r="AE965" s="114"/>
      <c r="AF965" s="114"/>
      <c r="AM965" s="114"/>
      <c r="AN965" s="236"/>
      <c r="AO965" s="114"/>
    </row>
    <row r="966" ht="15.75" customHeight="1">
      <c r="C966" s="114"/>
      <c r="D966" s="114"/>
      <c r="E966" s="114"/>
      <c r="F966" s="114"/>
      <c r="G966" s="114"/>
      <c r="H966" s="114"/>
      <c r="I966" s="114"/>
      <c r="J966" s="114"/>
      <c r="K966" s="114"/>
      <c r="L966" s="114"/>
      <c r="M966" s="114"/>
      <c r="N966" s="114"/>
      <c r="O966" s="242"/>
      <c r="P966" s="243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  <c r="AB966" s="114"/>
      <c r="AC966" s="114"/>
      <c r="AD966" s="114"/>
      <c r="AE966" s="114"/>
      <c r="AF966" s="114"/>
      <c r="AM966" s="114"/>
      <c r="AN966" s="236"/>
      <c r="AO966" s="114"/>
    </row>
    <row r="967" ht="15.75" customHeight="1">
      <c r="C967" s="114"/>
      <c r="D967" s="114"/>
      <c r="E967" s="114"/>
      <c r="F967" s="114"/>
      <c r="G967" s="114"/>
      <c r="H967" s="114"/>
      <c r="I967" s="114"/>
      <c r="J967" s="114"/>
      <c r="K967" s="114"/>
      <c r="L967" s="114"/>
      <c r="M967" s="114"/>
      <c r="N967" s="114"/>
      <c r="O967" s="242"/>
      <c r="P967" s="243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  <c r="AB967" s="114"/>
      <c r="AC967" s="114"/>
      <c r="AD967" s="114"/>
      <c r="AE967" s="114"/>
      <c r="AF967" s="114"/>
      <c r="AM967" s="114"/>
      <c r="AN967" s="236"/>
      <c r="AO967" s="114"/>
    </row>
    <row r="968" ht="15.75" customHeight="1">
      <c r="C968" s="114"/>
      <c r="D968" s="114"/>
      <c r="E968" s="114"/>
      <c r="F968" s="114"/>
      <c r="G968" s="114"/>
      <c r="H968" s="114"/>
      <c r="I968" s="114"/>
      <c r="J968" s="114"/>
      <c r="K968" s="114"/>
      <c r="L968" s="114"/>
      <c r="M968" s="114"/>
      <c r="N968" s="114"/>
      <c r="O968" s="242"/>
      <c r="P968" s="243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  <c r="AB968" s="114"/>
      <c r="AC968" s="114"/>
      <c r="AD968" s="114"/>
      <c r="AE968" s="114"/>
      <c r="AF968" s="114"/>
      <c r="AM968" s="114"/>
      <c r="AN968" s="236"/>
      <c r="AO968" s="114"/>
    </row>
    <row r="969" ht="15.75" customHeight="1">
      <c r="C969" s="114"/>
      <c r="D969" s="114"/>
      <c r="E969" s="114"/>
      <c r="F969" s="114"/>
      <c r="G969" s="114"/>
      <c r="H969" s="114"/>
      <c r="I969" s="114"/>
      <c r="J969" s="114"/>
      <c r="K969" s="114"/>
      <c r="L969" s="114"/>
      <c r="M969" s="114"/>
      <c r="N969" s="114"/>
      <c r="O969" s="242"/>
      <c r="P969" s="243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  <c r="AB969" s="114"/>
      <c r="AC969" s="114"/>
      <c r="AD969" s="114"/>
      <c r="AE969" s="114"/>
      <c r="AF969" s="114"/>
      <c r="AM969" s="114"/>
      <c r="AN969" s="236"/>
      <c r="AO969" s="114"/>
    </row>
    <row r="970" ht="15.75" customHeight="1">
      <c r="C970" s="114"/>
      <c r="D970" s="114"/>
      <c r="E970" s="114"/>
      <c r="F970" s="114"/>
      <c r="G970" s="114"/>
      <c r="H970" s="114"/>
      <c r="I970" s="114"/>
      <c r="J970" s="114"/>
      <c r="K970" s="114"/>
      <c r="L970" s="114"/>
      <c r="M970" s="114"/>
      <c r="N970" s="114"/>
      <c r="O970" s="242"/>
      <c r="P970" s="243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  <c r="AA970" s="114"/>
      <c r="AB970" s="114"/>
      <c r="AC970" s="114"/>
      <c r="AD970" s="114"/>
      <c r="AE970" s="114"/>
      <c r="AF970" s="114"/>
      <c r="AM970" s="114"/>
      <c r="AN970" s="236"/>
      <c r="AO970" s="114"/>
    </row>
    <row r="971" ht="15.75" customHeight="1">
      <c r="C971" s="114"/>
      <c r="D971" s="114"/>
      <c r="E971" s="114"/>
      <c r="F971" s="114"/>
      <c r="G971" s="114"/>
      <c r="H971" s="114"/>
      <c r="I971" s="114"/>
      <c r="J971" s="114"/>
      <c r="K971" s="114"/>
      <c r="L971" s="114"/>
      <c r="M971" s="114"/>
      <c r="N971" s="114"/>
      <c r="O971" s="242"/>
      <c r="P971" s="243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  <c r="AB971" s="114"/>
      <c r="AC971" s="114"/>
      <c r="AD971" s="114"/>
      <c r="AE971" s="114"/>
      <c r="AF971" s="114"/>
      <c r="AM971" s="114"/>
      <c r="AN971" s="236"/>
      <c r="AO971" s="114"/>
    </row>
    <row r="972" ht="15.75" customHeight="1">
      <c r="C972" s="114"/>
      <c r="D972" s="114"/>
      <c r="E972" s="114"/>
      <c r="F972" s="114"/>
      <c r="G972" s="114"/>
      <c r="H972" s="114"/>
      <c r="I972" s="114"/>
      <c r="J972" s="114"/>
      <c r="K972" s="114"/>
      <c r="L972" s="114"/>
      <c r="M972" s="114"/>
      <c r="N972" s="114"/>
      <c r="O972" s="242"/>
      <c r="P972" s="243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  <c r="AB972" s="114"/>
      <c r="AC972" s="114"/>
      <c r="AD972" s="114"/>
      <c r="AE972" s="114"/>
      <c r="AF972" s="114"/>
      <c r="AM972" s="114"/>
      <c r="AN972" s="236"/>
      <c r="AO972" s="114"/>
    </row>
    <row r="973" ht="15.75" customHeight="1">
      <c r="C973" s="114"/>
      <c r="D973" s="114"/>
      <c r="E973" s="114"/>
      <c r="F973" s="114"/>
      <c r="G973" s="114"/>
      <c r="H973" s="114"/>
      <c r="I973" s="114"/>
      <c r="J973" s="114"/>
      <c r="K973" s="114"/>
      <c r="L973" s="114"/>
      <c r="M973" s="114"/>
      <c r="N973" s="114"/>
      <c r="O973" s="242"/>
      <c r="P973" s="243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  <c r="AB973" s="114"/>
      <c r="AC973" s="114"/>
      <c r="AD973" s="114"/>
      <c r="AE973" s="114"/>
      <c r="AF973" s="114"/>
      <c r="AM973" s="114"/>
      <c r="AN973" s="236"/>
      <c r="AO973" s="114"/>
    </row>
    <row r="974" ht="15.75" customHeight="1">
      <c r="C974" s="114"/>
      <c r="D974" s="114"/>
      <c r="E974" s="114"/>
      <c r="F974" s="114"/>
      <c r="G974" s="114"/>
      <c r="H974" s="114"/>
      <c r="I974" s="114"/>
      <c r="J974" s="114"/>
      <c r="K974" s="114"/>
      <c r="L974" s="114"/>
      <c r="M974" s="114"/>
      <c r="N974" s="114"/>
      <c r="O974" s="242"/>
      <c r="P974" s="243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  <c r="AB974" s="114"/>
      <c r="AC974" s="114"/>
      <c r="AD974" s="114"/>
      <c r="AE974" s="114"/>
      <c r="AF974" s="114"/>
      <c r="AM974" s="114"/>
      <c r="AN974" s="236"/>
      <c r="AO974" s="114"/>
    </row>
    <row r="975" ht="15.75" customHeight="1">
      <c r="C975" s="114"/>
      <c r="D975" s="114"/>
      <c r="E975" s="114"/>
      <c r="F975" s="114"/>
      <c r="G975" s="114"/>
      <c r="H975" s="114"/>
      <c r="I975" s="114"/>
      <c r="J975" s="114"/>
      <c r="K975" s="114"/>
      <c r="L975" s="114"/>
      <c r="M975" s="114"/>
      <c r="N975" s="114"/>
      <c r="O975" s="242"/>
      <c r="P975" s="243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  <c r="AB975" s="114"/>
      <c r="AC975" s="114"/>
      <c r="AD975" s="114"/>
      <c r="AE975" s="114"/>
      <c r="AF975" s="114"/>
      <c r="AM975" s="114"/>
      <c r="AN975" s="236"/>
      <c r="AO975" s="114"/>
    </row>
    <row r="976" ht="15.75" customHeight="1">
      <c r="C976" s="114"/>
      <c r="D976" s="114"/>
      <c r="E976" s="114"/>
      <c r="F976" s="114"/>
      <c r="G976" s="114"/>
      <c r="H976" s="114"/>
      <c r="I976" s="114"/>
      <c r="J976" s="114"/>
      <c r="K976" s="114"/>
      <c r="L976" s="114"/>
      <c r="M976" s="114"/>
      <c r="N976" s="114"/>
      <c r="O976" s="242"/>
      <c r="P976" s="243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  <c r="AB976" s="114"/>
      <c r="AC976" s="114"/>
      <c r="AD976" s="114"/>
      <c r="AE976" s="114"/>
      <c r="AF976" s="114"/>
      <c r="AM976" s="114"/>
      <c r="AN976" s="236"/>
      <c r="AO976" s="114"/>
    </row>
    <row r="977" ht="15.75" customHeight="1">
      <c r="C977" s="114"/>
      <c r="D977" s="114"/>
      <c r="E977" s="114"/>
      <c r="F977" s="114"/>
      <c r="G977" s="114"/>
      <c r="H977" s="114"/>
      <c r="I977" s="114"/>
      <c r="J977" s="114"/>
      <c r="K977" s="114"/>
      <c r="L977" s="114"/>
      <c r="M977" s="114"/>
      <c r="N977" s="114"/>
      <c r="O977" s="242"/>
      <c r="P977" s="243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  <c r="AB977" s="114"/>
      <c r="AC977" s="114"/>
      <c r="AD977" s="114"/>
      <c r="AE977" s="114"/>
      <c r="AF977" s="114"/>
      <c r="AM977" s="114"/>
      <c r="AN977" s="236"/>
      <c r="AO977" s="114"/>
    </row>
    <row r="978" ht="15.75" customHeight="1">
      <c r="C978" s="114"/>
      <c r="D978" s="114"/>
      <c r="E978" s="114"/>
      <c r="F978" s="114"/>
      <c r="G978" s="114"/>
      <c r="H978" s="114"/>
      <c r="I978" s="114"/>
      <c r="J978" s="114"/>
      <c r="K978" s="114"/>
      <c r="L978" s="114"/>
      <c r="M978" s="114"/>
      <c r="N978" s="114"/>
      <c r="O978" s="242"/>
      <c r="P978" s="243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  <c r="AB978" s="114"/>
      <c r="AC978" s="114"/>
      <c r="AD978" s="114"/>
      <c r="AE978" s="114"/>
      <c r="AF978" s="114"/>
      <c r="AM978" s="114"/>
      <c r="AN978" s="236"/>
      <c r="AO978" s="114"/>
    </row>
    <row r="979" ht="15.75" customHeight="1">
      <c r="C979" s="114"/>
      <c r="D979" s="114"/>
      <c r="E979" s="114"/>
      <c r="F979" s="114"/>
      <c r="G979" s="114"/>
      <c r="H979" s="114"/>
      <c r="I979" s="114"/>
      <c r="J979" s="114"/>
      <c r="K979" s="114"/>
      <c r="L979" s="114"/>
      <c r="M979" s="114"/>
      <c r="N979" s="114"/>
      <c r="O979" s="242"/>
      <c r="P979" s="243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  <c r="AB979" s="114"/>
      <c r="AC979" s="114"/>
      <c r="AD979" s="114"/>
      <c r="AE979" s="114"/>
      <c r="AF979" s="114"/>
      <c r="AM979" s="114"/>
      <c r="AN979" s="236"/>
      <c r="AO979" s="114"/>
    </row>
    <row r="980" ht="15.75" customHeight="1">
      <c r="C980" s="114"/>
      <c r="D980" s="114"/>
      <c r="E980" s="114"/>
      <c r="F980" s="114"/>
      <c r="G980" s="114"/>
      <c r="H980" s="114"/>
      <c r="I980" s="114"/>
      <c r="J980" s="114"/>
      <c r="K980" s="114"/>
      <c r="L980" s="114"/>
      <c r="M980" s="114"/>
      <c r="N980" s="114"/>
      <c r="O980" s="242"/>
      <c r="P980" s="243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  <c r="AB980" s="114"/>
      <c r="AC980" s="114"/>
      <c r="AD980" s="114"/>
      <c r="AE980" s="114"/>
      <c r="AF980" s="114"/>
      <c r="AM980" s="114"/>
      <c r="AN980" s="236"/>
      <c r="AO980" s="114"/>
    </row>
    <row r="981" ht="15.75" customHeight="1">
      <c r="C981" s="114"/>
      <c r="D981" s="114"/>
      <c r="E981" s="114"/>
      <c r="F981" s="114"/>
      <c r="G981" s="114"/>
      <c r="H981" s="114"/>
      <c r="I981" s="114"/>
      <c r="J981" s="114"/>
      <c r="K981" s="114"/>
      <c r="L981" s="114"/>
      <c r="M981" s="114"/>
      <c r="N981" s="114"/>
      <c r="O981" s="242"/>
      <c r="P981" s="243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  <c r="AB981" s="114"/>
      <c r="AC981" s="114"/>
      <c r="AD981" s="114"/>
      <c r="AE981" s="114"/>
      <c r="AF981" s="114"/>
      <c r="AM981" s="114"/>
      <c r="AN981" s="236"/>
      <c r="AO981" s="114"/>
    </row>
    <row r="982" ht="15.75" customHeight="1">
      <c r="C982" s="114"/>
      <c r="D982" s="114"/>
      <c r="E982" s="114"/>
      <c r="F982" s="114"/>
      <c r="G982" s="114"/>
      <c r="H982" s="114"/>
      <c r="I982" s="114"/>
      <c r="J982" s="114"/>
      <c r="K982" s="114"/>
      <c r="L982" s="114"/>
      <c r="M982" s="114"/>
      <c r="N982" s="114"/>
      <c r="O982" s="242"/>
      <c r="P982" s="243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  <c r="AB982" s="114"/>
      <c r="AC982" s="114"/>
      <c r="AD982" s="114"/>
      <c r="AE982" s="114"/>
      <c r="AF982" s="114"/>
      <c r="AM982" s="114"/>
      <c r="AN982" s="236"/>
      <c r="AO982" s="114"/>
    </row>
    <row r="983" ht="15.75" customHeight="1">
      <c r="C983" s="114"/>
      <c r="D983" s="114"/>
      <c r="E983" s="114"/>
      <c r="F983" s="114"/>
      <c r="G983" s="114"/>
      <c r="H983" s="114"/>
      <c r="I983" s="114"/>
      <c r="J983" s="114"/>
      <c r="K983" s="114"/>
      <c r="L983" s="114"/>
      <c r="M983" s="114"/>
      <c r="N983" s="114"/>
      <c r="O983" s="242"/>
      <c r="P983" s="243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  <c r="AB983" s="114"/>
      <c r="AC983" s="114"/>
      <c r="AD983" s="114"/>
      <c r="AE983" s="114"/>
      <c r="AF983" s="114"/>
      <c r="AM983" s="114"/>
      <c r="AN983" s="236"/>
      <c r="AO983" s="114"/>
    </row>
    <row r="984" ht="15.75" customHeight="1">
      <c r="C984" s="114"/>
      <c r="D984" s="114"/>
      <c r="E984" s="114"/>
      <c r="F984" s="114"/>
      <c r="G984" s="114"/>
      <c r="H984" s="114"/>
      <c r="I984" s="114"/>
      <c r="J984" s="114"/>
      <c r="K984" s="114"/>
      <c r="L984" s="114"/>
      <c r="M984" s="114"/>
      <c r="N984" s="114"/>
      <c r="O984" s="242"/>
      <c r="P984" s="243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  <c r="AB984" s="114"/>
      <c r="AC984" s="114"/>
      <c r="AD984" s="114"/>
      <c r="AE984" s="114"/>
      <c r="AF984" s="114"/>
      <c r="AM984" s="114"/>
      <c r="AN984" s="236"/>
      <c r="AO984" s="114"/>
    </row>
    <row r="985" ht="15.75" customHeight="1">
      <c r="C985" s="114"/>
      <c r="D985" s="114"/>
      <c r="E985" s="114"/>
      <c r="F985" s="114"/>
      <c r="G985" s="114"/>
      <c r="H985" s="114"/>
      <c r="I985" s="114"/>
      <c r="J985" s="114"/>
      <c r="K985" s="114"/>
      <c r="L985" s="114"/>
      <c r="M985" s="114"/>
      <c r="N985" s="114"/>
      <c r="O985" s="242"/>
      <c r="P985" s="243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  <c r="AB985" s="114"/>
      <c r="AC985" s="114"/>
      <c r="AD985" s="114"/>
      <c r="AE985" s="114"/>
      <c r="AF985" s="114"/>
      <c r="AM985" s="114"/>
      <c r="AN985" s="236"/>
      <c r="AO985" s="114"/>
    </row>
    <row r="986" ht="15.75" customHeight="1">
      <c r="C986" s="114"/>
      <c r="D986" s="114"/>
      <c r="E986" s="114"/>
      <c r="F986" s="114"/>
      <c r="G986" s="114"/>
      <c r="H986" s="114"/>
      <c r="I986" s="114"/>
      <c r="J986" s="114"/>
      <c r="K986" s="114"/>
      <c r="L986" s="114"/>
      <c r="M986" s="114"/>
      <c r="N986" s="114"/>
      <c r="O986" s="242"/>
      <c r="P986" s="243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  <c r="AA986" s="114"/>
      <c r="AB986" s="114"/>
      <c r="AC986" s="114"/>
      <c r="AD986" s="114"/>
      <c r="AE986" s="114"/>
      <c r="AF986" s="114"/>
      <c r="AM986" s="114"/>
      <c r="AN986" s="236"/>
      <c r="AO986" s="114"/>
    </row>
    <row r="987" ht="15.75" customHeight="1">
      <c r="C987" s="114"/>
      <c r="D987" s="114"/>
      <c r="E987" s="114"/>
      <c r="F987" s="114"/>
      <c r="G987" s="114"/>
      <c r="H987" s="114"/>
      <c r="I987" s="114"/>
      <c r="J987" s="114"/>
      <c r="K987" s="114"/>
      <c r="L987" s="114"/>
      <c r="M987" s="114"/>
      <c r="N987" s="114"/>
      <c r="O987" s="242"/>
      <c r="P987" s="243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  <c r="AB987" s="114"/>
      <c r="AC987" s="114"/>
      <c r="AD987" s="114"/>
      <c r="AE987" s="114"/>
      <c r="AF987" s="114"/>
      <c r="AM987" s="114"/>
      <c r="AN987" s="236"/>
      <c r="AO987" s="114"/>
    </row>
    <row r="988" ht="15.75" customHeight="1">
      <c r="C988" s="114"/>
      <c r="D988" s="114"/>
      <c r="E988" s="114"/>
      <c r="F988" s="114"/>
      <c r="G988" s="114"/>
      <c r="H988" s="114"/>
      <c r="I988" s="114"/>
      <c r="J988" s="114"/>
      <c r="K988" s="114"/>
      <c r="L988" s="114"/>
      <c r="M988" s="114"/>
      <c r="N988" s="114"/>
      <c r="O988" s="242"/>
      <c r="P988" s="243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  <c r="AB988" s="114"/>
      <c r="AC988" s="114"/>
      <c r="AD988" s="114"/>
      <c r="AE988" s="114"/>
      <c r="AF988" s="114"/>
      <c r="AM988" s="114"/>
      <c r="AN988" s="236"/>
      <c r="AO988" s="114"/>
    </row>
    <row r="989" ht="15.75" customHeight="1">
      <c r="C989" s="114"/>
      <c r="D989" s="114"/>
      <c r="E989" s="114"/>
      <c r="F989" s="114"/>
      <c r="G989" s="114"/>
      <c r="H989" s="114"/>
      <c r="I989" s="114"/>
      <c r="J989" s="114"/>
      <c r="K989" s="114"/>
      <c r="L989" s="114"/>
      <c r="M989" s="114"/>
      <c r="N989" s="114"/>
      <c r="O989" s="242"/>
      <c r="P989" s="243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  <c r="AB989" s="114"/>
      <c r="AC989" s="114"/>
      <c r="AD989" s="114"/>
      <c r="AE989" s="114"/>
      <c r="AF989" s="114"/>
      <c r="AM989" s="114"/>
      <c r="AN989" s="236"/>
      <c r="AO989" s="114"/>
    </row>
    <row r="990" ht="15.75" customHeight="1">
      <c r="C990" s="114"/>
      <c r="D990" s="114"/>
      <c r="E990" s="114"/>
      <c r="F990" s="114"/>
      <c r="G990" s="114"/>
      <c r="H990" s="114"/>
      <c r="I990" s="114"/>
      <c r="J990" s="114"/>
      <c r="K990" s="114"/>
      <c r="L990" s="114"/>
      <c r="M990" s="114"/>
      <c r="N990" s="114"/>
      <c r="O990" s="242"/>
      <c r="P990" s="243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  <c r="AB990" s="114"/>
      <c r="AC990" s="114"/>
      <c r="AD990" s="114"/>
      <c r="AE990" s="114"/>
      <c r="AF990" s="114"/>
      <c r="AM990" s="114"/>
      <c r="AN990" s="236"/>
      <c r="AO990" s="114"/>
    </row>
    <row r="991" ht="15.75" customHeight="1">
      <c r="C991" s="114"/>
      <c r="D991" s="114"/>
      <c r="E991" s="114"/>
      <c r="F991" s="114"/>
      <c r="G991" s="114"/>
      <c r="H991" s="114"/>
      <c r="I991" s="114"/>
      <c r="J991" s="114"/>
      <c r="K991" s="114"/>
      <c r="L991" s="114"/>
      <c r="M991" s="114"/>
      <c r="N991" s="114"/>
      <c r="O991" s="242"/>
      <c r="P991" s="243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  <c r="AB991" s="114"/>
      <c r="AC991" s="114"/>
      <c r="AD991" s="114"/>
      <c r="AE991" s="114"/>
      <c r="AF991" s="114"/>
      <c r="AM991" s="114"/>
      <c r="AN991" s="236"/>
      <c r="AO991" s="114"/>
    </row>
    <row r="992" ht="15.75" customHeight="1">
      <c r="C992" s="114"/>
      <c r="D992" s="114"/>
      <c r="E992" s="114"/>
      <c r="F992" s="114"/>
      <c r="G992" s="114"/>
      <c r="H992" s="114"/>
      <c r="I992" s="114"/>
      <c r="J992" s="114"/>
      <c r="K992" s="114"/>
      <c r="L992" s="114"/>
      <c r="M992" s="114"/>
      <c r="N992" s="114"/>
      <c r="O992" s="242"/>
      <c r="P992" s="243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  <c r="AB992" s="114"/>
      <c r="AC992" s="114"/>
      <c r="AD992" s="114"/>
      <c r="AE992" s="114"/>
      <c r="AF992" s="114"/>
      <c r="AM992" s="114"/>
      <c r="AN992" s="236"/>
      <c r="AO992" s="114"/>
    </row>
    <row r="993" ht="15.75" customHeight="1">
      <c r="C993" s="114"/>
      <c r="D993" s="114"/>
      <c r="E993" s="114"/>
      <c r="F993" s="114"/>
      <c r="G993" s="114"/>
      <c r="H993" s="114"/>
      <c r="I993" s="114"/>
      <c r="J993" s="114"/>
      <c r="K993" s="114"/>
      <c r="L993" s="114"/>
      <c r="M993" s="114"/>
      <c r="N993" s="114"/>
      <c r="O993" s="242"/>
      <c r="P993" s="243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  <c r="AB993" s="114"/>
      <c r="AC993" s="114"/>
      <c r="AD993" s="114"/>
      <c r="AE993" s="114"/>
      <c r="AF993" s="114"/>
      <c r="AM993" s="114"/>
      <c r="AN993" s="236"/>
      <c r="AO993" s="114"/>
    </row>
    <row r="994" ht="15.75" customHeight="1">
      <c r="C994" s="114"/>
      <c r="D994" s="114"/>
      <c r="E994" s="114"/>
      <c r="F994" s="114"/>
      <c r="G994" s="114"/>
      <c r="H994" s="114"/>
      <c r="I994" s="114"/>
      <c r="J994" s="114"/>
      <c r="K994" s="114"/>
      <c r="L994" s="114"/>
      <c r="M994" s="114"/>
      <c r="N994" s="114"/>
      <c r="O994" s="242"/>
      <c r="P994" s="243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  <c r="AB994" s="114"/>
      <c r="AC994" s="114"/>
      <c r="AD994" s="114"/>
      <c r="AE994" s="114"/>
      <c r="AF994" s="114"/>
      <c r="AM994" s="114"/>
      <c r="AN994" s="236"/>
      <c r="AO994" s="114"/>
    </row>
    <row r="995" ht="15.75" customHeight="1">
      <c r="C995" s="114"/>
      <c r="D995" s="114"/>
      <c r="E995" s="114"/>
      <c r="F995" s="114"/>
      <c r="G995" s="114"/>
      <c r="H995" s="114"/>
      <c r="I995" s="114"/>
      <c r="J995" s="114"/>
      <c r="K995" s="114"/>
      <c r="L995" s="114"/>
      <c r="M995" s="114"/>
      <c r="N995" s="114"/>
      <c r="O995" s="242"/>
      <c r="P995" s="243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  <c r="AB995" s="114"/>
      <c r="AC995" s="114"/>
      <c r="AD995" s="114"/>
      <c r="AE995" s="114"/>
      <c r="AF995" s="114"/>
      <c r="AM995" s="114"/>
      <c r="AN995" s="236"/>
      <c r="AO995" s="114"/>
    </row>
  </sheetData>
  <mergeCells count="5">
    <mergeCell ref="C1:H1"/>
    <mergeCell ref="J1:N1"/>
    <mergeCell ref="P1:T1"/>
    <mergeCell ref="V1:Z1"/>
    <mergeCell ref="AB1:AF1"/>
  </mergeCells>
  <conditionalFormatting sqref="AL3:AL14 AL16 AL18:AL23 Q25:AJ25">
    <cfRule type="cellIs" dxfId="0" priority="1" operator="equal">
      <formula>0</formula>
    </cfRule>
  </conditionalFormatting>
  <conditionalFormatting sqref="AL3:AL14 AL16 AL18:AL23 Q25:AJ25">
    <cfRule type="cellIs" dxfId="1" priority="2" operator="greaterThan">
      <formula>0</formula>
    </cfRule>
  </conditionalFormatting>
  <conditionalFormatting sqref="AL3:AL14 AL16 AL18:AL23 Q25:AJ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8.57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0</v>
      </c>
      <c r="B3" s="14" t="s">
        <v>20</v>
      </c>
      <c r="C3" s="14" t="s">
        <v>4</v>
      </c>
      <c r="D3" s="14" t="s">
        <v>21</v>
      </c>
      <c r="E3" s="14" t="s">
        <v>5</v>
      </c>
      <c r="F3" s="14" t="s">
        <v>21</v>
      </c>
      <c r="G3" s="14" t="s">
        <v>6</v>
      </c>
      <c r="H3" s="14" t="s">
        <v>21</v>
      </c>
      <c r="I3" s="14" t="s">
        <v>22</v>
      </c>
      <c r="J3" s="14" t="s">
        <v>21</v>
      </c>
      <c r="K3" s="14" t="s">
        <v>8</v>
      </c>
      <c r="L3" s="14" t="s">
        <v>21</v>
      </c>
      <c r="M3" s="14" t="s">
        <v>23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20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9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33">
        <v>1294.0</v>
      </c>
      <c r="B5" s="35" t="s">
        <v>32</v>
      </c>
      <c r="C5" s="36" t="s">
        <v>33</v>
      </c>
      <c r="D5" s="38">
        <v>3.0</v>
      </c>
      <c r="E5" s="39"/>
      <c r="F5" s="42"/>
      <c r="G5" s="39"/>
      <c r="H5" s="37"/>
      <c r="I5" s="44"/>
      <c r="J5" s="45"/>
      <c r="K5" s="41"/>
      <c r="L5" s="45"/>
      <c r="M5" s="56">
        <f t="shared" ref="M5:M13" si="1">SUM(D5,F5,H5,J5,L5)</f>
        <v>3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3">
        <v>1175.0</v>
      </c>
      <c r="B6" s="35" t="s">
        <v>40</v>
      </c>
      <c r="C6" s="36" t="s">
        <v>41</v>
      </c>
      <c r="D6" s="38">
        <v>8.0</v>
      </c>
      <c r="E6" s="41"/>
      <c r="F6" s="42"/>
      <c r="G6" s="41"/>
      <c r="H6" s="37"/>
      <c r="I6" s="60"/>
      <c r="J6" s="45"/>
      <c r="K6" s="41"/>
      <c r="L6" s="45"/>
      <c r="M6" s="56">
        <f t="shared" si="1"/>
        <v>8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33">
        <v>1291.0</v>
      </c>
      <c r="B7" s="35" t="s">
        <v>45</v>
      </c>
      <c r="C7" s="36" t="s">
        <v>41</v>
      </c>
      <c r="D7" s="38">
        <v>8.0</v>
      </c>
      <c r="E7" s="39"/>
      <c r="F7" s="42"/>
      <c r="G7" s="39"/>
      <c r="H7" s="45"/>
      <c r="I7" s="44"/>
      <c r="J7" s="45"/>
      <c r="K7" s="41"/>
      <c r="L7" s="45"/>
      <c r="M7" s="56">
        <f t="shared" si="1"/>
        <v>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3">
        <v>1300.0</v>
      </c>
      <c r="B8" s="35" t="s">
        <v>47</v>
      </c>
      <c r="C8" s="36" t="s">
        <v>48</v>
      </c>
      <c r="D8" s="38">
        <v>7.75</v>
      </c>
      <c r="E8" s="39"/>
      <c r="F8" s="42"/>
      <c r="G8" s="39"/>
      <c r="H8" s="45"/>
      <c r="I8" s="44"/>
      <c r="J8" s="45"/>
      <c r="K8" s="66"/>
      <c r="L8" s="45"/>
      <c r="M8" s="56">
        <f t="shared" si="1"/>
        <v>7.75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33">
        <v>1301.0</v>
      </c>
      <c r="B9" s="35" t="s">
        <v>53</v>
      </c>
      <c r="C9" s="36" t="s">
        <v>54</v>
      </c>
      <c r="D9" s="38">
        <v>0.0</v>
      </c>
      <c r="E9" s="39"/>
      <c r="F9" s="42"/>
      <c r="G9" s="44"/>
      <c r="H9" s="45"/>
      <c r="I9" s="44"/>
      <c r="J9" s="45"/>
      <c r="K9" s="41"/>
      <c r="L9" s="45"/>
      <c r="M9" s="56">
        <f t="shared" si="1"/>
        <v>0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3">
        <v>1280.0</v>
      </c>
      <c r="B10" s="35" t="s">
        <v>55</v>
      </c>
      <c r="C10" s="36" t="s">
        <v>41</v>
      </c>
      <c r="D10" s="38">
        <v>8.0</v>
      </c>
      <c r="E10" s="39"/>
      <c r="F10" s="42"/>
      <c r="G10" s="39"/>
      <c r="H10" s="45"/>
      <c r="I10" s="44"/>
      <c r="J10" s="45"/>
      <c r="K10" s="44"/>
      <c r="L10" s="45"/>
      <c r="M10" s="56">
        <f t="shared" si="1"/>
        <v>8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33">
        <v>1311.0</v>
      </c>
      <c r="B11" s="35" t="s">
        <v>56</v>
      </c>
      <c r="C11" s="36" t="s">
        <v>57</v>
      </c>
      <c r="D11" s="38">
        <v>5.5</v>
      </c>
      <c r="E11" s="68"/>
      <c r="F11" s="42"/>
      <c r="G11" s="68"/>
      <c r="H11" s="42"/>
      <c r="I11" s="68"/>
      <c r="J11" s="42"/>
      <c r="K11" s="68"/>
      <c r="L11" s="38"/>
      <c r="M11" s="56">
        <f t="shared" si="1"/>
        <v>5.5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3">
        <v>1312.0</v>
      </c>
      <c r="B12" s="71" t="s">
        <v>59</v>
      </c>
      <c r="C12" s="36" t="s">
        <v>60</v>
      </c>
      <c r="D12" s="38">
        <v>7.15</v>
      </c>
      <c r="E12" s="68"/>
      <c r="F12" s="42"/>
      <c r="G12" s="68"/>
      <c r="H12" s="42"/>
      <c r="I12" s="68"/>
      <c r="J12" s="42"/>
      <c r="K12" s="68"/>
      <c r="L12" s="38"/>
      <c r="M12" s="56">
        <f t="shared" si="1"/>
        <v>7.15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75" t="s">
        <v>23</v>
      </c>
      <c r="B13" s="75" t="s">
        <v>61</v>
      </c>
      <c r="C13" s="77"/>
      <c r="D13" s="79">
        <f>SUM(D5:D12)</f>
        <v>47.4</v>
      </c>
      <c r="E13" s="80"/>
      <c r="F13" s="79">
        <f>SUM(F5:F12)</f>
        <v>0</v>
      </c>
      <c r="G13" s="80"/>
      <c r="H13" s="79">
        <f>SUM(H5:H12)</f>
        <v>0</v>
      </c>
      <c r="I13" s="84"/>
      <c r="J13" s="79">
        <f>SUM(J5:J12)</f>
        <v>0</v>
      </c>
      <c r="K13" s="84"/>
      <c r="L13" s="79">
        <f>SUM(L5:L12)</f>
        <v>0</v>
      </c>
      <c r="M13" s="86">
        <f t="shared" si="1"/>
        <v>47.4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89" t="s">
        <v>63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21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90"/>
      <c r="B15" s="39"/>
      <c r="C15" s="91"/>
      <c r="D15" s="42"/>
      <c r="E15" s="92"/>
      <c r="F15" s="93"/>
      <c r="G15" s="91"/>
      <c r="H15" s="93"/>
      <c r="I15" s="91"/>
      <c r="J15" s="42"/>
      <c r="K15" s="91"/>
      <c r="L15" s="42"/>
      <c r="M15" s="95">
        <f t="shared" ref="M15:M26" si="2">SUM(D15,F15,H15,J15,L15)</f>
        <v>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90"/>
      <c r="B16" s="97"/>
      <c r="C16" s="91"/>
      <c r="D16" s="42"/>
      <c r="E16" s="91"/>
      <c r="F16" s="42"/>
      <c r="G16" s="91"/>
      <c r="H16" s="42"/>
      <c r="I16" s="98"/>
      <c r="J16" s="42"/>
      <c r="K16" s="98"/>
      <c r="L16" s="42"/>
      <c r="M16" s="95">
        <f t="shared" si="2"/>
        <v>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90"/>
      <c r="B17" s="97"/>
      <c r="C17" s="91"/>
      <c r="D17" s="42"/>
      <c r="E17" s="100"/>
      <c r="F17" s="93"/>
      <c r="G17" s="100"/>
      <c r="H17" s="93"/>
      <c r="I17" s="91"/>
      <c r="J17" s="42"/>
      <c r="K17" s="91"/>
      <c r="L17" s="42"/>
      <c r="M17" s="95">
        <f t="shared" si="2"/>
        <v>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90"/>
      <c r="B18" s="39"/>
      <c r="C18" s="91"/>
      <c r="D18" s="42"/>
      <c r="E18" s="98"/>
      <c r="F18" s="42"/>
      <c r="G18" s="98"/>
      <c r="H18" s="42"/>
      <c r="I18" s="91"/>
      <c r="J18" s="42"/>
      <c r="K18" s="91"/>
      <c r="L18" s="42"/>
      <c r="M18" s="95">
        <f t="shared" si="2"/>
        <v>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90"/>
      <c r="B19" s="97"/>
      <c r="C19" s="91"/>
      <c r="D19" s="42"/>
      <c r="E19" s="98"/>
      <c r="F19" s="42"/>
      <c r="G19" s="98"/>
      <c r="H19" s="42"/>
      <c r="I19" s="91"/>
      <c r="J19" s="42"/>
      <c r="K19" s="91"/>
      <c r="L19" s="42"/>
      <c r="M19" s="95">
        <f t="shared" si="2"/>
        <v>0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90"/>
      <c r="B20" s="97"/>
      <c r="C20" s="100"/>
      <c r="D20" s="93"/>
      <c r="E20" s="91"/>
      <c r="F20" s="42"/>
      <c r="G20" s="91"/>
      <c r="H20" s="42"/>
      <c r="I20" s="91"/>
      <c r="J20" s="42"/>
      <c r="K20" s="91"/>
      <c r="L20" s="42"/>
      <c r="M20" s="95">
        <f t="shared" si="2"/>
        <v>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90"/>
      <c r="B21" s="97"/>
      <c r="C21" s="91"/>
      <c r="D21" s="42"/>
      <c r="E21" s="98"/>
      <c r="F21" s="42"/>
      <c r="G21" s="98"/>
      <c r="H21" s="42"/>
      <c r="I21" s="98"/>
      <c r="J21" s="42"/>
      <c r="K21" s="98"/>
      <c r="L21" s="42"/>
      <c r="M21" s="95">
        <f t="shared" si="2"/>
        <v>0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90"/>
      <c r="B22" s="39"/>
      <c r="C22" s="91"/>
      <c r="D22" s="42"/>
      <c r="E22" s="98"/>
      <c r="F22" s="42"/>
      <c r="G22" s="98"/>
      <c r="H22" s="42"/>
      <c r="I22" s="91"/>
      <c r="J22" s="42"/>
      <c r="K22" s="91"/>
      <c r="L22" s="42"/>
      <c r="M22" s="95">
        <f t="shared" si="2"/>
        <v>0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90"/>
      <c r="B23" s="39"/>
      <c r="C23" s="91"/>
      <c r="D23" s="42"/>
      <c r="E23" s="98"/>
      <c r="F23" s="42"/>
      <c r="G23" s="98"/>
      <c r="H23" s="42"/>
      <c r="I23" s="91"/>
      <c r="J23" s="42"/>
      <c r="K23" s="91"/>
      <c r="L23" s="42"/>
      <c r="M23" s="95">
        <f t="shared" si="2"/>
        <v>0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90"/>
      <c r="B24" s="39"/>
      <c r="C24" s="91"/>
      <c r="D24" s="42"/>
      <c r="E24" s="98"/>
      <c r="F24" s="42"/>
      <c r="G24" s="91"/>
      <c r="H24" s="42"/>
      <c r="I24" s="91"/>
      <c r="J24" s="42"/>
      <c r="K24" s="91"/>
      <c r="L24" s="42"/>
      <c r="M24" s="95">
        <f t="shared" si="2"/>
        <v>0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0"/>
      <c r="B25" s="97"/>
      <c r="C25" s="91"/>
      <c r="D25" s="42"/>
      <c r="E25" s="98"/>
      <c r="F25" s="42"/>
      <c r="G25" s="98"/>
      <c r="H25" s="42"/>
      <c r="I25" s="91"/>
      <c r="J25" s="42"/>
      <c r="K25" s="91"/>
      <c r="L25" s="42"/>
      <c r="M25" s="95">
        <f t="shared" si="2"/>
        <v>0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90"/>
      <c r="B26" s="97"/>
      <c r="C26" s="100"/>
      <c r="D26" s="93"/>
      <c r="E26" s="98"/>
      <c r="F26" s="42"/>
      <c r="G26" s="98"/>
      <c r="H26" s="42"/>
      <c r="I26" s="91"/>
      <c r="J26" s="42"/>
      <c r="K26" s="91"/>
      <c r="L26" s="42"/>
      <c r="M26" s="95">
        <f t="shared" si="2"/>
        <v>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9" t="s">
        <v>65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21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90"/>
      <c r="B28" s="39"/>
      <c r="C28" s="91"/>
      <c r="D28" s="93"/>
      <c r="E28" s="100"/>
      <c r="F28" s="93"/>
      <c r="G28" s="91"/>
      <c r="H28" s="42"/>
      <c r="I28" s="98"/>
      <c r="J28" s="42"/>
      <c r="K28" s="98"/>
      <c r="L28" s="42"/>
      <c r="M28" s="95">
        <f t="shared" ref="M28:M32" si="3">SUM(D28,F28,H28,J28,L28)</f>
        <v>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7"/>
      <c r="B29" s="94"/>
      <c r="C29" s="100"/>
      <c r="D29" s="93"/>
      <c r="E29" s="98"/>
      <c r="F29" s="42"/>
      <c r="G29" s="98"/>
      <c r="H29" s="42"/>
      <c r="I29" s="98"/>
      <c r="J29" s="42"/>
      <c r="K29" s="98"/>
      <c r="L29" s="42"/>
      <c r="M29" s="95">
        <f t="shared" si="3"/>
        <v>0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90"/>
      <c r="B30" s="39"/>
      <c r="C30" s="100"/>
      <c r="D30" s="93"/>
      <c r="E30" s="98"/>
      <c r="F30" s="42"/>
      <c r="G30" s="98"/>
      <c r="H30" s="42"/>
      <c r="I30" s="98"/>
      <c r="J30" s="42"/>
      <c r="K30" s="98"/>
      <c r="L30" s="42"/>
      <c r="M30" s="95">
        <f t="shared" si="3"/>
        <v>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0"/>
      <c r="B31" s="39"/>
      <c r="C31" s="91"/>
      <c r="D31" s="93"/>
      <c r="E31" s="92"/>
      <c r="F31" s="108"/>
      <c r="G31" s="92"/>
      <c r="H31" s="108"/>
      <c r="I31" s="109"/>
      <c r="J31" s="110"/>
      <c r="K31" s="98"/>
      <c r="L31" s="42"/>
      <c r="M31" s="95">
        <f t="shared" si="3"/>
        <v>0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90"/>
      <c r="B32" s="39"/>
      <c r="C32" s="91"/>
      <c r="D32" s="93"/>
      <c r="E32" s="92"/>
      <c r="F32" s="108"/>
      <c r="G32" s="92"/>
      <c r="H32" s="108"/>
      <c r="I32" s="109"/>
      <c r="J32" s="110"/>
      <c r="K32" s="109"/>
      <c r="L32" s="110"/>
      <c r="M32" s="95">
        <f t="shared" si="3"/>
        <v>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9" t="s">
        <v>67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21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90"/>
      <c r="B34" s="39"/>
      <c r="C34" s="91"/>
      <c r="D34" s="93"/>
      <c r="E34" s="92"/>
      <c r="F34" s="108"/>
      <c r="G34" s="92"/>
      <c r="H34" s="108"/>
      <c r="I34" s="109"/>
      <c r="J34" s="110"/>
      <c r="K34" s="109"/>
      <c r="L34" s="110"/>
      <c r="M34" s="56">
        <f t="shared" ref="M34:M39" si="4">SUM(D34,F34,H34,J34,L34)</f>
        <v>0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0"/>
      <c r="B35" s="39"/>
      <c r="C35" s="91"/>
      <c r="D35" s="93"/>
      <c r="E35" s="92"/>
      <c r="F35" s="108"/>
      <c r="G35" s="92"/>
      <c r="H35" s="108"/>
      <c r="I35" s="109"/>
      <c r="J35" s="110"/>
      <c r="K35" s="109"/>
      <c r="L35" s="110"/>
      <c r="M35" s="56">
        <f t="shared" si="4"/>
        <v>0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90"/>
      <c r="B36" s="39"/>
      <c r="C36" s="91"/>
      <c r="D36" s="93"/>
      <c r="E36" s="92"/>
      <c r="F36" s="108"/>
      <c r="G36" s="92"/>
      <c r="H36" s="108"/>
      <c r="I36" s="109"/>
      <c r="J36" s="110"/>
      <c r="K36" s="109"/>
      <c r="L36" s="110"/>
      <c r="M36" s="56">
        <f t="shared" si="4"/>
        <v>0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14" t="s">
        <v>23</v>
      </c>
      <c r="B37" s="14" t="s">
        <v>61</v>
      </c>
      <c r="C37" s="14"/>
      <c r="D37" s="112">
        <f>SUM(D15:D36,D5:D12)</f>
        <v>47.4</v>
      </c>
      <c r="E37" s="113"/>
      <c r="F37" s="112">
        <f>SUM(F15:F36,F5:F12)</f>
        <v>0</v>
      </c>
      <c r="G37" s="113"/>
      <c r="H37" s="112">
        <f>SUM(H15:H36,H5:H12)</f>
        <v>0</v>
      </c>
      <c r="I37" s="113"/>
      <c r="J37" s="112">
        <f>SUM(J15:J36,J5:J12)</f>
        <v>0</v>
      </c>
      <c r="K37" s="113"/>
      <c r="L37" s="112">
        <f>SUM(L15:L36,L5:L12)</f>
        <v>0</v>
      </c>
      <c r="M37" s="56">
        <f t="shared" si="4"/>
        <v>47.4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14" t="s">
        <v>23</v>
      </c>
      <c r="B38" s="14" t="s">
        <v>68</v>
      </c>
      <c r="C38" s="116"/>
      <c r="D38" s="113"/>
      <c r="E38" s="116"/>
      <c r="F38" s="117"/>
      <c r="G38" s="116"/>
      <c r="H38" s="113"/>
      <c r="I38" s="116"/>
      <c r="J38" s="113"/>
      <c r="K38" s="116"/>
      <c r="L38" s="113"/>
      <c r="M38" s="56">
        <f t="shared" si="4"/>
        <v>0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14" t="s">
        <v>23</v>
      </c>
      <c r="B39" s="14" t="s">
        <v>69</v>
      </c>
      <c r="C39" s="116"/>
      <c r="D39" s="113"/>
      <c r="E39" s="116"/>
      <c r="F39" s="113"/>
      <c r="G39" s="116"/>
      <c r="H39" s="113"/>
      <c r="I39" s="116"/>
      <c r="J39" s="113"/>
      <c r="K39" s="116"/>
      <c r="L39" s="113"/>
      <c r="M39" s="113">
        <f t="shared" si="4"/>
        <v>0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</sheetData>
  <mergeCells count="4">
    <mergeCell ref="A4:M4"/>
    <mergeCell ref="A14:M14"/>
    <mergeCell ref="A27:M27"/>
    <mergeCell ref="A33:M3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7" t="s">
        <v>3</v>
      </c>
    </row>
    <row r="2" ht="15.0" customHeight="1">
      <c r="A2" s="11"/>
      <c r="B2" s="11"/>
      <c r="C2" s="16" t="s">
        <v>18</v>
      </c>
      <c r="D2" s="18"/>
      <c r="E2" s="18"/>
      <c r="F2" s="18"/>
      <c r="G2" s="18"/>
      <c r="H2" s="19"/>
      <c r="I2" s="11"/>
      <c r="J2" s="16" t="s">
        <v>24</v>
      </c>
      <c r="K2" s="18"/>
      <c r="L2" s="18"/>
      <c r="M2" s="18"/>
      <c r="N2" s="18"/>
      <c r="O2" s="19"/>
      <c r="P2" s="11"/>
    </row>
    <row r="3" ht="15.0" customHeight="1">
      <c r="A3" s="25" t="s">
        <v>0</v>
      </c>
      <c r="B3" s="25" t="s">
        <v>2</v>
      </c>
      <c r="C3" s="25" t="s">
        <v>25</v>
      </c>
      <c r="D3" s="25" t="s">
        <v>26</v>
      </c>
      <c r="E3" s="25" t="s">
        <v>28</v>
      </c>
      <c r="F3" s="25" t="s">
        <v>29</v>
      </c>
      <c r="G3" s="25" t="s">
        <v>30</v>
      </c>
      <c r="H3" s="25" t="s">
        <v>31</v>
      </c>
      <c r="I3" s="32"/>
      <c r="J3" s="25" t="s">
        <v>25</v>
      </c>
      <c r="K3" s="25" t="s">
        <v>26</v>
      </c>
      <c r="L3" s="25" t="s">
        <v>28</v>
      </c>
      <c r="M3" s="25" t="s">
        <v>29</v>
      </c>
      <c r="N3" s="25" t="s">
        <v>30</v>
      </c>
      <c r="O3" s="25" t="s">
        <v>34</v>
      </c>
      <c r="P3" s="25" t="s">
        <v>35</v>
      </c>
    </row>
    <row r="4" ht="15.0" customHeight="1">
      <c r="A4" s="37">
        <v>1291.0</v>
      </c>
      <c r="B4" s="41" t="s">
        <v>36</v>
      </c>
      <c r="C4" s="37">
        <f t="array" ref="C4">IFERROR(INDEX(Commercial!D$3:D$10,MATCH($A4,Commercial!$A$3:$A$10,0)),0)</f>
        <v>0</v>
      </c>
      <c r="D4" s="37" t="str">
        <f t="array" ref="D4">IFERROR(INDEX(Commercial!J$3:J$10,MATCH($A4,Commercial!$A$3:$A$10,0)),0)</f>
        <v/>
      </c>
      <c r="E4" s="37" t="str">
        <f t="array" ref="E4">IFERROR(INDEX(Commercial!P$3:P$10,MATCH($A4,Commercial!$A$3:$A$10,0)),0)</f>
        <v/>
      </c>
      <c r="F4" s="37" t="str">
        <f t="array" ref="F4">IFERROR(INDEX(Commercial!V$3:V$10,MATCH($A4,Commercial!$A$3:$A$10,0)),0)</f>
        <v/>
      </c>
      <c r="G4" s="37" t="str">
        <f t="array" ref="G4">IFERROR(INDEX(Commercial!AB$3:AB$10,MATCH($A4,Commercial!$A$3:$A$10,0)),0)</f>
        <v/>
      </c>
      <c r="H4" s="103">
        <f t="shared" ref="H4:H15" si="1">SUM(C4:G4)</f>
        <v>0</v>
      </c>
      <c r="I4" s="11"/>
      <c r="J4" s="37">
        <f t="array" ref="J4">IFERROR(INDEX(Commercial!E$3:E$10,MATCH($A4,Commercial!$A$3:$A$10,0)),0)</f>
        <v>1</v>
      </c>
      <c r="K4" s="37" t="str">
        <f t="array" ref="K4">IFERROR(INDEX(Commercial!K$3:K$10,MATCH($A4,Commercial!$A$3:$A$10,0)),0)</f>
        <v/>
      </c>
      <c r="L4" s="37" t="str">
        <f t="array" ref="L4">IFERROR(INDEX(Commercial!Q$3:Q$10,MATCH($A4,Commercial!$A$3:$A$10,0)),0)</f>
        <v/>
      </c>
      <c r="M4" s="37" t="str">
        <f t="array" ref="M4">IFERROR(INDEX(Commercial!W$3:W$10,MATCH($A4,Commercial!$A$3:$A$10,0)),0)</f>
        <v/>
      </c>
      <c r="N4" s="37" t="str">
        <f t="array" ref="N4">IFERROR(INDEX(Commercial!AC$3:AC$10,MATCH($A4,Commercial!$A$3:$A$10,0)),0)</f>
        <v/>
      </c>
      <c r="O4" s="103">
        <f t="shared" ref="O4:O15" si="2">SUM(J4:N4)</f>
        <v>1</v>
      </c>
      <c r="P4" s="37">
        <f t="shared" ref="P4:P16" si="3">H4+O4</f>
        <v>1</v>
      </c>
    </row>
    <row r="5" ht="15.0" customHeight="1">
      <c r="A5" s="37">
        <v>1292.0</v>
      </c>
      <c r="B5" s="41" t="s">
        <v>70</v>
      </c>
      <c r="C5" s="37">
        <f t="array" ref="C5">IFERROR(INDEX(Commercial!D$3:D$10,MATCH($A5,Commercial!$A$3:$A$10,0)),0)</f>
        <v>0</v>
      </c>
      <c r="D5" s="37">
        <f t="array" ref="D5">IFERROR(INDEX(Commercial!J$3:J$10,MATCH($A5,Commercial!$A$3:$A$10,0)),0)</f>
        <v>0</v>
      </c>
      <c r="E5" s="37">
        <f t="array" ref="E5">IFERROR(INDEX(Commercial!P$3:P$10,MATCH($A5,Commercial!$A$3:$A$10,0)),0)</f>
        <v>0</v>
      </c>
      <c r="F5" s="37">
        <f t="array" ref="F5">IFERROR(INDEX(Commercial!V$3:V$10,MATCH($A5,Commercial!$A$3:$A$10,0)),0)</f>
        <v>0</v>
      </c>
      <c r="G5" s="37">
        <f t="array" ref="G5">IFERROR(INDEX(Commercial!AB$3:AB$10,MATCH($A5,Commercial!$A$3:$A$10,0)),0)</f>
        <v>0</v>
      </c>
      <c r="H5" s="103">
        <f t="shared" si="1"/>
        <v>0</v>
      </c>
      <c r="I5" s="11"/>
      <c r="J5" s="37">
        <f t="array" ref="J5">IFERROR(INDEX(Commercial!E$3:E$10,MATCH($A5,Commercial!$A$3:$A$10,0)),0)</f>
        <v>0</v>
      </c>
      <c r="K5" s="37">
        <f t="array" ref="K5">IFERROR(INDEX(Commercial!K$3:K$10,MATCH($A5,Commercial!$A$3:$A$10,0)),0)</f>
        <v>0</v>
      </c>
      <c r="L5" s="37">
        <f t="array" ref="L5">IFERROR(INDEX(Commercial!Q$3:Q$10,MATCH($A5,Commercial!$A$3:$A$10,0)),0)</f>
        <v>0</v>
      </c>
      <c r="M5" s="37">
        <f t="array" ref="M5">IFERROR(INDEX(Commercial!W$3:W$10,MATCH($A5,Commercial!$A$3:$A$10,0)),0)</f>
        <v>0</v>
      </c>
      <c r="N5" s="37">
        <f t="array" ref="N5">IFERROR(INDEX(Commercial!AC$3:AC$10,MATCH($A5,Commercial!$A$3:$A$10,0)),0)</f>
        <v>0</v>
      </c>
      <c r="O5" s="103">
        <f t="shared" si="2"/>
        <v>0</v>
      </c>
      <c r="P5" s="37">
        <f t="shared" si="3"/>
        <v>0</v>
      </c>
    </row>
    <row r="6" ht="15.0" customHeight="1">
      <c r="A6" s="37">
        <v>1295.0</v>
      </c>
      <c r="B6" s="41" t="s">
        <v>72</v>
      </c>
      <c r="C6" s="37">
        <f t="array" ref="C6">IFERROR(INDEX(Commercial!D$3:D$10,MATCH($A6,Commercial!$A$3:$A$10,0)),0)</f>
        <v>0</v>
      </c>
      <c r="D6" s="37">
        <f t="array" ref="D6">IFERROR(INDEX(Commercial!J$3:J$10,MATCH($A6,Commercial!$A$3:$A$10,0)),0)</f>
        <v>0</v>
      </c>
      <c r="E6" s="37">
        <f t="array" ref="E6">IFERROR(INDEX(Commercial!P$3:P$10,MATCH($A6,Commercial!$A$3:$A$10,0)),0)</f>
        <v>0</v>
      </c>
      <c r="F6" s="37">
        <f t="array" ref="F6">IFERROR(INDEX(Commercial!V$3:V$10,MATCH($A6,Commercial!$A$3:$A$10,0)),0)</f>
        <v>0</v>
      </c>
      <c r="G6" s="37">
        <f t="array" ref="G6">IFERROR(INDEX(Commercial!AB$3:AB$10,MATCH($A6,Commercial!$A$3:$A$10,0)),0)</f>
        <v>0</v>
      </c>
      <c r="H6" s="103">
        <f t="shared" si="1"/>
        <v>0</v>
      </c>
      <c r="I6" s="11"/>
      <c r="J6" s="37">
        <f t="array" ref="J6">IFERROR(INDEX(Commercial!E$3:E$10,MATCH($A6,Commercial!$A$3:$A$10,0)),0)</f>
        <v>0</v>
      </c>
      <c r="K6" s="37">
        <f t="array" ref="K6">IFERROR(INDEX(Commercial!K$3:K$10,MATCH($A6,Commercial!$A$3:$A$10,0)),0)</f>
        <v>0</v>
      </c>
      <c r="L6" s="37">
        <f t="array" ref="L6">IFERROR(INDEX(Commercial!Q$3:Q$10,MATCH($A6,Commercial!$A$3:$A$10,0)),0)</f>
        <v>0</v>
      </c>
      <c r="M6" s="37">
        <f t="array" ref="M6">IFERROR(INDEX(Commercial!W$3:W$10,MATCH($A6,Commercial!$A$3:$A$10,0)),0)</f>
        <v>0</v>
      </c>
      <c r="N6" s="37">
        <f t="array" ref="N6">IFERROR(INDEX(Commercial!AC$3:AC$10,MATCH($A6,Commercial!$A$3:$A$10,0)),0)</f>
        <v>0</v>
      </c>
      <c r="O6" s="103">
        <f t="shared" si="2"/>
        <v>0</v>
      </c>
      <c r="P6" s="37">
        <f t="shared" si="3"/>
        <v>0</v>
      </c>
    </row>
    <row r="7" ht="15.0" customHeight="1">
      <c r="A7" s="37">
        <v>1290.0</v>
      </c>
      <c r="B7" s="41" t="s">
        <v>74</v>
      </c>
      <c r="C7" s="37">
        <f t="array" ref="C7">IFERROR(INDEX(Commercial!D$3:D$10,MATCH($A7,Commercial!$A$3:$A$10,0)),0)</f>
        <v>0</v>
      </c>
      <c r="D7" s="37">
        <f t="array" ref="D7">IFERROR(INDEX(Commercial!J$3:J$10,MATCH($A7,Commercial!$A$3:$A$10,0)),0)</f>
        <v>0</v>
      </c>
      <c r="E7" s="37">
        <f t="array" ref="E7">IFERROR(INDEX(Commercial!P$3:P$10,MATCH($A7,Commercial!$A$3:$A$10,0)),0)</f>
        <v>0</v>
      </c>
      <c r="F7" s="37">
        <f t="array" ref="F7">IFERROR(INDEX(Commercial!V$3:V$10,MATCH($A7,Commercial!$A$3:$A$10,0)),0)</f>
        <v>0</v>
      </c>
      <c r="G7" s="37">
        <f t="array" ref="G7">IFERROR(INDEX(Commercial!AB$3:AB$10,MATCH($A7,Commercial!$A$3:$A$10,0)),0)</f>
        <v>0</v>
      </c>
      <c r="H7" s="103">
        <f t="shared" si="1"/>
        <v>0</v>
      </c>
      <c r="I7" s="11"/>
      <c r="J7" s="37">
        <f t="array" ref="J7">IFERROR(INDEX(Commercial!E$3:E$10,MATCH($A7,Commercial!$A$3:$A$10,0)),0)</f>
        <v>0</v>
      </c>
      <c r="K7" s="37">
        <f t="array" ref="K7">IFERROR(INDEX(Commercial!K$3:K$10,MATCH($A7,Commercial!$A$3:$A$10,0)),0)</f>
        <v>0</v>
      </c>
      <c r="L7" s="37">
        <f t="array" ref="L7">IFERROR(INDEX(Commercial!Q$3:Q$10,MATCH($A7,Commercial!$A$3:$A$10,0)),0)</f>
        <v>0</v>
      </c>
      <c r="M7" s="37">
        <f t="array" ref="M7">IFERROR(INDEX(Commercial!W$3:W$10,MATCH($A7,Commercial!$A$3:$A$10,0)),0)</f>
        <v>0</v>
      </c>
      <c r="N7" s="37">
        <f t="array" ref="N7">IFERROR(INDEX(Commercial!AC$3:AC$10,MATCH($A7,Commercial!$A$3:$A$10,0)),0)</f>
        <v>0</v>
      </c>
      <c r="O7" s="103">
        <f t="shared" si="2"/>
        <v>0</v>
      </c>
      <c r="P7" s="37">
        <f t="shared" si="3"/>
        <v>0</v>
      </c>
    </row>
    <row r="8" ht="15.0" customHeight="1">
      <c r="A8" s="37">
        <v>1288.0</v>
      </c>
      <c r="B8" s="41" t="s">
        <v>76</v>
      </c>
      <c r="C8" s="37">
        <f t="array" ref="C8">IFERROR(INDEX(Commercial!D$3:D$10,MATCH($A8,Commercial!$A$3:$A$10,0)),0)</f>
        <v>0</v>
      </c>
      <c r="D8" s="37">
        <f t="array" ref="D8">IFERROR(INDEX(Commercial!J$3:J$10,MATCH($A8,Commercial!$A$3:$A$10,0)),0)</f>
        <v>0</v>
      </c>
      <c r="E8" s="37">
        <f t="array" ref="E8">IFERROR(INDEX(Commercial!P$3:P$10,MATCH($A8,Commercial!$A$3:$A$10,0)),0)</f>
        <v>0</v>
      </c>
      <c r="F8" s="37">
        <f t="array" ref="F8">IFERROR(INDEX(Commercial!V$3:V$10,MATCH($A8,Commercial!$A$3:$A$10,0)),0)</f>
        <v>0</v>
      </c>
      <c r="G8" s="37">
        <f t="array" ref="G8">IFERROR(INDEX(Commercial!AB$3:AB$10,MATCH($A8,Commercial!$A$3:$A$10,0)),0)</f>
        <v>0</v>
      </c>
      <c r="H8" s="103">
        <f t="shared" si="1"/>
        <v>0</v>
      </c>
      <c r="I8" s="11"/>
      <c r="J8" s="37">
        <f t="array" ref="J8">IFERROR(INDEX(Commercial!E$3:E$10,MATCH($A8,Commercial!$A$3:$A$10,0)),0)</f>
        <v>0</v>
      </c>
      <c r="K8" s="37">
        <f t="array" ref="K8">IFERROR(INDEX(Commercial!K$3:K$10,MATCH($A8,Commercial!$A$3:$A$10,0)),0)</f>
        <v>0</v>
      </c>
      <c r="L8" s="37">
        <f t="array" ref="L8">IFERROR(INDEX(Commercial!Q$3:Q$10,MATCH($A8,Commercial!$A$3:$A$10,0)),0)</f>
        <v>0</v>
      </c>
      <c r="M8" s="37">
        <f t="array" ref="M8">IFERROR(INDEX(Commercial!W$3:W$10,MATCH($A8,Commercial!$A$3:$A$10,0)),0)</f>
        <v>0</v>
      </c>
      <c r="N8" s="37">
        <f t="array" ref="N8">IFERROR(INDEX(Commercial!AC$3:AC$10,MATCH($A8,Commercial!$A$3:$A$10,0)),0)</f>
        <v>0</v>
      </c>
      <c r="O8" s="103">
        <f t="shared" si="2"/>
        <v>0</v>
      </c>
      <c r="P8" s="37">
        <f t="shared" si="3"/>
        <v>0</v>
      </c>
    </row>
    <row r="9" ht="15.0" customHeight="1">
      <c r="A9" s="37">
        <v>1175.0</v>
      </c>
      <c r="B9" s="41" t="s">
        <v>78</v>
      </c>
      <c r="C9" s="37">
        <f t="array" ref="C9">IFERROR(INDEX(Commercial!D$3:D$10,MATCH($A9,Commercial!$A$3:$A$10,0)),0)</f>
        <v>0</v>
      </c>
      <c r="D9" s="37" t="str">
        <f t="array" ref="D9">IFERROR(INDEX(Commercial!J$3:J$10,MATCH($A9,Commercial!$A$3:$A$10,0)),0)</f>
        <v/>
      </c>
      <c r="E9" s="37" t="str">
        <f t="array" ref="E9">IFERROR(INDEX(Commercial!P$3:P$10,MATCH($A9,Commercial!$A$3:$A$10,0)),0)</f>
        <v/>
      </c>
      <c r="F9" s="37" t="str">
        <f t="array" ref="F9">IFERROR(INDEX(Commercial!V$3:V$10,MATCH($A9,Commercial!$A$3:$A$10,0)),0)</f>
        <v/>
      </c>
      <c r="G9" s="37" t="str">
        <f t="array" ref="G9">IFERROR(INDEX(Commercial!AB$3:AB$10,MATCH($A9,Commercial!$A$3:$A$10,0)),0)</f>
        <v/>
      </c>
      <c r="H9" s="103">
        <f t="shared" si="1"/>
        <v>0</v>
      </c>
      <c r="I9" s="11"/>
      <c r="J9" s="37">
        <f t="array" ref="J9">IFERROR(INDEX(Commercial!E$3:E$10,MATCH($A9,Commercial!$A$3:$A$10,0)),0)</f>
        <v>0</v>
      </c>
      <c r="K9" s="37" t="str">
        <f t="array" ref="K9">IFERROR(INDEX(Commercial!K$3:K$10,MATCH($A9,Commercial!$A$3:$A$10,0)),0)</f>
        <v/>
      </c>
      <c r="L9" s="37" t="str">
        <f t="array" ref="L9">IFERROR(INDEX(Commercial!Q$3:Q$10,MATCH($A9,Commercial!$A$3:$A$10,0)),0)</f>
        <v/>
      </c>
      <c r="M9" s="37" t="str">
        <f t="array" ref="M9">IFERROR(INDEX(Commercial!W$3:W$10,MATCH($A9,Commercial!$A$3:$A$10,0)),0)</f>
        <v/>
      </c>
      <c r="N9" s="37" t="str">
        <f t="array" ref="N9">IFERROR(INDEX(Commercial!AC$3:AC$10,MATCH($A9,Commercial!$A$3:$A$10,0)),0)</f>
        <v/>
      </c>
      <c r="O9" s="103">
        <f t="shared" si="2"/>
        <v>0</v>
      </c>
      <c r="P9" s="37">
        <f t="shared" si="3"/>
        <v>0</v>
      </c>
    </row>
    <row r="10" ht="15.0" customHeight="1">
      <c r="A10" s="37">
        <v>1294.0</v>
      </c>
      <c r="B10" s="41" t="s">
        <v>79</v>
      </c>
      <c r="C10" s="37">
        <f t="array" ref="C10">IFERROR(INDEX(Commercial!D$3:D$10,MATCH($A10,Commercial!$A$3:$A$10,0)),0)</f>
        <v>0</v>
      </c>
      <c r="D10" s="37" t="str">
        <f t="array" ref="D10">IFERROR(INDEX(Commercial!J$3:J$10,MATCH($A10,Commercial!$A$3:$A$10,0)),0)</f>
        <v/>
      </c>
      <c r="E10" s="37" t="str">
        <f t="array" ref="E10">IFERROR(INDEX(Commercial!P$3:P$10,MATCH($A10,Commercial!$A$3:$A$10,0)),0)</f>
        <v/>
      </c>
      <c r="F10" s="37" t="str">
        <f t="array" ref="F10">IFERROR(INDEX(Commercial!V$3:V$10,MATCH($A10,Commercial!$A$3:$A$10,0)),0)</f>
        <v/>
      </c>
      <c r="G10" s="37" t="str">
        <f t="array" ref="G10">IFERROR(INDEX(Commercial!AB$3:AB$10,MATCH($A10,Commercial!$A$3:$A$10,0)),0)</f>
        <v/>
      </c>
      <c r="H10" s="103">
        <f t="shared" si="1"/>
        <v>0</v>
      </c>
      <c r="I10" s="11"/>
      <c r="J10" s="37">
        <f t="array" ref="J10">IFERROR(INDEX(Commercial!E$3:E$10,MATCH($A10,Commercial!$A$3:$A$10,0)),0)</f>
        <v>0</v>
      </c>
      <c r="K10" s="37" t="str">
        <f t="array" ref="K10">IFERROR(INDEX(Commercial!K$3:K$10,MATCH($A10,Commercial!$A$3:$A$10,0)),0)</f>
        <v/>
      </c>
      <c r="L10" s="37" t="str">
        <f t="array" ref="L10">IFERROR(INDEX(Commercial!Q$3:Q$10,MATCH($A10,Commercial!$A$3:$A$10,0)),0)</f>
        <v/>
      </c>
      <c r="M10" s="37" t="str">
        <f t="array" ref="M10">IFERROR(INDEX(Commercial!W$3:W$10,MATCH($A10,Commercial!$A$3:$A$10,0)),0)</f>
        <v/>
      </c>
      <c r="N10" s="37" t="str">
        <f t="array" ref="N10">IFERROR(INDEX(Commercial!AC$3:AC$10,MATCH($A10,Commercial!$A$3:$A$10,0)),0)</f>
        <v/>
      </c>
      <c r="O10" s="103">
        <f t="shared" si="2"/>
        <v>0</v>
      </c>
      <c r="P10" s="37">
        <f t="shared" si="3"/>
        <v>0</v>
      </c>
    </row>
    <row r="11" ht="15.0" customHeight="1">
      <c r="A11" s="37">
        <v>1280.0</v>
      </c>
      <c r="B11" s="41" t="s">
        <v>55</v>
      </c>
      <c r="C11" s="37">
        <f t="array" ref="C11">IFERROR(INDEX(Commercial!D$3:D$10,MATCH($A11,Commercial!$A$3:$A$10,0)),0)</f>
        <v>1</v>
      </c>
      <c r="D11" s="37" t="str">
        <f t="array" ref="D11">IFERROR(INDEX(Commercial!J$3:J$10,MATCH($A11,Commercial!$A$3:$A$10,0)),0)</f>
        <v/>
      </c>
      <c r="E11" s="37" t="str">
        <f t="array" ref="E11">IFERROR(INDEX(Commercial!P$3:P$10,MATCH($A11,Commercial!$A$3:$A$10,0)),0)</f>
        <v/>
      </c>
      <c r="F11" s="37" t="str">
        <f t="array" ref="F11">IFERROR(INDEX(Commercial!V$3:V$10,MATCH($A11,Commercial!$A$3:$A$10,0)),0)</f>
        <v/>
      </c>
      <c r="G11" s="37" t="str">
        <f t="array" ref="G11">IFERROR(INDEX(Commercial!AB$3:AB$10,MATCH($A11,Commercial!$A$3:$A$10,0)),0)</f>
        <v/>
      </c>
      <c r="H11" s="103">
        <f t="shared" si="1"/>
        <v>1</v>
      </c>
      <c r="I11" s="11"/>
      <c r="J11" s="37">
        <f t="array" ref="J11">IFERROR(INDEX(Commercial!E$3:E$10,MATCH($A11,Commercial!$A$3:$A$10,0)),0)</f>
        <v>1</v>
      </c>
      <c r="K11" s="37" t="str">
        <f t="array" ref="K11">IFERROR(INDEX(Commercial!K$3:K$10,MATCH($A11,Commercial!$A$3:$A$10,0)),0)</f>
        <v/>
      </c>
      <c r="L11" s="37" t="str">
        <f t="array" ref="L11">IFERROR(INDEX(Commercial!Q$3:Q$10,MATCH($A11,Commercial!$A$3:$A$10,0)),0)</f>
        <v/>
      </c>
      <c r="M11" s="37" t="str">
        <f t="array" ref="M11">IFERROR(INDEX(Commercial!W$3:W$10,MATCH($A11,Commercial!$A$3:$A$10,0)),0)</f>
        <v/>
      </c>
      <c r="N11" s="37" t="str">
        <f t="array" ref="N11">IFERROR(INDEX(Commercial!AC$3:AC$10,MATCH($A11,Commercial!$A$3:$A$10,0)),0)</f>
        <v/>
      </c>
      <c r="O11" s="103">
        <f t="shared" si="2"/>
        <v>1</v>
      </c>
      <c r="P11" s="37">
        <f t="shared" si="3"/>
        <v>2</v>
      </c>
    </row>
    <row r="12" ht="15.0" customHeight="1">
      <c r="A12" s="37">
        <v>1298.0</v>
      </c>
      <c r="B12" s="41" t="s">
        <v>81</v>
      </c>
      <c r="C12" s="37">
        <f t="array" ref="C12">IFERROR(INDEX(Commercial!D$3:D$10,MATCH($A12,Commercial!$A$3:$A$10,0)),0)</f>
        <v>0</v>
      </c>
      <c r="D12" s="37">
        <f t="array" ref="D12">IFERROR(INDEX(Commercial!J$3:J$10,MATCH($A12,Commercial!$A$3:$A$10,0)),0)</f>
        <v>0</v>
      </c>
      <c r="E12" s="37">
        <f t="array" ref="E12">IFERROR(INDEX(Commercial!P$3:P$10,MATCH($A12,Commercial!$A$3:$A$10,0)),0)</f>
        <v>0</v>
      </c>
      <c r="F12" s="37">
        <f t="array" ref="F12">IFERROR(INDEX(Commercial!V$3:V$10,MATCH($A12,Commercial!$A$3:$A$10,0)),0)</f>
        <v>0</v>
      </c>
      <c r="G12" s="37">
        <f t="array" ref="G12">IFERROR(INDEX(Commercial!AB$3:AB$10,MATCH($A12,Commercial!$A$3:$A$10,0)),0)</f>
        <v>0</v>
      </c>
      <c r="H12" s="103">
        <f t="shared" si="1"/>
        <v>0</v>
      </c>
      <c r="I12" s="11"/>
      <c r="J12" s="37">
        <f t="array" ref="J12">IFERROR(INDEX(Commercial!E$3:E$10,MATCH($A12,Commercial!$A$3:$A$10,0)),0)</f>
        <v>0</v>
      </c>
      <c r="K12" s="37">
        <f t="array" ref="K12">IFERROR(INDEX(Commercial!K$3:K$10,MATCH($A12,Commercial!$A$3:$A$10,0)),0)</f>
        <v>0</v>
      </c>
      <c r="L12" s="37">
        <f t="array" ref="L12">IFERROR(INDEX(Commercial!Q$3:Q$10,MATCH($A12,Commercial!$A$3:$A$10,0)),0)</f>
        <v>0</v>
      </c>
      <c r="M12" s="37">
        <f t="array" ref="M12">IFERROR(INDEX(Commercial!W$3:W$10,MATCH($A12,Commercial!$A$3:$A$10,0)),0)</f>
        <v>0</v>
      </c>
      <c r="N12" s="37">
        <f t="array" ref="N12">IFERROR(INDEX(Commercial!AC$3:AC$10,MATCH($A12,Commercial!$A$3:$A$10,0)),0)</f>
        <v>0</v>
      </c>
      <c r="O12" s="103">
        <f t="shared" si="2"/>
        <v>0</v>
      </c>
      <c r="P12" s="37">
        <f t="shared" si="3"/>
        <v>0</v>
      </c>
    </row>
    <row r="13" ht="15.0" customHeight="1">
      <c r="A13" s="37">
        <v>1300.0</v>
      </c>
      <c r="B13" s="41" t="s">
        <v>82</v>
      </c>
      <c r="C13" s="37">
        <f t="array" ref="C13">IFERROR(INDEX(Commercial!D$3:D$10,MATCH($A13,Commercial!$A$3:$A$10,0)),0)</f>
        <v>0</v>
      </c>
      <c r="D13" s="37" t="str">
        <f t="array" ref="D13">IFERROR(INDEX(Commercial!J$3:J$10,MATCH($A13,Commercial!$A$3:$A$10,0)),0)</f>
        <v/>
      </c>
      <c r="E13" s="37" t="str">
        <f t="array" ref="E13">IFERROR(INDEX(Commercial!P$3:P$10,MATCH($A13,Commercial!$A$3:$A$10,0)),0)</f>
        <v/>
      </c>
      <c r="F13" s="37" t="str">
        <f t="array" ref="F13">IFERROR(INDEX(Commercial!V$3:V$10,MATCH($A13,Commercial!$A$3:$A$10,0)),0)</f>
        <v/>
      </c>
      <c r="G13" s="37" t="str">
        <f t="array" ref="G13">IFERROR(INDEX(Commercial!AB$3:AB$10,MATCH($A13,Commercial!$A$3:$A$10,0)),0)</f>
        <v/>
      </c>
      <c r="H13" s="103">
        <f t="shared" si="1"/>
        <v>0</v>
      </c>
      <c r="I13" s="11"/>
      <c r="J13" s="37">
        <f t="array" ref="J13">IFERROR(INDEX(Commercial!E$3:E$10,MATCH($A13,Commercial!$A$3:$A$10,0)),0)</f>
        <v>0</v>
      </c>
      <c r="K13" s="37" t="str">
        <f t="array" ref="K13">IFERROR(INDEX(Commercial!K$3:K$10,MATCH($A13,Commercial!$A$3:$A$10,0)),0)</f>
        <v/>
      </c>
      <c r="L13" s="37" t="str">
        <f t="array" ref="L13">IFERROR(INDEX(Commercial!Q$3:Q$10,MATCH($A13,Commercial!$A$3:$A$10,0)),0)</f>
        <v/>
      </c>
      <c r="M13" s="37" t="str">
        <f t="array" ref="M13">IFERROR(INDEX(Commercial!W$3:W$10,MATCH($A13,Commercial!$A$3:$A$10,0)),0)</f>
        <v/>
      </c>
      <c r="N13" s="37" t="str">
        <f t="array" ref="N13">IFERROR(INDEX(Commercial!AC$3:AC$10,MATCH($A13,Commercial!$A$3:$A$10,0)),0)</f>
        <v/>
      </c>
      <c r="O13" s="103">
        <f t="shared" si="2"/>
        <v>0</v>
      </c>
      <c r="P13" s="37">
        <f t="shared" si="3"/>
        <v>0</v>
      </c>
    </row>
    <row r="14" ht="15.0" customHeight="1">
      <c r="A14" s="37">
        <v>1301.0</v>
      </c>
      <c r="B14" s="41" t="s">
        <v>83</v>
      </c>
      <c r="C14" s="37">
        <f t="array" ref="C14">IFERROR(INDEX(Commercial!D$3:D$10,MATCH($A14,Commercial!$A$3:$A$10,0)),0)</f>
        <v>0</v>
      </c>
      <c r="D14" s="37" t="str">
        <f t="array" ref="D14">IFERROR(INDEX(Commercial!J$3:J$10,MATCH($A14,Commercial!$A$3:$A$10,0)),0)</f>
        <v/>
      </c>
      <c r="E14" s="37" t="str">
        <f t="array" ref="E14">IFERROR(INDEX(Commercial!P$3:P$10,MATCH($A14,Commercial!$A$3:$A$10,0)),0)</f>
        <v/>
      </c>
      <c r="F14" s="37" t="str">
        <f t="array" ref="F14">IFERROR(INDEX(Commercial!V$3:V$10,MATCH($A14,Commercial!$A$3:$A$10,0)),0)</f>
        <v/>
      </c>
      <c r="G14" s="37" t="str">
        <f t="array" ref="G14">IFERROR(INDEX(Commercial!AB$3:AB$10,MATCH($A14,Commercial!$A$3:$A$10,0)),0)</f>
        <v/>
      </c>
      <c r="H14" s="103">
        <f t="shared" si="1"/>
        <v>0</v>
      </c>
      <c r="I14" s="11"/>
      <c r="J14" s="37">
        <f t="array" ref="J14">IFERROR(INDEX(Commercial!E$3:E$10,MATCH($A14,Commercial!$A$3:$A$10,0)),0)</f>
        <v>0</v>
      </c>
      <c r="K14" s="37" t="str">
        <f t="array" ref="K14">IFERROR(INDEX(Commercial!K$3:K$10,MATCH($A14,Commercial!$A$3:$A$10,0)),0)</f>
        <v/>
      </c>
      <c r="L14" s="37" t="str">
        <f t="array" ref="L14">IFERROR(INDEX(Commercial!Q$3:Q$10,MATCH($A14,Commercial!$A$3:$A$10,0)),0)</f>
        <v/>
      </c>
      <c r="M14" s="37" t="str">
        <f t="array" ref="M14">IFERROR(INDEX(Commercial!W$3:W$10,MATCH($A14,Commercial!$A$3:$A$10,0)),0)</f>
        <v/>
      </c>
      <c r="N14" s="37" t="str">
        <f t="array" ref="N14">IFERROR(INDEX(Commercial!AC$3:AC$10,MATCH($A14,Commercial!$A$3:$A$10,0)),0)</f>
        <v/>
      </c>
      <c r="O14" s="103">
        <f t="shared" si="2"/>
        <v>0</v>
      </c>
      <c r="P14" s="37">
        <f t="shared" si="3"/>
        <v>0</v>
      </c>
    </row>
    <row r="15" ht="15.0" customHeight="1">
      <c r="A15" s="37">
        <v>1151.0</v>
      </c>
      <c r="B15" s="41" t="s">
        <v>84</v>
      </c>
      <c r="C15" s="37">
        <f t="array" ref="C15">IFERROR(INDEX(Commercial!D$3:D$10,MATCH($A15,Commercial!$A$3:$A$10,0)),0)</f>
        <v>0</v>
      </c>
      <c r="D15" s="37" t="str">
        <f t="array" ref="D15">IFERROR(INDEX(Commercial!J$3:J$10,MATCH($A15,Commercial!$A$3:$A$10,0)),0)</f>
        <v/>
      </c>
      <c r="E15" s="37" t="str">
        <f t="array" ref="E15">IFERROR(INDEX(Commercial!P$3:P$10,MATCH($A15,Commercial!$A$3:$A$10,0)),0)</f>
        <v/>
      </c>
      <c r="F15" s="37" t="str">
        <f t="array" ref="F15">IFERROR(INDEX(Commercial!V$3:V$10,MATCH($A15,Commercial!$A$3:$A$10,0)),0)</f>
        <v/>
      </c>
      <c r="G15" s="37" t="str">
        <f t="array" ref="G15">IFERROR(INDEX(Commercial!AB$3:AB$10,MATCH($A15,Commercial!$A$3:$A$10,0)),0)</f>
        <v/>
      </c>
      <c r="H15" s="103">
        <f t="shared" si="1"/>
        <v>0</v>
      </c>
      <c r="I15" s="11"/>
      <c r="J15" s="37">
        <f t="array" ref="J15">IFERROR(INDEX(Commercial!E$3:E$10,MATCH($A15,Commercial!$A$3:$A$10,0)),0)</f>
        <v>0</v>
      </c>
      <c r="K15" s="37" t="str">
        <f t="array" ref="K15">IFERROR(INDEX(Commercial!K$3:K$10,MATCH($A15,Commercial!$A$3:$A$10,0)),0)</f>
        <v/>
      </c>
      <c r="L15" s="37" t="str">
        <f t="array" ref="L15">IFERROR(INDEX(Commercial!Q$3:Q$10,MATCH($A15,Commercial!$A$3:$A$10,0)),0)</f>
        <v/>
      </c>
      <c r="M15" s="37" t="str">
        <f t="array" ref="M15">IFERROR(INDEX(Commercial!W$3:W$10,MATCH($A15,Commercial!$A$3:$A$10,0)),0)</f>
        <v/>
      </c>
      <c r="N15" s="37" t="str">
        <f t="array" ref="N15">IFERROR(INDEX(Commercial!AC$3:AC$10,MATCH($A15,Commercial!$A$3:$A$10,0)),0)</f>
        <v/>
      </c>
      <c r="O15" s="103">
        <f t="shared" si="2"/>
        <v>0</v>
      </c>
      <c r="P15" s="37">
        <f t="shared" si="3"/>
        <v>0</v>
      </c>
    </row>
    <row r="16" ht="15.0" customHeight="1">
      <c r="A16" s="264"/>
      <c r="B16" s="265" t="s">
        <v>58</v>
      </c>
      <c r="C16" s="265">
        <f t="shared" ref="C16:H16" si="4">SUM(C4:C15)</f>
        <v>1</v>
      </c>
      <c r="D16" s="265">
        <f t="shared" si="4"/>
        <v>0</v>
      </c>
      <c r="E16" s="265">
        <f t="shared" si="4"/>
        <v>0</v>
      </c>
      <c r="F16" s="265">
        <f t="shared" si="4"/>
        <v>0</v>
      </c>
      <c r="G16" s="265">
        <f t="shared" si="4"/>
        <v>0</v>
      </c>
      <c r="H16" s="265">
        <f t="shared" si="4"/>
        <v>1</v>
      </c>
      <c r="I16" s="11"/>
      <c r="J16" s="265">
        <f t="shared" ref="J16:O16" si="5">SUM(J4:J15)</f>
        <v>2</v>
      </c>
      <c r="K16" s="265">
        <f t="shared" si="5"/>
        <v>0</v>
      </c>
      <c r="L16" s="265">
        <f t="shared" si="5"/>
        <v>0</v>
      </c>
      <c r="M16" s="265">
        <f t="shared" si="5"/>
        <v>0</v>
      </c>
      <c r="N16" s="265">
        <f t="shared" si="5"/>
        <v>0</v>
      </c>
      <c r="O16" s="265">
        <f t="shared" si="5"/>
        <v>2</v>
      </c>
      <c r="P16" s="265">
        <f t="shared" si="3"/>
        <v>3</v>
      </c>
    </row>
    <row r="18" ht="15.0" customHeight="1">
      <c r="A18" s="266" t="s">
        <v>91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2" t="s">
        <v>0</v>
      </c>
      <c r="B1" s="5" t="s">
        <v>2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</row>
    <row r="2" ht="15.0" customHeight="1">
      <c r="A2" s="17" t="s">
        <v>19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21"/>
      <c r="P2" s="23"/>
    </row>
    <row r="3" ht="15.0" customHeight="1">
      <c r="A3" s="26">
        <v>1300.0</v>
      </c>
      <c r="B3" s="28" t="s">
        <v>27</v>
      </c>
      <c r="C3" s="30">
        <v>1.0</v>
      </c>
      <c r="D3" s="30"/>
      <c r="E3" s="30"/>
      <c r="F3" s="30"/>
      <c r="G3" s="30"/>
      <c r="H3" s="30"/>
      <c r="I3" s="30"/>
      <c r="J3" s="40">
        <f t="shared" ref="J3:J10" si="1">SUM(C3:I3)</f>
        <v>1</v>
      </c>
      <c r="K3" s="40"/>
      <c r="L3" s="40">
        <f t="shared" ref="L3:L10" si="2">J3-K3</f>
        <v>1</v>
      </c>
      <c r="M3" s="40">
        <v>0.0</v>
      </c>
      <c r="N3" s="48">
        <f t="shared" ref="N3:N11" si="3">J3-M3</f>
        <v>1</v>
      </c>
      <c r="O3" s="45" t="s">
        <v>37</v>
      </c>
      <c r="P3" s="50" t="s">
        <v>38</v>
      </c>
    </row>
    <row r="4" ht="15.0" customHeight="1">
      <c r="A4" s="26"/>
      <c r="B4" s="51"/>
      <c r="C4" s="52"/>
      <c r="D4" s="52"/>
      <c r="E4" s="52"/>
      <c r="F4" s="30"/>
      <c r="G4" s="52"/>
      <c r="H4" s="52"/>
      <c r="I4" s="52"/>
      <c r="J4" s="40">
        <f t="shared" si="1"/>
        <v>0</v>
      </c>
      <c r="K4" s="55"/>
      <c r="L4" s="40">
        <f t="shared" si="2"/>
        <v>0</v>
      </c>
      <c r="M4" s="40">
        <v>0.0</v>
      </c>
      <c r="N4" s="48">
        <f t="shared" si="3"/>
        <v>0</v>
      </c>
      <c r="O4" s="45" t="s">
        <v>37</v>
      </c>
      <c r="P4" s="50" t="s">
        <v>38</v>
      </c>
    </row>
    <row r="5" ht="15.0" customHeight="1">
      <c r="A5" s="26"/>
      <c r="B5" s="58"/>
      <c r="C5" s="52"/>
      <c r="D5" s="52"/>
      <c r="E5" s="52"/>
      <c r="F5" s="30"/>
      <c r="G5" s="52"/>
      <c r="H5" s="52"/>
      <c r="I5" s="52"/>
      <c r="J5" s="40">
        <f t="shared" si="1"/>
        <v>0</v>
      </c>
      <c r="K5" s="55"/>
      <c r="L5" s="40">
        <f t="shared" si="2"/>
        <v>0</v>
      </c>
      <c r="M5" s="40">
        <v>0.0</v>
      </c>
      <c r="N5" s="48">
        <f t="shared" si="3"/>
        <v>0</v>
      </c>
      <c r="O5" s="45" t="s">
        <v>37</v>
      </c>
      <c r="P5" s="50" t="s">
        <v>38</v>
      </c>
    </row>
    <row r="6" ht="15.0" customHeight="1">
      <c r="A6" s="26"/>
      <c r="B6" s="58"/>
      <c r="C6" s="52"/>
      <c r="D6" s="52"/>
      <c r="E6" s="52"/>
      <c r="F6" s="30"/>
      <c r="G6" s="52"/>
      <c r="H6" s="52"/>
      <c r="I6" s="52"/>
      <c r="J6" s="40">
        <f t="shared" si="1"/>
        <v>0</v>
      </c>
      <c r="K6" s="55"/>
      <c r="L6" s="40">
        <f t="shared" si="2"/>
        <v>0</v>
      </c>
      <c r="M6" s="40">
        <v>0.0</v>
      </c>
      <c r="N6" s="48">
        <f t="shared" si="3"/>
        <v>0</v>
      </c>
      <c r="O6" s="45" t="s">
        <v>37</v>
      </c>
      <c r="P6" s="50" t="s">
        <v>38</v>
      </c>
    </row>
    <row r="7" ht="15.0" customHeight="1">
      <c r="A7" s="26"/>
      <c r="B7" s="51"/>
      <c r="C7" s="52"/>
      <c r="D7" s="52"/>
      <c r="E7" s="52"/>
      <c r="F7" s="30"/>
      <c r="G7" s="52"/>
      <c r="H7" s="52"/>
      <c r="I7" s="52"/>
      <c r="J7" s="40">
        <f t="shared" si="1"/>
        <v>0</v>
      </c>
      <c r="K7" s="55"/>
      <c r="L7" s="40">
        <f t="shared" si="2"/>
        <v>0</v>
      </c>
      <c r="M7" s="40">
        <v>0.0</v>
      </c>
      <c r="N7" s="48">
        <f t="shared" si="3"/>
        <v>0</v>
      </c>
      <c r="O7" s="45" t="s">
        <v>37</v>
      </c>
      <c r="P7" s="50" t="s">
        <v>38</v>
      </c>
    </row>
    <row r="8" ht="15.0" customHeight="1">
      <c r="A8" s="26"/>
      <c r="B8" s="58"/>
      <c r="C8" s="52"/>
      <c r="D8" s="52"/>
      <c r="E8" s="52"/>
      <c r="F8" s="30"/>
      <c r="G8" s="52"/>
      <c r="H8" s="52"/>
      <c r="I8" s="52"/>
      <c r="J8" s="40">
        <f t="shared" si="1"/>
        <v>0</v>
      </c>
      <c r="K8" s="55"/>
      <c r="L8" s="40">
        <f t="shared" si="2"/>
        <v>0</v>
      </c>
      <c r="M8" s="40">
        <v>0.0</v>
      </c>
      <c r="N8" s="48">
        <f t="shared" si="3"/>
        <v>0</v>
      </c>
      <c r="O8" s="45" t="s">
        <v>37</v>
      </c>
      <c r="P8" s="50" t="s">
        <v>38</v>
      </c>
    </row>
    <row r="9" ht="15.0" customHeight="1">
      <c r="A9" s="26"/>
      <c r="B9" s="51"/>
      <c r="C9" s="52"/>
      <c r="D9" s="52"/>
      <c r="E9" s="52"/>
      <c r="F9" s="52"/>
      <c r="G9" s="52"/>
      <c r="H9" s="52"/>
      <c r="I9" s="52"/>
      <c r="J9" s="40">
        <f t="shared" si="1"/>
        <v>0</v>
      </c>
      <c r="K9" s="55"/>
      <c r="L9" s="40">
        <f t="shared" si="2"/>
        <v>0</v>
      </c>
      <c r="M9" s="40">
        <v>0.0</v>
      </c>
      <c r="N9" s="48">
        <f t="shared" si="3"/>
        <v>0</v>
      </c>
      <c r="O9" s="45" t="s">
        <v>37</v>
      </c>
      <c r="P9" s="50" t="s">
        <v>38</v>
      </c>
    </row>
    <row r="10" ht="15.0" customHeight="1">
      <c r="A10" s="26"/>
      <c r="B10" s="58"/>
      <c r="C10" s="52"/>
      <c r="D10" s="52"/>
      <c r="E10" s="52"/>
      <c r="F10" s="52"/>
      <c r="G10" s="52"/>
      <c r="H10" s="52"/>
      <c r="I10" s="52"/>
      <c r="J10" s="40">
        <f t="shared" si="1"/>
        <v>0</v>
      </c>
      <c r="K10" s="55"/>
      <c r="L10" s="40">
        <f t="shared" si="2"/>
        <v>0</v>
      </c>
      <c r="M10" s="40">
        <v>0.0</v>
      </c>
      <c r="N10" s="48">
        <f t="shared" si="3"/>
        <v>0</v>
      </c>
      <c r="O10" s="45" t="s">
        <v>37</v>
      </c>
      <c r="P10" s="50" t="s">
        <v>38</v>
      </c>
    </row>
    <row r="11" ht="15.0" customHeight="1">
      <c r="A11" s="69"/>
      <c r="B11" s="70" t="s">
        <v>58</v>
      </c>
      <c r="C11" s="73">
        <f t="shared" ref="C11:M11" si="4">SUM(C3:C10)</f>
        <v>1</v>
      </c>
      <c r="D11" s="73">
        <f t="shared" si="4"/>
        <v>0</v>
      </c>
      <c r="E11" s="73">
        <f t="shared" si="4"/>
        <v>0</v>
      </c>
      <c r="F11" s="73">
        <f t="shared" si="4"/>
        <v>0</v>
      </c>
      <c r="G11" s="73">
        <f t="shared" si="4"/>
        <v>0</v>
      </c>
      <c r="H11" s="73">
        <f t="shared" si="4"/>
        <v>0</v>
      </c>
      <c r="I11" s="73">
        <f t="shared" si="4"/>
        <v>0</v>
      </c>
      <c r="J11" s="73">
        <f t="shared" si="4"/>
        <v>1</v>
      </c>
      <c r="K11" s="73">
        <f t="shared" si="4"/>
        <v>0</v>
      </c>
      <c r="L11" s="73">
        <f t="shared" si="4"/>
        <v>1</v>
      </c>
      <c r="M11" s="73">
        <f t="shared" si="4"/>
        <v>0</v>
      </c>
      <c r="N11" s="81">
        <f t="shared" si="3"/>
        <v>1</v>
      </c>
      <c r="O11" s="45" t="s">
        <v>37</v>
      </c>
      <c r="P11" s="50" t="s">
        <v>38</v>
      </c>
    </row>
    <row r="12" ht="15.0" customHeight="1">
      <c r="A12" s="23"/>
      <c r="B12" s="82" t="s">
        <v>62</v>
      </c>
      <c r="C12" s="83"/>
      <c r="D12" s="83"/>
      <c r="E12" s="83"/>
      <c r="F12" s="83"/>
      <c r="G12" s="83"/>
      <c r="H12" s="83"/>
      <c r="I12" s="83"/>
      <c r="J12" s="85"/>
      <c r="K12" s="85"/>
      <c r="L12" s="85"/>
      <c r="M12" s="83"/>
      <c r="N12" s="83"/>
      <c r="O12" s="23"/>
      <c r="P12" s="23"/>
    </row>
    <row r="13" ht="15.0" customHeight="1">
      <c r="A13" s="2" t="s">
        <v>0</v>
      </c>
      <c r="B13" s="5" t="s">
        <v>2</v>
      </c>
      <c r="C13" s="2" t="s">
        <v>4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9</v>
      </c>
      <c r="I13" s="2" t="s">
        <v>10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15</v>
      </c>
      <c r="O13" s="2" t="s">
        <v>16</v>
      </c>
      <c r="P13" s="2" t="s">
        <v>17</v>
      </c>
    </row>
    <row r="14" ht="15.0" customHeight="1">
      <c r="A14" s="87"/>
      <c r="B14" s="88"/>
      <c r="C14" s="30"/>
      <c r="D14" s="30"/>
      <c r="E14" s="30"/>
      <c r="F14" s="30"/>
      <c r="G14" s="30"/>
      <c r="H14" s="30"/>
      <c r="I14" s="30"/>
      <c r="J14" s="40">
        <f t="shared" ref="J14:J18" si="5">SUM(C14:I14)</f>
        <v>0</v>
      </c>
      <c r="K14" s="40"/>
      <c r="L14" s="40">
        <f t="shared" ref="L14:L18" si="6">J14-K14</f>
        <v>0</v>
      </c>
      <c r="M14" s="40">
        <v>0.0</v>
      </c>
      <c r="N14" s="48">
        <f t="shared" ref="N14:N19" si="7">J14-M14</f>
        <v>0</v>
      </c>
      <c r="O14" s="45" t="s">
        <v>37</v>
      </c>
      <c r="P14" s="50" t="s">
        <v>38</v>
      </c>
    </row>
    <row r="15" ht="15.0" customHeight="1">
      <c r="A15" s="87"/>
      <c r="B15" s="94"/>
      <c r="C15" s="30"/>
      <c r="D15" s="30"/>
      <c r="E15" s="30"/>
      <c r="F15" s="30"/>
      <c r="G15" s="30"/>
      <c r="H15" s="30"/>
      <c r="I15" s="30"/>
      <c r="J15" s="40">
        <f t="shared" si="5"/>
        <v>0</v>
      </c>
      <c r="K15" s="40"/>
      <c r="L15" s="40">
        <f t="shared" si="6"/>
        <v>0</v>
      </c>
      <c r="M15" s="40">
        <v>0.0</v>
      </c>
      <c r="N15" s="48">
        <f t="shared" si="7"/>
        <v>0</v>
      </c>
      <c r="O15" s="45" t="s">
        <v>37</v>
      </c>
      <c r="P15" s="50" t="s">
        <v>38</v>
      </c>
    </row>
    <row r="16" ht="15.0" customHeight="1">
      <c r="A16" s="87"/>
      <c r="B16" s="88"/>
      <c r="C16" s="30"/>
      <c r="D16" s="30"/>
      <c r="E16" s="30"/>
      <c r="F16" s="30"/>
      <c r="G16" s="30"/>
      <c r="H16" s="30"/>
      <c r="I16" s="30"/>
      <c r="J16" s="40">
        <f t="shared" si="5"/>
        <v>0</v>
      </c>
      <c r="K16" s="40"/>
      <c r="L16" s="40">
        <f t="shared" si="6"/>
        <v>0</v>
      </c>
      <c r="M16" s="40">
        <v>0.0</v>
      </c>
      <c r="N16" s="48">
        <f t="shared" si="7"/>
        <v>0</v>
      </c>
      <c r="O16" s="45" t="s">
        <v>37</v>
      </c>
      <c r="P16" s="50" t="s">
        <v>38</v>
      </c>
    </row>
    <row r="17" ht="15.0" customHeight="1">
      <c r="A17" s="87"/>
      <c r="B17" s="88"/>
      <c r="C17" s="30"/>
      <c r="D17" s="30"/>
      <c r="E17" s="30"/>
      <c r="F17" s="30"/>
      <c r="G17" s="30"/>
      <c r="H17" s="30"/>
      <c r="I17" s="30"/>
      <c r="J17" s="40">
        <f t="shared" si="5"/>
        <v>0</v>
      </c>
      <c r="K17" s="40"/>
      <c r="L17" s="40">
        <f t="shared" si="6"/>
        <v>0</v>
      </c>
      <c r="M17" s="40">
        <v>0.0</v>
      </c>
      <c r="N17" s="48">
        <f t="shared" si="7"/>
        <v>0</v>
      </c>
      <c r="O17" s="45" t="s">
        <v>37</v>
      </c>
      <c r="P17" s="50" t="s">
        <v>38</v>
      </c>
    </row>
    <row r="18" ht="15.0" customHeight="1">
      <c r="A18" s="87"/>
      <c r="B18" s="96"/>
      <c r="C18" s="30"/>
      <c r="D18" s="30"/>
      <c r="E18" s="30"/>
      <c r="F18" s="30"/>
      <c r="G18" s="30"/>
      <c r="H18" s="30"/>
      <c r="I18" s="30"/>
      <c r="J18" s="40">
        <f t="shared" si="5"/>
        <v>0</v>
      </c>
      <c r="K18" s="40"/>
      <c r="L18" s="40">
        <f t="shared" si="6"/>
        <v>0</v>
      </c>
      <c r="M18" s="40">
        <v>0.0</v>
      </c>
      <c r="N18" s="48">
        <f t="shared" si="7"/>
        <v>0</v>
      </c>
      <c r="O18" s="45" t="s">
        <v>37</v>
      </c>
      <c r="P18" s="50" t="s">
        <v>38</v>
      </c>
    </row>
    <row r="19" ht="15.0" customHeight="1">
      <c r="A19" s="87"/>
      <c r="B19" s="70" t="s">
        <v>58</v>
      </c>
      <c r="C19" s="73">
        <f t="shared" ref="C19:M19" si="8">SUM(C14:C18)</f>
        <v>0</v>
      </c>
      <c r="D19" s="73">
        <f t="shared" si="8"/>
        <v>0</v>
      </c>
      <c r="E19" s="73">
        <f t="shared" si="8"/>
        <v>0</v>
      </c>
      <c r="F19" s="73">
        <f t="shared" si="8"/>
        <v>0</v>
      </c>
      <c r="G19" s="73">
        <f t="shared" si="8"/>
        <v>0</v>
      </c>
      <c r="H19" s="73">
        <f t="shared" si="8"/>
        <v>0</v>
      </c>
      <c r="I19" s="73">
        <f t="shared" si="8"/>
        <v>0</v>
      </c>
      <c r="J19" s="73">
        <f t="shared" si="8"/>
        <v>0</v>
      </c>
      <c r="K19" s="73">
        <f t="shared" si="8"/>
        <v>0</v>
      </c>
      <c r="L19" s="73">
        <f t="shared" si="8"/>
        <v>0</v>
      </c>
      <c r="M19" s="73">
        <f t="shared" si="8"/>
        <v>0</v>
      </c>
      <c r="N19" s="48">
        <f t="shared" si="7"/>
        <v>0</v>
      </c>
      <c r="O19" s="45" t="s">
        <v>37</v>
      </c>
      <c r="P19" s="50" t="s">
        <v>38</v>
      </c>
    </row>
    <row r="20" ht="15.0" customHeight="1">
      <c r="A20" s="23"/>
      <c r="B20" s="101" t="s">
        <v>64</v>
      </c>
      <c r="C20" s="23"/>
      <c r="D20" s="23"/>
      <c r="E20" s="23"/>
      <c r="F20" s="23"/>
      <c r="G20" s="23"/>
      <c r="H20" s="23"/>
      <c r="I20" s="23"/>
      <c r="J20" s="2"/>
      <c r="K20" s="2"/>
      <c r="L20" s="2"/>
      <c r="M20" s="23"/>
      <c r="N20" s="23"/>
      <c r="O20" s="23"/>
      <c r="P20" s="23"/>
    </row>
    <row r="21" ht="15.0" customHeight="1">
      <c r="A21" s="2" t="s">
        <v>0</v>
      </c>
      <c r="B21" s="5" t="s">
        <v>2</v>
      </c>
      <c r="C21" s="2" t="s">
        <v>4</v>
      </c>
      <c r="D21" s="2" t="s">
        <v>5</v>
      </c>
      <c r="E21" s="2" t="s">
        <v>6</v>
      </c>
      <c r="F21" s="2" t="s">
        <v>7</v>
      </c>
      <c r="G21" s="2" t="s">
        <v>8</v>
      </c>
      <c r="H21" s="2" t="s">
        <v>9</v>
      </c>
      <c r="I21" s="2" t="s">
        <v>10</v>
      </c>
      <c r="J21" s="2" t="s">
        <v>11</v>
      </c>
      <c r="K21" s="2" t="s">
        <v>12</v>
      </c>
      <c r="L21" s="2" t="s">
        <v>13</v>
      </c>
      <c r="M21" s="2" t="s">
        <v>14</v>
      </c>
      <c r="N21" s="2" t="s">
        <v>15</v>
      </c>
      <c r="O21" s="2" t="s">
        <v>16</v>
      </c>
      <c r="P21" s="2" t="s">
        <v>17</v>
      </c>
    </row>
    <row r="22" ht="15.0" customHeight="1">
      <c r="A22" s="87"/>
      <c r="B22" s="96"/>
      <c r="C22" s="30"/>
      <c r="D22" s="30"/>
      <c r="E22" s="30"/>
      <c r="F22" s="30"/>
      <c r="G22" s="30"/>
      <c r="H22" s="30"/>
      <c r="I22" s="30"/>
      <c r="J22" s="40">
        <f t="shared" ref="J22:J24" si="9">SUM(C22:I22)</f>
        <v>0</v>
      </c>
      <c r="K22" s="40"/>
      <c r="L22" s="40">
        <f t="shared" ref="L22:L24" si="10">J22-K22</f>
        <v>0</v>
      </c>
      <c r="M22" s="40">
        <v>0.0</v>
      </c>
      <c r="N22" s="48">
        <f t="shared" ref="N22:N25" si="11">J22-M22</f>
        <v>0</v>
      </c>
      <c r="O22" s="45" t="s">
        <v>37</v>
      </c>
      <c r="P22" s="50" t="s">
        <v>38</v>
      </c>
    </row>
    <row r="23" ht="15.0" customHeight="1">
      <c r="A23" s="87"/>
      <c r="B23" s="88"/>
      <c r="C23" s="30"/>
      <c r="D23" s="30"/>
      <c r="E23" s="30"/>
      <c r="F23" s="30"/>
      <c r="G23" s="30"/>
      <c r="H23" s="30"/>
      <c r="I23" s="30"/>
      <c r="J23" s="40">
        <f t="shared" si="9"/>
        <v>0</v>
      </c>
      <c r="K23" s="40"/>
      <c r="L23" s="40">
        <f t="shared" si="10"/>
        <v>0</v>
      </c>
      <c r="M23" s="40">
        <v>0.0</v>
      </c>
      <c r="N23" s="48">
        <f t="shared" si="11"/>
        <v>0</v>
      </c>
      <c r="O23" s="45" t="s">
        <v>37</v>
      </c>
      <c r="P23" s="50" t="s">
        <v>38</v>
      </c>
    </row>
    <row r="24" ht="15.0" customHeight="1">
      <c r="A24" s="87"/>
      <c r="B24" s="88"/>
      <c r="C24" s="30"/>
      <c r="D24" s="30"/>
      <c r="E24" s="30"/>
      <c r="F24" s="30"/>
      <c r="G24" s="30"/>
      <c r="H24" s="30"/>
      <c r="I24" s="30"/>
      <c r="J24" s="40">
        <f t="shared" si="9"/>
        <v>0</v>
      </c>
      <c r="K24" s="40"/>
      <c r="L24" s="40">
        <f t="shared" si="10"/>
        <v>0</v>
      </c>
      <c r="M24" s="40">
        <v>0.0</v>
      </c>
      <c r="N24" s="48">
        <f t="shared" si="11"/>
        <v>0</v>
      </c>
      <c r="O24" s="45" t="s">
        <v>37</v>
      </c>
      <c r="P24" s="50" t="s">
        <v>38</v>
      </c>
    </row>
    <row r="25" ht="15.0" customHeight="1">
      <c r="A25" s="87"/>
      <c r="B25" s="70" t="s">
        <v>58</v>
      </c>
      <c r="C25" s="73">
        <f t="shared" ref="C25:M25" si="12">SUM(C22:C24)</f>
        <v>0</v>
      </c>
      <c r="D25" s="73">
        <f t="shared" si="12"/>
        <v>0</v>
      </c>
      <c r="E25" s="73">
        <f t="shared" si="12"/>
        <v>0</v>
      </c>
      <c r="F25" s="73">
        <f t="shared" si="12"/>
        <v>0</v>
      </c>
      <c r="G25" s="73">
        <f t="shared" si="12"/>
        <v>0</v>
      </c>
      <c r="H25" s="73">
        <f t="shared" si="12"/>
        <v>0</v>
      </c>
      <c r="I25" s="73">
        <f t="shared" si="12"/>
        <v>0</v>
      </c>
      <c r="J25" s="73">
        <f t="shared" si="12"/>
        <v>0</v>
      </c>
      <c r="K25" s="73">
        <f t="shared" si="12"/>
        <v>0</v>
      </c>
      <c r="L25" s="73">
        <f t="shared" si="12"/>
        <v>0</v>
      </c>
      <c r="M25" s="73">
        <f t="shared" si="12"/>
        <v>0</v>
      </c>
      <c r="N25" s="48">
        <f t="shared" si="11"/>
        <v>0</v>
      </c>
      <c r="O25" s="45" t="s">
        <v>37</v>
      </c>
      <c r="P25" s="50" t="s">
        <v>38</v>
      </c>
    </row>
    <row r="26" ht="15.0" customHeight="1">
      <c r="A26" s="23"/>
      <c r="B26" s="25" t="s">
        <v>66</v>
      </c>
      <c r="C26" s="23"/>
      <c r="D26" s="23"/>
      <c r="E26" s="23"/>
      <c r="F26" s="23"/>
      <c r="G26" s="23"/>
      <c r="H26" s="23"/>
      <c r="I26" s="23"/>
      <c r="J26" s="2"/>
      <c r="K26" s="2"/>
      <c r="L26" s="2"/>
      <c r="M26" s="23"/>
      <c r="N26" s="23"/>
      <c r="O26" s="106"/>
      <c r="P26" s="106"/>
    </row>
    <row r="27" ht="15.0" customHeight="1">
      <c r="A27" s="107"/>
      <c r="B27" s="94"/>
      <c r="C27" s="30"/>
      <c r="D27" s="30"/>
      <c r="E27" s="30"/>
      <c r="F27" s="30"/>
      <c r="G27" s="30"/>
      <c r="H27" s="30"/>
      <c r="I27" s="30"/>
      <c r="J27" s="40">
        <f t="shared" ref="J27:J30" si="13">SUM(C27:I27)</f>
        <v>0</v>
      </c>
      <c r="K27" s="40"/>
      <c r="L27" s="40">
        <f t="shared" ref="L27:L30" si="14">J27-K27</f>
        <v>0</v>
      </c>
      <c r="M27" s="30">
        <v>0.0</v>
      </c>
      <c r="N27" s="48">
        <f t="shared" ref="N27:N31" si="15">J27-M27</f>
        <v>0</v>
      </c>
      <c r="O27" s="45" t="s">
        <v>37</v>
      </c>
      <c r="P27" s="50" t="s">
        <v>38</v>
      </c>
    </row>
    <row r="28" ht="15.0" customHeight="1">
      <c r="A28" s="107"/>
      <c r="B28" s="94"/>
      <c r="C28" s="30"/>
      <c r="D28" s="30"/>
      <c r="E28" s="30"/>
      <c r="F28" s="30"/>
      <c r="G28" s="30"/>
      <c r="H28" s="30"/>
      <c r="I28" s="30"/>
      <c r="J28" s="40">
        <f t="shared" si="13"/>
        <v>0</v>
      </c>
      <c r="K28" s="40"/>
      <c r="L28" s="40">
        <f t="shared" si="14"/>
        <v>0</v>
      </c>
      <c r="M28" s="30">
        <v>0.0</v>
      </c>
      <c r="N28" s="48">
        <f t="shared" si="15"/>
        <v>0</v>
      </c>
      <c r="O28" s="45" t="s">
        <v>37</v>
      </c>
      <c r="P28" s="50" t="s">
        <v>38</v>
      </c>
    </row>
    <row r="29" ht="15.0" customHeight="1">
      <c r="A29" s="107"/>
      <c r="B29" s="94"/>
      <c r="C29" s="30"/>
      <c r="D29" s="30"/>
      <c r="E29" s="30"/>
      <c r="F29" s="30"/>
      <c r="G29" s="30"/>
      <c r="H29" s="30"/>
      <c r="I29" s="30"/>
      <c r="J29" s="40">
        <f t="shared" si="13"/>
        <v>0</v>
      </c>
      <c r="K29" s="40"/>
      <c r="L29" s="40">
        <f t="shared" si="14"/>
        <v>0</v>
      </c>
      <c r="M29" s="30">
        <v>0.0</v>
      </c>
      <c r="N29" s="48">
        <f t="shared" si="15"/>
        <v>0</v>
      </c>
      <c r="O29" s="45" t="s">
        <v>37</v>
      </c>
      <c r="P29" s="50" t="s">
        <v>38</v>
      </c>
    </row>
    <row r="30" ht="15.0" customHeight="1">
      <c r="A30" s="107"/>
      <c r="B30" s="94"/>
      <c r="C30" s="30"/>
      <c r="D30" s="30"/>
      <c r="E30" s="30"/>
      <c r="F30" s="30"/>
      <c r="G30" s="30"/>
      <c r="H30" s="30"/>
      <c r="I30" s="30"/>
      <c r="J30" s="40">
        <f t="shared" si="13"/>
        <v>0</v>
      </c>
      <c r="K30" s="40"/>
      <c r="L30" s="40">
        <f t="shared" si="14"/>
        <v>0</v>
      </c>
      <c r="M30" s="30">
        <v>0.0</v>
      </c>
      <c r="N30" s="48">
        <f t="shared" si="15"/>
        <v>0</v>
      </c>
      <c r="O30" s="45" t="s">
        <v>37</v>
      </c>
      <c r="P30" s="50" t="s">
        <v>38</v>
      </c>
    </row>
    <row r="31" ht="15.0" customHeight="1">
      <c r="A31" s="111"/>
      <c r="B31" s="2" t="s">
        <v>58</v>
      </c>
      <c r="C31" s="2">
        <f t="shared" ref="C31:M31" si="16">SUM(C11,C19,C25)</f>
        <v>1</v>
      </c>
      <c r="D31" s="2">
        <f t="shared" si="16"/>
        <v>0</v>
      </c>
      <c r="E31" s="2">
        <f t="shared" si="16"/>
        <v>0</v>
      </c>
      <c r="F31" s="2">
        <f t="shared" si="16"/>
        <v>0</v>
      </c>
      <c r="G31" s="2">
        <f t="shared" si="16"/>
        <v>0</v>
      </c>
      <c r="H31" s="2">
        <f t="shared" si="16"/>
        <v>0</v>
      </c>
      <c r="I31" s="2">
        <f t="shared" si="16"/>
        <v>0</v>
      </c>
      <c r="J31" s="2">
        <f t="shared" si="16"/>
        <v>1</v>
      </c>
      <c r="K31" s="2">
        <f t="shared" si="16"/>
        <v>0</v>
      </c>
      <c r="L31" s="2">
        <f t="shared" si="16"/>
        <v>1</v>
      </c>
      <c r="M31" s="2">
        <f t="shared" si="16"/>
        <v>0</v>
      </c>
      <c r="N31" s="48">
        <f t="shared" si="15"/>
        <v>1</v>
      </c>
      <c r="O31" s="45"/>
      <c r="P31" s="50"/>
    </row>
    <row r="32" ht="15.0" customHeight="1">
      <c r="A32" s="45"/>
      <c r="B32" s="44" t="s">
        <v>14</v>
      </c>
      <c r="C32" s="45">
        <v>0.0</v>
      </c>
      <c r="D32" s="45">
        <v>0.0</v>
      </c>
      <c r="E32" s="30">
        <v>0.0</v>
      </c>
      <c r="F32" s="45">
        <v>0.0</v>
      </c>
      <c r="G32" s="45">
        <v>0.0</v>
      </c>
      <c r="H32" s="45">
        <v>0.0</v>
      </c>
      <c r="I32" s="45"/>
      <c r="J32" s="45">
        <v>0.0</v>
      </c>
      <c r="K32" s="114"/>
      <c r="L32" s="114"/>
      <c r="M32" s="114"/>
      <c r="N32" s="115"/>
      <c r="O32" s="115"/>
      <c r="P32" s="8"/>
    </row>
    <row r="33" ht="15.0" customHeight="1">
      <c r="A33" s="114"/>
      <c r="B33" s="44" t="s">
        <v>15</v>
      </c>
      <c r="C33" s="45">
        <f t="shared" ref="C33:H33" si="17">C31-C32</f>
        <v>1</v>
      </c>
      <c r="D33" s="45">
        <f t="shared" si="17"/>
        <v>0</v>
      </c>
      <c r="E33" s="45">
        <f t="shared" si="17"/>
        <v>0</v>
      </c>
      <c r="F33" s="45">
        <f t="shared" si="17"/>
        <v>0</v>
      </c>
      <c r="G33" s="45">
        <f t="shared" si="17"/>
        <v>0</v>
      </c>
      <c r="H33" s="45">
        <f t="shared" si="17"/>
        <v>0</v>
      </c>
      <c r="I33" s="45"/>
      <c r="J33" s="45">
        <f>J31-J32</f>
        <v>1</v>
      </c>
      <c r="K33" s="114"/>
      <c r="L33" s="114"/>
      <c r="M33" s="8"/>
      <c r="N33" s="114"/>
      <c r="O33" s="114"/>
      <c r="P33" s="8"/>
    </row>
    <row r="34" ht="15.0" customHeight="1">
      <c r="F34" s="11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2" t="s">
        <v>0</v>
      </c>
      <c r="B1" s="5" t="s">
        <v>2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0" customHeight="1">
      <c r="A2" s="17" t="s">
        <v>19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21"/>
      <c r="N2" s="23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5.75" customHeight="1">
      <c r="A3" s="26">
        <v>1301.0</v>
      </c>
      <c r="B3" s="51" t="s">
        <v>53</v>
      </c>
      <c r="C3" s="30">
        <f t="array" ref="C3">IFERROR(_xlfn.XLOOKUP($A3,Commercial!$A:$A,Commercial!$F:$F,0,0),0)</f>
        <v>0</v>
      </c>
      <c r="D3" s="30" t="str">
        <f t="array" ref="D3">IFERROR(_xlfn.XLOOKUP($A3,Commercial!$A:$A,Commercial!$L:$L,0,0),0)</f>
        <v/>
      </c>
      <c r="E3" s="30" t="str">
        <f t="array" ref="E3">IFERROR(_xlfn.XLOOKUP($A3,Commercial!$A:$A,Commercial!$R:$R,0,0),0)</f>
        <v/>
      </c>
      <c r="F3" s="30" t="str">
        <f t="array" ref="F3">IFERROR(_xlfn.XLOOKUP($A3,Commercial!$A:$A,Commercial!$X:$X,0,0),0)</f>
        <v/>
      </c>
      <c r="G3" s="30" t="str">
        <f t="array" ref="G3">IFERROR(_xlfn.XLOOKUP($A3,Commercial!$A:$A,Commercial!$AD:$AD,0,0),0)</f>
        <v/>
      </c>
      <c r="H3" s="40">
        <f t="shared" ref="H3:H11" si="1">SUM(C3:G3)</f>
        <v>0</v>
      </c>
      <c r="I3" s="40"/>
      <c r="J3" s="40">
        <f t="shared" ref="J3:J10" si="2">H3-I3</f>
        <v>0</v>
      </c>
      <c r="K3" s="40">
        <v>0.0</v>
      </c>
      <c r="L3" s="48">
        <f t="shared" ref="L3:L11" si="3">H3-K3</f>
        <v>0</v>
      </c>
      <c r="M3" s="45" t="s">
        <v>37</v>
      </c>
      <c r="N3" s="50" t="s">
        <v>38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15.75" customHeight="1">
      <c r="A4" s="26">
        <v>1280.0</v>
      </c>
      <c r="B4" s="58" t="s">
        <v>75</v>
      </c>
      <c r="C4" s="52">
        <f t="array" ref="C4">IFERROR(_xlfn.XLOOKUP($A4,Commercial!$A:$A,Commercial!$F:$F,0,0),0)</f>
        <v>0</v>
      </c>
      <c r="D4" s="52" t="str">
        <f t="array" ref="D4">IFERROR(_xlfn.XLOOKUP($A4,Commercial!$A:$A,Commercial!$L:$L,0,0),0)</f>
        <v/>
      </c>
      <c r="E4" s="52" t="str">
        <f t="array" ref="E4">IFERROR(_xlfn.XLOOKUP($A4,Commercial!$A:$A,Commercial!$R:$R,0,0),0)</f>
        <v/>
      </c>
      <c r="F4" s="52" t="str">
        <f t="array" ref="F4">IFERROR(_xlfn.XLOOKUP($A4,Commercial!$A:$A,Commercial!$X:$X,0,0),0)</f>
        <v/>
      </c>
      <c r="G4" s="52" t="str">
        <f t="array" ref="G4">IFERROR(_xlfn.XLOOKUP($A4,Commercial!$A:$A,Commercial!$AD:$AD,0,0),0)</f>
        <v/>
      </c>
      <c r="H4" s="40">
        <f t="shared" si="1"/>
        <v>0</v>
      </c>
      <c r="I4" s="55"/>
      <c r="J4" s="40">
        <f t="shared" si="2"/>
        <v>0</v>
      </c>
      <c r="K4" s="40">
        <v>0.0</v>
      </c>
      <c r="L4" s="48">
        <f t="shared" si="3"/>
        <v>0</v>
      </c>
      <c r="M4" s="45" t="s">
        <v>37</v>
      </c>
      <c r="N4" s="50" t="s">
        <v>38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>
        <v>1294.0</v>
      </c>
      <c r="B5" s="58" t="s">
        <v>73</v>
      </c>
      <c r="C5" s="52">
        <f t="array" ref="C5">IFERROR(_xlfn.XLOOKUP($A5,Commercial!$A:$A,Commercial!$F:$F,0,0),0)</f>
        <v>0</v>
      </c>
      <c r="D5" s="52" t="str">
        <f t="array" ref="D5">IFERROR(_xlfn.XLOOKUP($A5,Commercial!$A:$A,Commercial!$L:$L,0,0),0)</f>
        <v/>
      </c>
      <c r="E5" s="52" t="str">
        <f t="array" ref="E5">IFERROR(_xlfn.XLOOKUP($A5,Commercial!$A:$A,Commercial!$R:$R,0,0),0)</f>
        <v/>
      </c>
      <c r="F5" s="52" t="str">
        <f t="array" ref="F5">IFERROR(_xlfn.XLOOKUP($A5,Commercial!$A:$A,Commercial!$X:$X,0,0),0)</f>
        <v/>
      </c>
      <c r="G5" s="52" t="str">
        <f t="array" ref="G5">IFERROR(_xlfn.XLOOKUP($A5,Commercial!$A:$A,Commercial!$AD:$AD,0,0),0)</f>
        <v/>
      </c>
      <c r="H5" s="40">
        <f t="shared" si="1"/>
        <v>0</v>
      </c>
      <c r="I5" s="55"/>
      <c r="J5" s="40">
        <f t="shared" si="2"/>
        <v>0</v>
      </c>
      <c r="K5" s="40">
        <v>0.0</v>
      </c>
      <c r="L5" s="48">
        <f t="shared" si="3"/>
        <v>0</v>
      </c>
      <c r="M5" s="45" t="s">
        <v>37</v>
      </c>
      <c r="N5" s="50" t="s">
        <v>38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6">
        <v>1175.0</v>
      </c>
      <c r="B6" s="58" t="s">
        <v>40</v>
      </c>
      <c r="C6" s="52">
        <f t="array" ref="C6">IFERROR(_xlfn.XLOOKUP($A6,Commercial!$A:$A,Commercial!$F:$F,0,0),0)</f>
        <v>0</v>
      </c>
      <c r="D6" s="52" t="str">
        <f t="array" ref="D6">IFERROR(_xlfn.XLOOKUP($A6,Commercial!$A:$A,Commercial!$L:$L,0,0),0)</f>
        <v/>
      </c>
      <c r="E6" s="52" t="str">
        <f t="array" ref="E6">IFERROR(_xlfn.XLOOKUP($A6,Commercial!$A:$A,Commercial!$R:$R,0,0),0)</f>
        <v/>
      </c>
      <c r="F6" s="52" t="str">
        <f t="array" ref="F6">IFERROR(_xlfn.XLOOKUP($A6,Commercial!$A:$A,Commercial!$X:$X,0,0),0)</f>
        <v/>
      </c>
      <c r="G6" s="52" t="str">
        <f t="array" ref="G6">IFERROR(_xlfn.XLOOKUP($A6,Commercial!$A:$A,Commercial!$AD:$AD,0,0),0)</f>
        <v/>
      </c>
      <c r="H6" s="40">
        <f t="shared" si="1"/>
        <v>0</v>
      </c>
      <c r="I6" s="55"/>
      <c r="J6" s="40">
        <f t="shared" si="2"/>
        <v>0</v>
      </c>
      <c r="K6" s="40">
        <v>0.0</v>
      </c>
      <c r="L6" s="48">
        <f t="shared" si="3"/>
        <v>0</v>
      </c>
      <c r="M6" s="45" t="s">
        <v>37</v>
      </c>
      <c r="N6" s="50" t="s">
        <v>38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26">
        <v>1300.0</v>
      </c>
      <c r="B7" s="58" t="s">
        <v>27</v>
      </c>
      <c r="C7" s="52">
        <f t="array" ref="C7">IFERROR(_xlfn.XLOOKUP($A7,Commercial!$A:$A,Commercial!$F:$F,0,0),0)</f>
        <v>0</v>
      </c>
      <c r="D7" s="52" t="str">
        <f t="array" ref="D7">IFERROR(_xlfn.XLOOKUP($A7,Commercial!$A:$A,Commercial!$L:$L,0,0),0)</f>
        <v/>
      </c>
      <c r="E7" s="52" t="str">
        <f t="array" ref="E7">IFERROR(_xlfn.XLOOKUP($A7,Commercial!$A:$A,Commercial!$R:$R,0,0),0)</f>
        <v/>
      </c>
      <c r="F7" s="52" t="str">
        <f t="array" ref="F7">IFERROR(_xlfn.XLOOKUP($A7,Commercial!$A:$A,Commercial!$X:$X,0,0),0)</f>
        <v/>
      </c>
      <c r="G7" s="52" t="str">
        <f t="array" ref="G7">IFERROR(_xlfn.XLOOKUP($A7,Commercial!$A:$A,Commercial!$AD:$AD,0,0),0)</f>
        <v/>
      </c>
      <c r="H7" s="40">
        <f t="shared" si="1"/>
        <v>0</v>
      </c>
      <c r="I7" s="55"/>
      <c r="J7" s="40">
        <f t="shared" si="2"/>
        <v>0</v>
      </c>
      <c r="K7" s="40">
        <v>0.0</v>
      </c>
      <c r="L7" s="48">
        <f t="shared" si="3"/>
        <v>0</v>
      </c>
      <c r="M7" s="45" t="s">
        <v>37</v>
      </c>
      <c r="N7" s="50" t="s">
        <v>38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15.75" customHeight="1">
      <c r="A8" s="26">
        <v>1291.0</v>
      </c>
      <c r="B8" s="58" t="s">
        <v>45</v>
      </c>
      <c r="C8" s="52">
        <f t="array" ref="C8">IFERROR(_xlfn.XLOOKUP($A8,Commercial!$A:$A,Commercial!$F:$F,0,0),0)</f>
        <v>0</v>
      </c>
      <c r="D8" s="52" t="str">
        <f t="array" ref="D8">IFERROR(_xlfn.XLOOKUP($A8,Commercial!$A:$A,Commercial!$L:$L,0,0),0)</f>
        <v/>
      </c>
      <c r="E8" s="52" t="str">
        <f t="array" ref="E8">IFERROR(_xlfn.XLOOKUP($A8,Commercial!$A:$A,Commercial!$R:$R,0,0),0)</f>
        <v/>
      </c>
      <c r="F8" s="52" t="str">
        <f t="array" ref="F8">IFERROR(_xlfn.XLOOKUP($A8,Commercial!$A:$A,Commercial!$X:$X,0,0),0)</f>
        <v/>
      </c>
      <c r="G8" s="52" t="str">
        <f t="array" ref="G8">IFERROR(_xlfn.XLOOKUP($A8,Commercial!$A:$A,Commercial!$AD:$AD,0,0),0)</f>
        <v/>
      </c>
      <c r="H8" s="40">
        <f t="shared" si="1"/>
        <v>0</v>
      </c>
      <c r="I8" s="55"/>
      <c r="J8" s="40">
        <f t="shared" si="2"/>
        <v>0</v>
      </c>
      <c r="K8" s="40">
        <v>0.0</v>
      </c>
      <c r="L8" s="48">
        <f t="shared" si="3"/>
        <v>0</v>
      </c>
      <c r="M8" s="45" t="s">
        <v>37</v>
      </c>
      <c r="N8" s="50" t="s">
        <v>38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15.75" customHeight="1">
      <c r="A9" s="26"/>
      <c r="B9" s="58"/>
      <c r="C9" s="52"/>
      <c r="D9" s="52"/>
      <c r="E9" s="52"/>
      <c r="F9" s="52"/>
      <c r="G9" s="52"/>
      <c r="H9" s="40">
        <f t="shared" si="1"/>
        <v>0</v>
      </c>
      <c r="I9" s="55"/>
      <c r="J9" s="40">
        <f t="shared" si="2"/>
        <v>0</v>
      </c>
      <c r="K9" s="40">
        <v>0.0</v>
      </c>
      <c r="L9" s="48">
        <f t="shared" si="3"/>
        <v>0</v>
      </c>
      <c r="M9" s="45" t="s">
        <v>37</v>
      </c>
      <c r="N9" s="50" t="s">
        <v>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15.75" customHeight="1">
      <c r="A10" s="26"/>
      <c r="B10" s="58"/>
      <c r="C10" s="52"/>
      <c r="D10" s="52"/>
      <c r="E10" s="52"/>
      <c r="F10" s="52"/>
      <c r="G10" s="52"/>
      <c r="H10" s="55">
        <f t="shared" si="1"/>
        <v>0</v>
      </c>
      <c r="I10" s="55"/>
      <c r="J10" s="40">
        <f t="shared" si="2"/>
        <v>0</v>
      </c>
      <c r="K10" s="40">
        <v>0.0</v>
      </c>
      <c r="L10" s="48">
        <f t="shared" si="3"/>
        <v>0</v>
      </c>
      <c r="M10" s="45" t="s">
        <v>37</v>
      </c>
      <c r="N10" s="50" t="s">
        <v>38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15.75" customHeight="1">
      <c r="B11" s="137" t="s">
        <v>58</v>
      </c>
      <c r="C11" s="138">
        <f t="shared" ref="C11:G11" si="4">SUM(C3:C10)</f>
        <v>0</v>
      </c>
      <c r="D11" s="138">
        <f t="shared" si="4"/>
        <v>0</v>
      </c>
      <c r="E11" s="138">
        <f t="shared" si="4"/>
        <v>0</v>
      </c>
      <c r="F11" s="138">
        <f t="shared" si="4"/>
        <v>0</v>
      </c>
      <c r="G11" s="138">
        <f t="shared" si="4"/>
        <v>0</v>
      </c>
      <c r="H11" s="139">
        <f t="shared" si="1"/>
        <v>0</v>
      </c>
      <c r="I11" s="138">
        <f t="shared" ref="I11:K11" si="5">SUM(I3:I10)</f>
        <v>0</v>
      </c>
      <c r="J11" s="138">
        <f t="shared" si="5"/>
        <v>0</v>
      </c>
      <c r="K11" s="140">
        <f t="shared" si="5"/>
        <v>0</v>
      </c>
      <c r="L11" s="141">
        <f t="shared" si="3"/>
        <v>0</v>
      </c>
      <c r="M11" s="142" t="s">
        <v>37</v>
      </c>
      <c r="N11" s="50" t="s">
        <v>38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15.75" customHeight="1">
      <c r="A12" s="23"/>
      <c r="B12" s="82" t="s">
        <v>62</v>
      </c>
      <c r="C12" s="83"/>
      <c r="D12" s="83"/>
      <c r="E12" s="83"/>
      <c r="F12" s="83"/>
      <c r="G12" s="83"/>
      <c r="H12" s="85"/>
      <c r="I12" s="85"/>
      <c r="J12" s="85"/>
      <c r="K12" s="83"/>
      <c r="L12" s="83"/>
      <c r="M12" s="83"/>
      <c r="N12" s="83"/>
      <c r="O12" s="8"/>
      <c r="P12" s="8"/>
      <c r="U12" s="8"/>
      <c r="V12" s="8"/>
      <c r="W12" s="8"/>
      <c r="X12" s="8"/>
      <c r="Y12" s="8"/>
    </row>
    <row r="13" ht="15.75" customHeight="1">
      <c r="A13" s="2" t="s">
        <v>0</v>
      </c>
      <c r="B13" s="5" t="s">
        <v>2</v>
      </c>
      <c r="C13" s="2" t="s">
        <v>4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11</v>
      </c>
      <c r="I13" s="2" t="s">
        <v>12</v>
      </c>
      <c r="J13" s="2" t="s">
        <v>13</v>
      </c>
      <c r="K13" s="2" t="s">
        <v>14</v>
      </c>
      <c r="L13" s="2" t="s">
        <v>15</v>
      </c>
      <c r="M13" s="2" t="s">
        <v>16</v>
      </c>
      <c r="N13" s="2" t="s">
        <v>17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15.75" customHeight="1">
      <c r="A14" s="26"/>
      <c r="B14" s="58"/>
      <c r="C14" s="30"/>
      <c r="D14" s="30"/>
      <c r="E14" s="30"/>
      <c r="F14" s="30"/>
      <c r="G14" s="30"/>
      <c r="H14" s="40">
        <f t="shared" ref="H14:H23" si="6">SUM(C14:G14)</f>
        <v>0</v>
      </c>
      <c r="I14" s="40"/>
      <c r="J14" s="40">
        <f t="shared" ref="J14:J23" si="7">H14-I14</f>
        <v>0</v>
      </c>
      <c r="K14" s="40">
        <v>0.0</v>
      </c>
      <c r="L14" s="48">
        <f t="shared" ref="L14:L24" si="8">H14-K14</f>
        <v>0</v>
      </c>
      <c r="M14" s="45" t="s">
        <v>37</v>
      </c>
      <c r="N14" s="50" t="s">
        <v>38</v>
      </c>
      <c r="O14" s="8"/>
      <c r="P14" s="8"/>
      <c r="U14" s="8"/>
      <c r="V14" s="8"/>
      <c r="W14" s="8"/>
      <c r="X14" s="8"/>
      <c r="Y14" s="8"/>
    </row>
    <row r="15" ht="15.75" customHeight="1">
      <c r="A15" s="87"/>
      <c r="B15" s="94"/>
      <c r="C15" s="52"/>
      <c r="D15" s="52"/>
      <c r="E15" s="52"/>
      <c r="F15" s="30"/>
      <c r="G15" s="30"/>
      <c r="H15" s="40">
        <f t="shared" si="6"/>
        <v>0</v>
      </c>
      <c r="I15" s="40"/>
      <c r="J15" s="55">
        <f t="shared" si="7"/>
        <v>0</v>
      </c>
      <c r="K15" s="55">
        <v>0.0</v>
      </c>
      <c r="L15" s="144">
        <f t="shared" si="8"/>
        <v>0</v>
      </c>
      <c r="M15" s="146" t="s">
        <v>37</v>
      </c>
      <c r="N15" s="50" t="s">
        <v>38</v>
      </c>
      <c r="O15" s="8"/>
      <c r="P15" s="8"/>
      <c r="U15" s="8"/>
      <c r="V15" s="8"/>
      <c r="W15" s="8"/>
      <c r="X15" s="8"/>
      <c r="Y15" s="8"/>
    </row>
    <row r="16" ht="15.75" customHeight="1">
      <c r="A16" s="26"/>
      <c r="B16" s="50"/>
      <c r="C16" s="52"/>
      <c r="D16" s="52"/>
      <c r="E16" s="52"/>
      <c r="F16" s="30"/>
      <c r="G16" s="30"/>
      <c r="H16" s="40">
        <f t="shared" si="6"/>
        <v>0</v>
      </c>
      <c r="I16" s="40"/>
      <c r="J16" s="55">
        <f t="shared" si="7"/>
        <v>0</v>
      </c>
      <c r="K16" s="55">
        <v>0.0</v>
      </c>
      <c r="L16" s="144">
        <f t="shared" si="8"/>
        <v>0</v>
      </c>
      <c r="M16" s="146" t="s">
        <v>37</v>
      </c>
      <c r="N16" s="50" t="s">
        <v>38</v>
      </c>
      <c r="O16" s="8"/>
      <c r="P16" s="8"/>
      <c r="U16" s="8"/>
      <c r="V16" s="8"/>
      <c r="W16" s="8"/>
      <c r="X16" s="8"/>
      <c r="Y16" s="8"/>
    </row>
    <row r="17" ht="15.75" customHeight="1">
      <c r="A17" s="26"/>
      <c r="B17" s="50"/>
      <c r="C17" s="52"/>
      <c r="D17" s="52"/>
      <c r="E17" s="52"/>
      <c r="F17" s="30"/>
      <c r="G17" s="30"/>
      <c r="H17" s="40">
        <f t="shared" si="6"/>
        <v>0</v>
      </c>
      <c r="I17" s="40"/>
      <c r="J17" s="55">
        <f t="shared" si="7"/>
        <v>0</v>
      </c>
      <c r="K17" s="55">
        <v>0.0</v>
      </c>
      <c r="L17" s="144">
        <f t="shared" si="8"/>
        <v>0</v>
      </c>
      <c r="M17" s="146" t="s">
        <v>37</v>
      </c>
      <c r="N17" s="50" t="s">
        <v>38</v>
      </c>
      <c r="O17" s="8"/>
      <c r="P17" s="8"/>
      <c r="U17" s="8"/>
      <c r="V17" s="8"/>
      <c r="W17" s="8"/>
      <c r="X17" s="8"/>
      <c r="Y17" s="8"/>
    </row>
    <row r="18" ht="15.75" customHeight="1">
      <c r="A18" s="87"/>
      <c r="B18" s="88"/>
      <c r="C18" s="52"/>
      <c r="D18" s="52"/>
      <c r="E18" s="52"/>
      <c r="F18" s="30"/>
      <c r="G18" s="30"/>
      <c r="H18" s="40">
        <f t="shared" si="6"/>
        <v>0</v>
      </c>
      <c r="I18" s="40"/>
      <c r="J18" s="55">
        <f t="shared" si="7"/>
        <v>0</v>
      </c>
      <c r="K18" s="55">
        <v>0.0</v>
      </c>
      <c r="L18" s="144">
        <f t="shared" si="8"/>
        <v>0</v>
      </c>
      <c r="M18" s="146" t="s">
        <v>37</v>
      </c>
      <c r="N18" s="50" t="s">
        <v>38</v>
      </c>
      <c r="O18" s="8"/>
      <c r="P18" s="8"/>
      <c r="U18" s="8"/>
      <c r="V18" s="8"/>
      <c r="W18" s="8"/>
      <c r="X18" s="8"/>
      <c r="Y18" s="8"/>
    </row>
    <row r="19" ht="15.75" customHeight="1">
      <c r="A19" s="87"/>
      <c r="B19" s="88"/>
      <c r="C19" s="30"/>
      <c r="D19" s="30"/>
      <c r="E19" s="30"/>
      <c r="F19" s="30"/>
      <c r="G19" s="30"/>
      <c r="H19" s="40">
        <f t="shared" si="6"/>
        <v>0</v>
      </c>
      <c r="I19" s="40"/>
      <c r="J19" s="55">
        <f t="shared" si="7"/>
        <v>0</v>
      </c>
      <c r="K19" s="40">
        <v>0.0</v>
      </c>
      <c r="L19" s="48">
        <f t="shared" si="8"/>
        <v>0</v>
      </c>
      <c r="M19" s="45" t="s">
        <v>37</v>
      </c>
      <c r="N19" s="50" t="s">
        <v>38</v>
      </c>
      <c r="O19" s="8"/>
      <c r="P19" s="8"/>
      <c r="U19" s="8"/>
      <c r="V19" s="8"/>
      <c r="W19" s="8"/>
      <c r="X19" s="8"/>
      <c r="Y19" s="8"/>
    </row>
    <row r="20" ht="15.75" customHeight="1">
      <c r="A20" s="26"/>
      <c r="B20" s="51"/>
      <c r="C20" s="30"/>
      <c r="D20" s="30"/>
      <c r="E20" s="30"/>
      <c r="F20" s="30"/>
      <c r="G20" s="30"/>
      <c r="H20" s="40">
        <f t="shared" si="6"/>
        <v>0</v>
      </c>
      <c r="I20" s="40"/>
      <c r="J20" s="55">
        <f t="shared" si="7"/>
        <v>0</v>
      </c>
      <c r="K20" s="40">
        <v>0.0</v>
      </c>
      <c r="L20" s="48">
        <f t="shared" si="8"/>
        <v>0</v>
      </c>
      <c r="M20" s="45" t="s">
        <v>37</v>
      </c>
      <c r="N20" s="50" t="s">
        <v>38</v>
      </c>
      <c r="O20" s="8"/>
      <c r="P20" s="8"/>
      <c r="U20" s="8"/>
      <c r="V20" s="8"/>
      <c r="W20" s="8"/>
      <c r="X20" s="8"/>
      <c r="Y20" s="8"/>
    </row>
    <row r="21" ht="15.75" customHeight="1">
      <c r="A21" s="87"/>
      <c r="B21" s="88"/>
      <c r="C21" s="30"/>
      <c r="D21" s="30"/>
      <c r="E21" s="30"/>
      <c r="F21" s="30"/>
      <c r="G21" s="30"/>
      <c r="H21" s="40">
        <f t="shared" si="6"/>
        <v>0</v>
      </c>
      <c r="I21" s="40"/>
      <c r="J21" s="55">
        <f t="shared" si="7"/>
        <v>0</v>
      </c>
      <c r="K21" s="40">
        <v>0.0</v>
      </c>
      <c r="L21" s="48">
        <f t="shared" si="8"/>
        <v>0</v>
      </c>
      <c r="M21" s="45" t="s">
        <v>37</v>
      </c>
      <c r="N21" s="50" t="s">
        <v>38</v>
      </c>
      <c r="O21" s="8"/>
      <c r="P21" s="8"/>
      <c r="U21" s="8"/>
      <c r="V21" s="8"/>
      <c r="W21" s="8"/>
      <c r="X21" s="8"/>
      <c r="Y21" s="8"/>
    </row>
    <row r="22" ht="15.75" customHeight="1">
      <c r="A22" s="87"/>
      <c r="B22" s="88"/>
      <c r="C22" s="30"/>
      <c r="D22" s="30"/>
      <c r="E22" s="30"/>
      <c r="F22" s="30"/>
      <c r="G22" s="30"/>
      <c r="H22" s="40">
        <f t="shared" si="6"/>
        <v>0</v>
      </c>
      <c r="I22" s="40"/>
      <c r="J22" s="55">
        <f t="shared" si="7"/>
        <v>0</v>
      </c>
      <c r="K22" s="40">
        <v>0.0</v>
      </c>
      <c r="L22" s="48">
        <f t="shared" si="8"/>
        <v>0</v>
      </c>
      <c r="M22" s="45" t="s">
        <v>37</v>
      </c>
      <c r="N22" s="50" t="s">
        <v>38</v>
      </c>
      <c r="O22" s="8"/>
      <c r="P22" s="8"/>
      <c r="U22" s="8"/>
      <c r="V22" s="8"/>
      <c r="W22" s="8"/>
      <c r="X22" s="8"/>
      <c r="Y22" s="8"/>
    </row>
    <row r="23" ht="15.75" customHeight="1">
      <c r="A23" s="87"/>
      <c r="B23" s="88"/>
      <c r="C23" s="30"/>
      <c r="D23" s="30"/>
      <c r="E23" s="30"/>
      <c r="F23" s="30"/>
      <c r="G23" s="30"/>
      <c r="H23" s="40">
        <f t="shared" si="6"/>
        <v>0</v>
      </c>
      <c r="I23" s="40"/>
      <c r="J23" s="55">
        <f t="shared" si="7"/>
        <v>0</v>
      </c>
      <c r="K23" s="40">
        <v>0.0</v>
      </c>
      <c r="L23" s="48">
        <f t="shared" si="8"/>
        <v>0</v>
      </c>
      <c r="M23" s="45" t="s">
        <v>37</v>
      </c>
      <c r="N23" s="50" t="s">
        <v>38</v>
      </c>
      <c r="O23" s="8"/>
      <c r="P23" s="8"/>
      <c r="U23" s="8"/>
      <c r="V23" s="8"/>
      <c r="W23" s="8"/>
      <c r="X23" s="8"/>
      <c r="Y23" s="8"/>
    </row>
    <row r="24" ht="15.75" customHeight="1">
      <c r="A24" s="87"/>
      <c r="B24" s="153" t="s">
        <v>58</v>
      </c>
      <c r="C24" s="154">
        <f t="shared" ref="C24:K24" si="9">SUM(C14:C23)</f>
        <v>0</v>
      </c>
      <c r="D24" s="154">
        <f t="shared" si="9"/>
        <v>0</v>
      </c>
      <c r="E24" s="154">
        <f t="shared" si="9"/>
        <v>0</v>
      </c>
      <c r="F24" s="154">
        <f t="shared" si="9"/>
        <v>0</v>
      </c>
      <c r="G24" s="154">
        <f t="shared" si="9"/>
        <v>0</v>
      </c>
      <c r="H24" s="154">
        <f t="shared" si="9"/>
        <v>0</v>
      </c>
      <c r="I24" s="154">
        <f t="shared" si="9"/>
        <v>0</v>
      </c>
      <c r="J24" s="154">
        <f t="shared" si="9"/>
        <v>0</v>
      </c>
      <c r="K24" s="155">
        <f t="shared" si="9"/>
        <v>0</v>
      </c>
      <c r="L24" s="156">
        <f t="shared" si="8"/>
        <v>0</v>
      </c>
      <c r="M24" s="157" t="s">
        <v>37</v>
      </c>
      <c r="N24" s="50" t="s">
        <v>38</v>
      </c>
      <c r="O24" s="8"/>
      <c r="P24" s="8"/>
      <c r="U24" s="8"/>
      <c r="V24" s="8"/>
      <c r="W24" s="8"/>
      <c r="X24" s="8"/>
      <c r="Y24" s="8"/>
    </row>
    <row r="25" ht="15.75" customHeight="1">
      <c r="A25" s="23"/>
      <c r="B25" s="82" t="s">
        <v>64</v>
      </c>
      <c r="C25" s="83"/>
      <c r="D25" s="83"/>
      <c r="E25" s="83"/>
      <c r="F25" s="83"/>
      <c r="G25" s="83"/>
      <c r="H25" s="85"/>
      <c r="I25" s="85"/>
      <c r="J25" s="85"/>
      <c r="K25" s="83"/>
      <c r="L25" s="158"/>
      <c r="M25" s="83"/>
      <c r="N25" s="83"/>
      <c r="O25" s="8"/>
      <c r="P25" s="8"/>
      <c r="U25" s="8"/>
      <c r="V25" s="8"/>
      <c r="W25" s="8"/>
      <c r="X25" s="8"/>
      <c r="Y25" s="8"/>
    </row>
    <row r="26" ht="15.75" customHeight="1">
      <c r="A26" s="2" t="s">
        <v>0</v>
      </c>
      <c r="B26" s="5" t="s">
        <v>2</v>
      </c>
      <c r="C26" s="2" t="s">
        <v>4</v>
      </c>
      <c r="D26" s="2" t="s">
        <v>5</v>
      </c>
      <c r="E26" s="2" t="s">
        <v>6</v>
      </c>
      <c r="F26" s="2" t="s">
        <v>7</v>
      </c>
      <c r="G26" s="2" t="s">
        <v>8</v>
      </c>
      <c r="H26" s="2" t="s">
        <v>11</v>
      </c>
      <c r="I26" s="2" t="s">
        <v>12</v>
      </c>
      <c r="J26" s="2" t="s">
        <v>13</v>
      </c>
      <c r="K26" s="2" t="s">
        <v>14</v>
      </c>
      <c r="L26" s="2" t="s">
        <v>15</v>
      </c>
      <c r="M26" s="2" t="s">
        <v>16</v>
      </c>
      <c r="N26" s="2" t="s">
        <v>17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ht="15.75" customHeight="1">
      <c r="A27" s="87"/>
      <c r="B27" s="96"/>
      <c r="C27" s="30"/>
      <c r="D27" s="30"/>
      <c r="E27" s="30"/>
      <c r="F27" s="30"/>
      <c r="G27" s="30"/>
      <c r="H27" s="40">
        <f t="shared" ref="H27:H30" si="10">SUM(C27:G27)</f>
        <v>0</v>
      </c>
      <c r="I27" s="40"/>
      <c r="J27" s="40">
        <f t="shared" ref="J27:J30" si="11">H27-I27</f>
        <v>0</v>
      </c>
      <c r="K27" s="40">
        <v>0.0</v>
      </c>
      <c r="L27" s="48">
        <f t="shared" ref="L27:L30" si="12">H27-K27</f>
        <v>0</v>
      </c>
      <c r="M27" s="45" t="s">
        <v>37</v>
      </c>
      <c r="N27" s="50" t="s">
        <v>38</v>
      </c>
      <c r="O27" s="8"/>
      <c r="P27" s="8"/>
      <c r="U27" s="8"/>
      <c r="V27" s="8"/>
      <c r="W27" s="8"/>
      <c r="X27" s="8"/>
      <c r="Y27" s="8"/>
    </row>
    <row r="28" ht="15.75" customHeight="1">
      <c r="A28" s="87"/>
      <c r="B28" s="88"/>
      <c r="C28" s="30"/>
      <c r="D28" s="30"/>
      <c r="E28" s="30"/>
      <c r="F28" s="30"/>
      <c r="G28" s="30"/>
      <c r="H28" s="40">
        <f t="shared" si="10"/>
        <v>0</v>
      </c>
      <c r="I28" s="40"/>
      <c r="J28" s="40">
        <f t="shared" si="11"/>
        <v>0</v>
      </c>
      <c r="K28" s="40">
        <v>0.0</v>
      </c>
      <c r="L28" s="48">
        <f t="shared" si="12"/>
        <v>0</v>
      </c>
      <c r="M28" s="45" t="s">
        <v>37</v>
      </c>
      <c r="N28" s="50" t="s">
        <v>38</v>
      </c>
      <c r="O28" s="8"/>
      <c r="P28" s="8"/>
      <c r="U28" s="8"/>
      <c r="V28" s="8"/>
      <c r="W28" s="8"/>
      <c r="X28" s="8"/>
      <c r="Y28" s="8"/>
    </row>
    <row r="29" ht="15.75" customHeight="1">
      <c r="A29" s="87"/>
      <c r="B29" s="88"/>
      <c r="C29" s="30"/>
      <c r="D29" s="30"/>
      <c r="E29" s="30"/>
      <c r="F29" s="30"/>
      <c r="G29" s="30"/>
      <c r="H29" s="40">
        <f t="shared" si="10"/>
        <v>0</v>
      </c>
      <c r="I29" s="40"/>
      <c r="J29" s="40">
        <f t="shared" si="11"/>
        <v>0</v>
      </c>
      <c r="K29" s="40">
        <v>0.0</v>
      </c>
      <c r="L29" s="48">
        <f t="shared" si="12"/>
        <v>0</v>
      </c>
      <c r="M29" s="45" t="s">
        <v>37</v>
      </c>
      <c r="N29" s="50" t="s">
        <v>38</v>
      </c>
      <c r="O29" s="8"/>
      <c r="P29" s="8"/>
      <c r="U29" s="8"/>
      <c r="V29" s="8"/>
      <c r="W29" s="8"/>
      <c r="X29" s="8"/>
      <c r="Y29" s="8"/>
    </row>
    <row r="30" ht="15.75" customHeight="1">
      <c r="A30" s="87"/>
      <c r="B30" s="94"/>
      <c r="C30" s="30"/>
      <c r="D30" s="30"/>
      <c r="E30" s="30"/>
      <c r="F30" s="30"/>
      <c r="G30" s="30"/>
      <c r="H30" s="40">
        <f t="shared" si="10"/>
        <v>0</v>
      </c>
      <c r="I30" s="40"/>
      <c r="J30" s="40">
        <f t="shared" si="11"/>
        <v>0</v>
      </c>
      <c r="K30" s="40">
        <v>0.0</v>
      </c>
      <c r="L30" s="48">
        <f t="shared" si="12"/>
        <v>0</v>
      </c>
      <c r="M30" s="45" t="s">
        <v>37</v>
      </c>
      <c r="N30" s="50" t="s">
        <v>38</v>
      </c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ht="15.75" customHeight="1">
      <c r="A31" s="23"/>
      <c r="B31" s="25" t="s">
        <v>66</v>
      </c>
      <c r="C31" s="23"/>
      <c r="D31" s="23"/>
      <c r="E31" s="23"/>
      <c r="F31" s="23"/>
      <c r="G31" s="23"/>
      <c r="H31" s="2"/>
      <c r="I31" s="2"/>
      <c r="J31" s="2"/>
      <c r="K31" s="23"/>
      <c r="L31" s="164"/>
      <c r="M31" s="106"/>
      <c r="N31" s="106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ht="17.25" customHeight="1">
      <c r="A32" s="107"/>
      <c r="B32" s="94"/>
      <c r="C32" s="30"/>
      <c r="D32" s="30"/>
      <c r="E32" s="30"/>
      <c r="F32" s="30"/>
      <c r="G32" s="30"/>
      <c r="H32" s="40">
        <f t="shared" ref="H32:H35" si="13">SUM(C32:G32)</f>
        <v>0</v>
      </c>
      <c r="I32" s="40"/>
      <c r="J32" s="40">
        <f t="shared" ref="J32:J35" si="14">H32-I32</f>
        <v>0</v>
      </c>
      <c r="K32" s="30">
        <v>0.0</v>
      </c>
      <c r="L32" s="48">
        <f t="shared" ref="L32:L36" si="15">H32-K32</f>
        <v>0</v>
      </c>
      <c r="M32" s="45" t="s">
        <v>37</v>
      </c>
      <c r="N32" s="50" t="s">
        <v>38</v>
      </c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ht="17.25" customHeight="1">
      <c r="A33" s="107"/>
      <c r="B33" s="94"/>
      <c r="C33" s="30"/>
      <c r="D33" s="30"/>
      <c r="E33" s="30"/>
      <c r="F33" s="30"/>
      <c r="G33" s="30"/>
      <c r="H33" s="40">
        <f t="shared" si="13"/>
        <v>0</v>
      </c>
      <c r="I33" s="40"/>
      <c r="J33" s="40">
        <f t="shared" si="14"/>
        <v>0</v>
      </c>
      <c r="K33" s="30">
        <v>0.0</v>
      </c>
      <c r="L33" s="48">
        <f t="shared" si="15"/>
        <v>0</v>
      </c>
      <c r="M33" s="45" t="s">
        <v>37</v>
      </c>
      <c r="N33" s="50" t="s">
        <v>38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7.25" customHeight="1">
      <c r="A34" s="107"/>
      <c r="B34" s="94"/>
      <c r="C34" s="30"/>
      <c r="D34" s="30"/>
      <c r="E34" s="30"/>
      <c r="F34" s="30"/>
      <c r="G34" s="30"/>
      <c r="H34" s="40">
        <f t="shared" si="13"/>
        <v>0</v>
      </c>
      <c r="I34" s="40"/>
      <c r="J34" s="40">
        <f t="shared" si="14"/>
        <v>0</v>
      </c>
      <c r="K34" s="30">
        <v>0.0</v>
      </c>
      <c r="L34" s="48">
        <f t="shared" si="15"/>
        <v>0</v>
      </c>
      <c r="M34" s="45" t="s">
        <v>37</v>
      </c>
      <c r="N34" s="50" t="s">
        <v>38</v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7.25" customHeight="1">
      <c r="A35" s="107"/>
      <c r="B35" s="172"/>
      <c r="C35" s="52"/>
      <c r="D35" s="52"/>
      <c r="E35" s="52"/>
      <c r="F35" s="52"/>
      <c r="G35" s="52"/>
      <c r="H35" s="40">
        <f t="shared" si="13"/>
        <v>0</v>
      </c>
      <c r="I35" s="55"/>
      <c r="J35" s="55">
        <f t="shared" si="14"/>
        <v>0</v>
      </c>
      <c r="K35" s="52">
        <v>0.0</v>
      </c>
      <c r="L35" s="144">
        <f t="shared" si="15"/>
        <v>0</v>
      </c>
      <c r="M35" s="146" t="s">
        <v>37</v>
      </c>
      <c r="N35" s="50" t="s">
        <v>38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5.75" customHeight="1">
      <c r="A36" s="173"/>
      <c r="B36" s="137" t="s">
        <v>58</v>
      </c>
      <c r="C36" s="138">
        <f t="shared" ref="C36:K36" si="16">+SUM(C11,C24)</f>
        <v>0</v>
      </c>
      <c r="D36" s="138">
        <f t="shared" si="16"/>
        <v>0</v>
      </c>
      <c r="E36" s="138">
        <f t="shared" si="16"/>
        <v>0</v>
      </c>
      <c r="F36" s="138">
        <f t="shared" si="16"/>
        <v>0</v>
      </c>
      <c r="G36" s="138">
        <f t="shared" si="16"/>
        <v>0</v>
      </c>
      <c r="H36" s="138">
        <f t="shared" si="16"/>
        <v>0</v>
      </c>
      <c r="I36" s="138">
        <f t="shared" si="16"/>
        <v>0</v>
      </c>
      <c r="J36" s="138">
        <f t="shared" si="16"/>
        <v>0</v>
      </c>
      <c r="K36" s="140">
        <f t="shared" si="16"/>
        <v>0</v>
      </c>
      <c r="L36" s="176">
        <f t="shared" si="15"/>
        <v>0</v>
      </c>
      <c r="M36" s="177"/>
      <c r="N36" s="179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5.75" customHeight="1">
      <c r="A37" s="45"/>
      <c r="B37" s="181" t="s">
        <v>14</v>
      </c>
      <c r="C37" s="183">
        <v>0.0</v>
      </c>
      <c r="D37" s="183">
        <v>0.0</v>
      </c>
      <c r="E37" s="185">
        <v>0.0</v>
      </c>
      <c r="F37" s="183">
        <v>0.0</v>
      </c>
      <c r="G37" s="183">
        <v>0.0</v>
      </c>
      <c r="H37" s="183">
        <v>0.0</v>
      </c>
      <c r="I37" s="114"/>
      <c r="J37" s="114"/>
      <c r="K37" s="114"/>
      <c r="L37" s="115"/>
      <c r="M37" s="115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5.75" customHeight="1">
      <c r="A38" s="114"/>
      <c r="B38" s="44" t="s">
        <v>15</v>
      </c>
      <c r="C38" s="45">
        <f t="shared" ref="C38:H38" si="17">C36-C37</f>
        <v>0</v>
      </c>
      <c r="D38" s="45">
        <f t="shared" si="17"/>
        <v>0</v>
      </c>
      <c r="E38" s="45">
        <f t="shared" si="17"/>
        <v>0</v>
      </c>
      <c r="F38" s="45">
        <f t="shared" si="17"/>
        <v>0</v>
      </c>
      <c r="G38" s="45">
        <f t="shared" si="17"/>
        <v>0</v>
      </c>
      <c r="H38" s="45">
        <f t="shared" si="17"/>
        <v>0</v>
      </c>
      <c r="I38" s="114"/>
      <c r="J38" s="114"/>
      <c r="K38" s="8"/>
      <c r="L38" s="114"/>
      <c r="M38" s="114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F39" s="114"/>
    </row>
    <row r="40" ht="15.75" customHeight="1">
      <c r="F40" s="114"/>
      <c r="W40" s="8" t="s">
        <v>80</v>
      </c>
    </row>
    <row r="41" ht="15.75" customHeight="1">
      <c r="F41" s="114"/>
    </row>
    <row r="42" ht="15.75" customHeight="1">
      <c r="F42" s="114"/>
    </row>
    <row r="43" ht="15.75" customHeight="1">
      <c r="F43" s="114"/>
    </row>
    <row r="44" ht="15.75" customHeight="1">
      <c r="F44" s="114"/>
    </row>
    <row r="45" ht="15.75" customHeight="1">
      <c r="F45" s="114"/>
    </row>
    <row r="46" ht="15.75" customHeight="1">
      <c r="F46" s="114"/>
    </row>
    <row r="47" ht="15.75" customHeight="1">
      <c r="F47" s="114"/>
    </row>
    <row r="48" ht="15.75" customHeight="1">
      <c r="F48" s="114"/>
    </row>
    <row r="49" ht="15.75" customHeight="1">
      <c r="F49" s="114"/>
    </row>
    <row r="50" ht="15.75" customHeight="1">
      <c r="F50" s="114"/>
    </row>
    <row r="51" ht="15.75" customHeight="1">
      <c r="F51" s="114"/>
    </row>
    <row r="52" ht="15.75" customHeight="1">
      <c r="F52" s="114"/>
    </row>
    <row r="53" ht="15.75" customHeight="1">
      <c r="F53" s="114"/>
    </row>
    <row r="54" ht="15.75" customHeight="1">
      <c r="F54" s="114"/>
    </row>
    <row r="55" ht="15.75" customHeight="1">
      <c r="F55" s="114"/>
    </row>
    <row r="56" ht="15.75" customHeight="1">
      <c r="F56" s="114"/>
    </row>
    <row r="57" ht="15.75" customHeight="1">
      <c r="F57" s="114"/>
    </row>
    <row r="58" ht="15.75" customHeight="1">
      <c r="F58" s="114"/>
    </row>
    <row r="59" ht="15.75" customHeight="1">
      <c r="F59" s="114"/>
    </row>
    <row r="60" ht="15.75" customHeight="1">
      <c r="F60" s="114"/>
    </row>
    <row r="61" ht="15.75" customHeight="1">
      <c r="F61" s="114"/>
    </row>
    <row r="62" ht="15.75" customHeight="1">
      <c r="F62" s="114"/>
    </row>
    <row r="63" ht="15.75" customHeight="1">
      <c r="F63" s="114"/>
    </row>
    <row r="64" ht="15.75" customHeight="1">
      <c r="F64" s="114"/>
    </row>
    <row r="65" ht="15.75" customHeight="1">
      <c r="F65" s="114"/>
    </row>
    <row r="66" ht="15.75" customHeight="1">
      <c r="F66" s="114"/>
    </row>
    <row r="67" ht="15.75" customHeight="1">
      <c r="F67" s="114"/>
    </row>
    <row r="68" ht="15.75" customHeight="1">
      <c r="F68" s="114"/>
    </row>
    <row r="69" ht="15.75" customHeight="1">
      <c r="F69" s="114"/>
    </row>
    <row r="70" ht="15.75" customHeight="1">
      <c r="F70" s="114"/>
    </row>
    <row r="71" ht="15.75" customHeight="1">
      <c r="F71" s="114"/>
    </row>
    <row r="72" ht="15.75" customHeight="1">
      <c r="F72" s="114"/>
    </row>
    <row r="73" ht="15.75" customHeight="1">
      <c r="F73" s="114"/>
    </row>
    <row r="74" ht="15.75" customHeight="1">
      <c r="F74" s="114"/>
    </row>
    <row r="75" ht="15.75" customHeight="1">
      <c r="F75" s="114"/>
    </row>
    <row r="76" ht="15.75" customHeight="1">
      <c r="F76" s="114"/>
    </row>
    <row r="77" ht="15.75" customHeight="1">
      <c r="F77" s="114"/>
    </row>
    <row r="78" ht="15.75" customHeight="1">
      <c r="F78" s="114"/>
    </row>
    <row r="79" ht="15.75" customHeight="1">
      <c r="F79" s="114"/>
    </row>
    <row r="80" ht="15.75" customHeight="1">
      <c r="F80" s="114"/>
    </row>
    <row r="81" ht="15.75" customHeight="1">
      <c r="F81" s="114"/>
    </row>
    <row r="82" ht="15.75" customHeight="1">
      <c r="F82" s="114"/>
    </row>
    <row r="83" ht="15.75" customHeight="1">
      <c r="F83" s="114"/>
    </row>
    <row r="84" ht="15.75" customHeight="1">
      <c r="F84" s="114"/>
    </row>
    <row r="85" ht="15.75" customHeight="1">
      <c r="F85" s="114"/>
    </row>
    <row r="86" ht="15.75" customHeight="1">
      <c r="F86" s="114"/>
    </row>
    <row r="87" ht="15.75" customHeight="1">
      <c r="F87" s="114"/>
    </row>
    <row r="88" ht="15.75" customHeight="1">
      <c r="F88" s="114"/>
    </row>
    <row r="89" ht="15.75" customHeight="1">
      <c r="F89" s="114"/>
    </row>
    <row r="90" ht="15.75" customHeight="1">
      <c r="F90" s="114"/>
    </row>
    <row r="91" ht="15.75" customHeight="1">
      <c r="F91" s="114"/>
    </row>
    <row r="92" ht="15.75" customHeight="1">
      <c r="F92" s="114"/>
    </row>
    <row r="93" ht="15.75" customHeight="1">
      <c r="F93" s="114"/>
    </row>
    <row r="94" ht="15.75" customHeight="1">
      <c r="F94" s="114"/>
    </row>
    <row r="95" ht="15.75" customHeight="1">
      <c r="F95" s="114"/>
    </row>
    <row r="96" ht="15.75" customHeight="1">
      <c r="F96" s="114"/>
    </row>
    <row r="97" ht="15.75" customHeight="1">
      <c r="F97" s="114"/>
    </row>
    <row r="98" ht="15.75" customHeight="1">
      <c r="F98" s="114"/>
    </row>
    <row r="99" ht="15.75" customHeight="1">
      <c r="F99" s="114"/>
    </row>
    <row r="100" ht="15.75" customHeight="1">
      <c r="F100" s="114"/>
    </row>
    <row r="101" ht="15.75" customHeight="1">
      <c r="F101" s="114"/>
    </row>
    <row r="102" ht="15.75" customHeight="1">
      <c r="F102" s="114"/>
    </row>
    <row r="103" ht="15.75" customHeight="1">
      <c r="F103" s="114"/>
    </row>
    <row r="104" ht="15.75" customHeight="1">
      <c r="F104" s="114"/>
    </row>
    <row r="105" ht="15.75" customHeight="1">
      <c r="F105" s="114"/>
    </row>
    <row r="106" ht="15.75" customHeight="1">
      <c r="F106" s="114"/>
    </row>
    <row r="107" ht="15.75" customHeight="1">
      <c r="F107" s="114"/>
    </row>
    <row r="108" ht="15.75" customHeight="1">
      <c r="F108" s="114"/>
    </row>
    <row r="109" ht="15.75" customHeight="1">
      <c r="F109" s="114"/>
    </row>
    <row r="110" ht="15.75" customHeight="1">
      <c r="F110" s="114"/>
    </row>
    <row r="111" ht="15.75" customHeight="1">
      <c r="F111" s="114"/>
    </row>
    <row r="112" ht="15.75" customHeight="1">
      <c r="F112" s="114"/>
    </row>
    <row r="113" ht="15.75" customHeight="1">
      <c r="F113" s="114"/>
    </row>
    <row r="114" ht="15.75" customHeight="1">
      <c r="F114" s="114"/>
    </row>
    <row r="115" ht="15.75" customHeight="1">
      <c r="F115" s="114"/>
    </row>
    <row r="116" ht="15.75" customHeight="1">
      <c r="F116" s="114"/>
    </row>
    <row r="117" ht="15.75" customHeight="1">
      <c r="F117" s="114"/>
    </row>
    <row r="118" ht="15.75" customHeight="1">
      <c r="F118" s="114"/>
    </row>
    <row r="119" ht="15.75" customHeight="1">
      <c r="F119" s="114"/>
    </row>
    <row r="120" ht="15.75" customHeight="1">
      <c r="F120" s="114"/>
    </row>
    <row r="121" ht="15.75" customHeight="1">
      <c r="F121" s="114"/>
    </row>
    <row r="122" ht="15.75" customHeight="1">
      <c r="F122" s="114"/>
    </row>
    <row r="123" ht="15.75" customHeight="1">
      <c r="F123" s="114"/>
    </row>
    <row r="124" ht="15.75" customHeight="1">
      <c r="F124" s="114"/>
    </row>
    <row r="125" ht="15.75" customHeight="1">
      <c r="F125" s="114"/>
    </row>
    <row r="126" ht="15.75" customHeight="1">
      <c r="F126" s="114"/>
    </row>
    <row r="127" ht="15.75" customHeight="1">
      <c r="F127" s="114"/>
    </row>
    <row r="128" ht="15.75" customHeight="1">
      <c r="F128" s="114"/>
    </row>
    <row r="129" ht="15.75" customHeight="1">
      <c r="F129" s="114"/>
    </row>
    <row r="130" ht="15.75" customHeight="1">
      <c r="F130" s="114"/>
    </row>
    <row r="131" ht="15.75" customHeight="1">
      <c r="F131" s="114"/>
    </row>
    <row r="132" ht="15.75" customHeight="1">
      <c r="F132" s="114"/>
    </row>
    <row r="133" ht="15.75" customHeight="1">
      <c r="F133" s="114"/>
    </row>
    <row r="134" ht="15.75" customHeight="1">
      <c r="F134" s="114"/>
    </row>
    <row r="135" ht="15.75" customHeight="1">
      <c r="F135" s="114"/>
    </row>
    <row r="136" ht="15.75" customHeight="1">
      <c r="F136" s="114"/>
    </row>
    <row r="137" ht="15.75" customHeight="1">
      <c r="F137" s="114"/>
    </row>
    <row r="138" ht="15.75" customHeight="1">
      <c r="F138" s="114"/>
    </row>
    <row r="139" ht="15.75" customHeight="1">
      <c r="F139" s="114"/>
    </row>
    <row r="140" ht="15.75" customHeight="1">
      <c r="F140" s="114"/>
    </row>
    <row r="141" ht="15.75" customHeight="1">
      <c r="F141" s="114"/>
    </row>
    <row r="142" ht="15.75" customHeight="1">
      <c r="F142" s="114"/>
    </row>
    <row r="143" ht="15.75" customHeight="1">
      <c r="F143" s="114"/>
    </row>
    <row r="144" ht="15.75" customHeight="1">
      <c r="F144" s="114"/>
    </row>
    <row r="145" ht="15.75" customHeight="1">
      <c r="F145" s="114"/>
    </row>
    <row r="146" ht="15.75" customHeight="1">
      <c r="F146" s="114"/>
    </row>
    <row r="147" ht="15.75" customHeight="1">
      <c r="F147" s="114"/>
    </row>
    <row r="148" ht="15.75" customHeight="1">
      <c r="F148" s="114"/>
    </row>
    <row r="149" ht="15.75" customHeight="1">
      <c r="F149" s="114"/>
    </row>
    <row r="150" ht="15.75" customHeight="1">
      <c r="F150" s="114"/>
    </row>
    <row r="151" ht="15.75" customHeight="1">
      <c r="F151" s="114"/>
    </row>
    <row r="152" ht="15.75" customHeight="1">
      <c r="F152" s="114"/>
    </row>
    <row r="153" ht="15.75" customHeight="1">
      <c r="F153" s="114"/>
    </row>
    <row r="154" ht="15.75" customHeight="1">
      <c r="F154" s="114"/>
    </row>
    <row r="155" ht="15.75" customHeight="1">
      <c r="F155" s="114"/>
    </row>
    <row r="156" ht="15.75" customHeight="1">
      <c r="F156" s="114"/>
    </row>
    <row r="157" ht="15.75" customHeight="1">
      <c r="F157" s="114"/>
    </row>
    <row r="158" ht="15.75" customHeight="1">
      <c r="F158" s="114"/>
    </row>
    <row r="159" ht="15.75" customHeight="1">
      <c r="F159" s="114"/>
    </row>
    <row r="160" ht="15.75" customHeight="1">
      <c r="F160" s="114"/>
    </row>
    <row r="161" ht="15.75" customHeight="1">
      <c r="F161" s="114"/>
    </row>
    <row r="162" ht="15.75" customHeight="1">
      <c r="F162" s="114"/>
    </row>
    <row r="163" ht="15.75" customHeight="1">
      <c r="F163" s="114"/>
    </row>
    <row r="164" ht="15.75" customHeight="1">
      <c r="F164" s="114"/>
    </row>
    <row r="165" ht="15.75" customHeight="1">
      <c r="F165" s="114"/>
    </row>
    <row r="166" ht="15.75" customHeight="1">
      <c r="F166" s="114"/>
    </row>
    <row r="167" ht="15.75" customHeight="1">
      <c r="F167" s="114"/>
    </row>
    <row r="168" ht="15.75" customHeight="1">
      <c r="F168" s="114"/>
    </row>
    <row r="169" ht="15.75" customHeight="1">
      <c r="F169" s="114"/>
    </row>
    <row r="170" ht="15.75" customHeight="1">
      <c r="F170" s="114"/>
    </row>
    <row r="171" ht="15.75" customHeight="1">
      <c r="F171" s="114"/>
    </row>
    <row r="172" ht="15.75" customHeight="1">
      <c r="F172" s="114"/>
    </row>
    <row r="173" ht="15.75" customHeight="1">
      <c r="F173" s="114"/>
    </row>
    <row r="174" ht="15.75" customHeight="1">
      <c r="F174" s="114"/>
    </row>
    <row r="175" ht="15.75" customHeight="1">
      <c r="F175" s="114"/>
    </row>
    <row r="176" ht="15.75" customHeight="1">
      <c r="F176" s="114"/>
    </row>
    <row r="177" ht="15.75" customHeight="1">
      <c r="F177" s="114"/>
    </row>
    <row r="178" ht="15.75" customHeight="1">
      <c r="F178" s="114"/>
    </row>
    <row r="179" ht="15.75" customHeight="1">
      <c r="F179" s="114"/>
    </row>
    <row r="180" ht="15.75" customHeight="1">
      <c r="F180" s="114"/>
    </row>
    <row r="181" ht="15.75" customHeight="1">
      <c r="F181" s="114"/>
    </row>
    <row r="182" ht="15.75" customHeight="1">
      <c r="F182" s="114"/>
    </row>
    <row r="183" ht="15.75" customHeight="1">
      <c r="F183" s="114"/>
    </row>
    <row r="184" ht="15.75" customHeight="1">
      <c r="F184" s="114"/>
    </row>
    <row r="185" ht="15.75" customHeight="1">
      <c r="F185" s="114"/>
    </row>
    <row r="186" ht="15.75" customHeight="1">
      <c r="F186" s="114"/>
    </row>
    <row r="187" ht="15.75" customHeight="1">
      <c r="F187" s="114"/>
    </row>
    <row r="188" ht="15.75" customHeight="1">
      <c r="F188" s="114"/>
    </row>
    <row r="189" ht="15.75" customHeight="1">
      <c r="F189" s="114"/>
    </row>
    <row r="190" ht="15.75" customHeight="1">
      <c r="F190" s="114"/>
    </row>
    <row r="191" ht="15.75" customHeight="1">
      <c r="F191" s="114"/>
    </row>
    <row r="192" ht="15.75" customHeight="1">
      <c r="F192" s="114"/>
    </row>
    <row r="193" ht="15.75" customHeight="1">
      <c r="F193" s="114"/>
    </row>
    <row r="194" ht="15.75" customHeight="1">
      <c r="F194" s="114"/>
    </row>
    <row r="195" ht="15.75" customHeight="1">
      <c r="F195" s="114"/>
    </row>
    <row r="196" ht="15.75" customHeight="1">
      <c r="F196" s="114"/>
    </row>
    <row r="197" ht="15.75" customHeight="1">
      <c r="F197" s="114"/>
    </row>
    <row r="198" ht="15.75" customHeight="1">
      <c r="F198" s="114"/>
    </row>
    <row r="199" ht="15.75" customHeight="1">
      <c r="F199" s="114"/>
    </row>
    <row r="200" ht="15.75" customHeight="1">
      <c r="F200" s="114"/>
    </row>
    <row r="201" ht="15.75" customHeight="1">
      <c r="F201" s="114"/>
    </row>
    <row r="202" ht="15.75" customHeight="1">
      <c r="F202" s="114"/>
    </row>
    <row r="203" ht="15.75" customHeight="1">
      <c r="F203" s="114"/>
    </row>
    <row r="204" ht="15.75" customHeight="1">
      <c r="F204" s="114"/>
    </row>
    <row r="205" ht="15.75" customHeight="1">
      <c r="F205" s="114"/>
    </row>
    <row r="206" ht="15.75" customHeight="1">
      <c r="F206" s="114"/>
    </row>
    <row r="207" ht="15.75" customHeight="1">
      <c r="F207" s="114"/>
    </row>
    <row r="208" ht="15.75" customHeight="1">
      <c r="F208" s="114"/>
    </row>
    <row r="209" ht="15.75" customHeight="1">
      <c r="F209" s="114"/>
    </row>
    <row r="210" ht="15.75" customHeight="1">
      <c r="F210" s="114"/>
    </row>
    <row r="211" ht="15.75" customHeight="1">
      <c r="F211" s="114"/>
    </row>
    <row r="212" ht="15.75" customHeight="1">
      <c r="F212" s="114"/>
    </row>
    <row r="213" ht="15.75" customHeight="1">
      <c r="F213" s="114"/>
    </row>
    <row r="214" ht="15.75" customHeight="1">
      <c r="F214" s="114"/>
    </row>
    <row r="215" ht="15.75" customHeight="1">
      <c r="F215" s="114"/>
    </row>
    <row r="216" ht="15.75" customHeight="1">
      <c r="F216" s="114"/>
    </row>
    <row r="217" ht="15.75" customHeight="1">
      <c r="F217" s="114"/>
    </row>
    <row r="218" ht="15.75" customHeight="1">
      <c r="F218" s="114"/>
    </row>
    <row r="219" ht="15.75" customHeight="1">
      <c r="F219" s="114"/>
    </row>
    <row r="220" ht="15.75" customHeight="1">
      <c r="F220" s="114"/>
    </row>
    <row r="221" ht="15.75" customHeight="1">
      <c r="F221" s="114"/>
    </row>
    <row r="222" ht="15.75" customHeight="1">
      <c r="F222" s="114"/>
    </row>
    <row r="223" ht="15.75" customHeight="1">
      <c r="F223" s="114"/>
    </row>
    <row r="224" ht="15.75" customHeight="1">
      <c r="F224" s="114"/>
    </row>
    <row r="225" ht="15.75" customHeight="1">
      <c r="F225" s="114"/>
    </row>
    <row r="226" ht="15.75" customHeight="1">
      <c r="F226" s="114"/>
    </row>
    <row r="227" ht="15.75" customHeight="1">
      <c r="F227" s="114"/>
    </row>
    <row r="228" ht="15.75" customHeight="1">
      <c r="F228" s="114"/>
    </row>
    <row r="229" ht="15.75" customHeight="1">
      <c r="F229" s="114"/>
    </row>
    <row r="230" ht="15.75" customHeight="1">
      <c r="F230" s="114"/>
    </row>
    <row r="231" ht="15.75" customHeight="1">
      <c r="F231" s="114"/>
    </row>
    <row r="232" ht="15.75" customHeight="1">
      <c r="F232" s="114"/>
    </row>
    <row r="233" ht="15.75" customHeight="1">
      <c r="F233" s="114"/>
    </row>
    <row r="234" ht="15.75" customHeight="1">
      <c r="F234" s="114"/>
    </row>
    <row r="235" ht="15.75" customHeight="1">
      <c r="F235" s="114"/>
    </row>
    <row r="236" ht="15.75" customHeight="1">
      <c r="F236" s="114"/>
    </row>
    <row r="237" ht="15.75" customHeight="1">
      <c r="F237" s="114"/>
    </row>
    <row r="238" ht="15.75" customHeight="1">
      <c r="F238" s="114"/>
    </row>
    <row r="239" ht="15.75" customHeight="1">
      <c r="F239" s="114"/>
    </row>
    <row r="240" ht="15.75" customHeight="1">
      <c r="F240" s="114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A2:M2"/>
  </mergeCells>
  <conditionalFormatting sqref="L2:L12 L14:L25 L27:L35 C38:J38">
    <cfRule type="cellIs" dxfId="0" priority="1" operator="equal">
      <formula>0</formula>
    </cfRule>
  </conditionalFormatting>
  <conditionalFormatting sqref="L2:L12 L14:L25 L27:L35 C38:J38">
    <cfRule type="cellIs" dxfId="1" priority="2" operator="greaterThan">
      <formula>0</formula>
    </cfRule>
  </conditionalFormatting>
  <conditionalFormatting sqref="L2:L12 L14:L25 L27:L35 C38:J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44" t="s">
        <v>0</v>
      </c>
      <c r="B1" s="244" t="s">
        <v>2</v>
      </c>
      <c r="C1" s="245" t="s">
        <v>85</v>
      </c>
      <c r="D1" s="246"/>
      <c r="E1" s="246"/>
      <c r="F1" s="246"/>
      <c r="G1" s="247"/>
      <c r="H1" s="248" t="s">
        <v>86</v>
      </c>
      <c r="I1" s="246"/>
      <c r="J1" s="246"/>
      <c r="K1" s="246"/>
      <c r="L1" s="247"/>
      <c r="M1" s="249" t="s">
        <v>87</v>
      </c>
      <c r="N1" s="246"/>
      <c r="O1" s="246"/>
      <c r="P1" s="246"/>
      <c r="Q1" s="247"/>
      <c r="R1" s="250" t="s">
        <v>88</v>
      </c>
      <c r="S1" s="246"/>
      <c r="T1" s="246"/>
      <c r="U1" s="246"/>
      <c r="V1" s="247"/>
      <c r="W1" s="251" t="s">
        <v>89</v>
      </c>
    </row>
    <row r="2" ht="15.75" customHeight="1">
      <c r="A2" s="252"/>
      <c r="B2" s="252" t="s">
        <v>90</v>
      </c>
      <c r="C2" s="253" t="s">
        <v>25</v>
      </c>
      <c r="D2" s="253" t="s">
        <v>26</v>
      </c>
      <c r="E2" s="253" t="s">
        <v>28</v>
      </c>
      <c r="F2" s="253" t="s">
        <v>29</v>
      </c>
      <c r="G2" s="253" t="s">
        <v>30</v>
      </c>
      <c r="H2" s="254" t="s">
        <v>25</v>
      </c>
      <c r="I2" s="254" t="s">
        <v>26</v>
      </c>
      <c r="J2" s="254" t="s">
        <v>28</v>
      </c>
      <c r="K2" s="254" t="s">
        <v>29</v>
      </c>
      <c r="L2" s="254" t="s">
        <v>30</v>
      </c>
      <c r="M2" s="255" t="s">
        <v>25</v>
      </c>
      <c r="N2" s="255" t="s">
        <v>26</v>
      </c>
      <c r="O2" s="255" t="s">
        <v>28</v>
      </c>
      <c r="P2" s="255" t="s">
        <v>29</v>
      </c>
      <c r="Q2" s="255" t="s">
        <v>30</v>
      </c>
      <c r="R2" s="256" t="s">
        <v>25</v>
      </c>
      <c r="S2" s="256" t="s">
        <v>26</v>
      </c>
      <c r="T2" s="256" t="s">
        <v>28</v>
      </c>
      <c r="U2" s="256" t="s">
        <v>29</v>
      </c>
      <c r="V2" s="256" t="s">
        <v>30</v>
      </c>
      <c r="W2" s="257"/>
    </row>
    <row r="3" ht="15.75" customHeight="1">
      <c r="A3" s="258">
        <f>Commercial!A3</f>
        <v>1291</v>
      </c>
      <c r="B3" s="259" t="str">
        <f t="array" ref="B3">IFERROR(INDEX(Commercial!B:B,MATCH(A3,Commercial!A:A,0)),"")</f>
        <v>Raven Mitchell (Commercial)</v>
      </c>
      <c r="C3" s="260">
        <f>IFERROR(SUMIF('COM Winbacks'!$A:$A,$A3,'COM Winbacks'!C:C),0)</f>
        <v>0</v>
      </c>
      <c r="D3" s="261">
        <f>IFERROR(SUMIF('COM Winbacks'!$A:$A,$A3,'COM Winbacks'!D:D),0)</f>
        <v>0</v>
      </c>
      <c r="E3" s="261">
        <f>IFERROR(SUMIF('COM Winbacks'!$A:$A,$A3,'COM Winbacks'!E:E),0)</f>
        <v>0</v>
      </c>
      <c r="F3" s="261">
        <f>IFERROR(SUMIF('COM Winbacks'!$A:$A,$A3,'COM Winbacks'!F:F),0)</f>
        <v>0</v>
      </c>
      <c r="G3" s="262">
        <f>IFERROR(SUMIF('COM Winbacks'!$A:$A,$A3,'COM Winbacks'!G:G),0)</f>
        <v>0</v>
      </c>
      <c r="H3" s="263">
        <f>IFERROR(SUMIF(Residential!$A:$A,$A3,Residential!C:C),0)</f>
        <v>0</v>
      </c>
      <c r="I3" s="261">
        <f>IFERROR(SUMIF(Residential!$A:$A,$A3,Residential!D:D),0)</f>
        <v>0</v>
      </c>
      <c r="J3" s="261">
        <f>IFERROR(SUMIF(Residential!$A:$A,$A3,Residential!E:E),0)</f>
        <v>0</v>
      </c>
      <c r="K3" s="261">
        <f>IFERROR(SUMIF(Residential!$A:$A,$A3,Residential!F:F),0)</f>
        <v>0</v>
      </c>
      <c r="L3" s="262">
        <f>IFERROR(SUMIF(Residential!$A:$A,$A3,Residential!G:G),0)</f>
        <v>0</v>
      </c>
      <c r="M3" s="263">
        <f>IFERROR(SUMIF(Commercial!$A$3:$A$7,$A3,Commercial!E$3:E$7),0)</f>
        <v>1</v>
      </c>
      <c r="N3" s="261">
        <f>IFERROR(SUMIF(Commercial!$A$3:$A$7,$A3,Commercial!K$3:K$7),0)</f>
        <v>0</v>
      </c>
      <c r="O3" s="261">
        <f>IFERROR(SUMIF(Commercial!$A$3:$A$7,$A3,Commercial!Q$3:Q$7),0)</f>
        <v>0</v>
      </c>
      <c r="P3" s="261">
        <f>IFERROR(SUMIF(Commercial!$A$3:$A$7,$A3,Commercial!W$3:W$7),0)</f>
        <v>0</v>
      </c>
      <c r="Q3" s="262">
        <f>IFERROR(SUMIF(Commercial!$A$3:$A$7,$A3,Commercial!AC$3:AC$7),0)</f>
        <v>0</v>
      </c>
      <c r="R3" s="267">
        <f t="shared" ref="R3:V3" si="1">C3+H3+M3</f>
        <v>1</v>
      </c>
      <c r="S3" s="268">
        <f t="shared" si="1"/>
        <v>0</v>
      </c>
      <c r="T3" s="268">
        <f t="shared" si="1"/>
        <v>0</v>
      </c>
      <c r="U3" s="269">
        <f t="shared" si="1"/>
        <v>0</v>
      </c>
      <c r="V3" s="270">
        <f t="shared" si="1"/>
        <v>0</v>
      </c>
      <c r="W3" s="271">
        <f t="shared" ref="W3:W8" si="3">SUM(R3:V3)</f>
        <v>1</v>
      </c>
    </row>
    <row r="4" ht="15.75" customHeight="1">
      <c r="A4" s="258">
        <f>Commercial!A4</f>
        <v>1175</v>
      </c>
      <c r="B4" s="259" t="str">
        <f t="array" ref="B4">IFERROR(INDEX(Commercial!B:B,MATCH(A4,Commercial!A:A,0)),"")</f>
        <v>Kenticka Tate (Commercial)</v>
      </c>
      <c r="C4" s="260">
        <f>IFERROR(SUMIF('COM Winbacks'!$A:$A,$A4,'COM Winbacks'!C:C),0)</f>
        <v>0</v>
      </c>
      <c r="D4" s="261">
        <f>IFERROR(SUMIF('COM Winbacks'!$A:$A,$A4,'COM Winbacks'!D:D),0)</f>
        <v>0</v>
      </c>
      <c r="E4" s="261">
        <f>IFERROR(SUMIF('COM Winbacks'!$A:$A,$A4,'COM Winbacks'!E:E),0)</f>
        <v>0</v>
      </c>
      <c r="F4" s="261">
        <f>IFERROR(SUMIF('COM Winbacks'!$A:$A,$A4,'COM Winbacks'!F:F),0)</f>
        <v>0</v>
      </c>
      <c r="G4" s="262">
        <f>IFERROR(SUMIF('COM Winbacks'!$A:$A,$A4,'COM Winbacks'!G:G),0)</f>
        <v>0</v>
      </c>
      <c r="H4" s="263">
        <f>IFERROR(SUMIF(Residential!$A:$A,$A4,Residential!C:C),0)</f>
        <v>0</v>
      </c>
      <c r="I4" s="261">
        <f>IFERROR(SUMIF(Residential!$A:$A,$A4,Residential!D:D),0)</f>
        <v>0</v>
      </c>
      <c r="J4" s="261">
        <f>IFERROR(SUMIF(Residential!$A:$A,$A4,Residential!E:E),0)</f>
        <v>0</v>
      </c>
      <c r="K4" s="261">
        <f>IFERROR(SUMIF(Residential!$A:$A,$A4,Residential!F:F),0)</f>
        <v>0</v>
      </c>
      <c r="L4" s="262">
        <f>IFERROR(SUMIF(Residential!$A:$A,$A4,Residential!G:G),0)</f>
        <v>0</v>
      </c>
      <c r="M4" s="263">
        <f>IFERROR(SUMIF(Commercial!$A$3:$A$7,$A4,Commercial!E$3:E$7),0)</f>
        <v>0</v>
      </c>
      <c r="N4" s="261">
        <f>IFERROR(SUMIF(Commercial!$A$3:$A$7,$A4,Commercial!K$3:K$7),0)</f>
        <v>0</v>
      </c>
      <c r="O4" s="261">
        <f>IFERROR(SUMIF(Commercial!$A$3:$A$7,$A4,Commercial!Q$3:Q$7),0)</f>
        <v>0</v>
      </c>
      <c r="P4" s="261">
        <f>IFERROR(SUMIF(Commercial!$A$3:$A$7,$A4,Commercial!W$3:W$7),0)</f>
        <v>0</v>
      </c>
      <c r="Q4" s="262">
        <f>IFERROR(SUMIF(Commercial!$A$3:$A$7,$A4,Commercial!AC$3:AC$7),0)</f>
        <v>0</v>
      </c>
      <c r="R4" s="267">
        <f t="shared" ref="R4:V4" si="2">C4+H4+M4</f>
        <v>0</v>
      </c>
      <c r="S4" s="268">
        <f t="shared" si="2"/>
        <v>0</v>
      </c>
      <c r="T4" s="268">
        <f t="shared" si="2"/>
        <v>0</v>
      </c>
      <c r="U4" s="269">
        <f t="shared" si="2"/>
        <v>0</v>
      </c>
      <c r="V4" s="270">
        <f t="shared" si="2"/>
        <v>0</v>
      </c>
      <c r="W4" s="271">
        <f t="shared" si="3"/>
        <v>0</v>
      </c>
    </row>
    <row r="5" ht="15.75" customHeight="1">
      <c r="A5" s="258">
        <f>Commercial!A5</f>
        <v>1294</v>
      </c>
      <c r="B5" s="259" t="str">
        <f t="array" ref="B5">IFERROR(INDEX(Commercial!B:B,MATCH(A5,Commercial!A:A,0)),"")</f>
        <v>Brandy Paton (Commercial)</v>
      </c>
      <c r="C5" s="260">
        <f>IFERROR(SUMIF('COM Winbacks'!$A:$A,$A5,'COM Winbacks'!C:C),0)</f>
        <v>0</v>
      </c>
      <c r="D5" s="261">
        <f>IFERROR(SUMIF('COM Winbacks'!$A:$A,$A5,'COM Winbacks'!D:D),0)</f>
        <v>0</v>
      </c>
      <c r="E5" s="261">
        <f>IFERROR(SUMIF('COM Winbacks'!$A:$A,$A5,'COM Winbacks'!E:E),0)</f>
        <v>0</v>
      </c>
      <c r="F5" s="261">
        <f>IFERROR(SUMIF('COM Winbacks'!$A:$A,$A5,'COM Winbacks'!F:F),0)</f>
        <v>0</v>
      </c>
      <c r="G5" s="262">
        <f>IFERROR(SUMIF('COM Winbacks'!$A:$A,$A5,'COM Winbacks'!G:G),0)</f>
        <v>0</v>
      </c>
      <c r="H5" s="263">
        <f>IFERROR(SUMIF(Residential!$A:$A,$A5,Residential!C:C),0)</f>
        <v>0</v>
      </c>
      <c r="I5" s="261">
        <f>IFERROR(SUMIF(Residential!$A:$A,$A5,Residential!D:D),0)</f>
        <v>0</v>
      </c>
      <c r="J5" s="261">
        <f>IFERROR(SUMIF(Residential!$A:$A,$A5,Residential!E:E),0)</f>
        <v>0</v>
      </c>
      <c r="K5" s="261">
        <f>IFERROR(SUMIF(Residential!$A:$A,$A5,Residential!F:F),0)</f>
        <v>0</v>
      </c>
      <c r="L5" s="262">
        <f>IFERROR(SUMIF(Residential!$A:$A,$A5,Residential!G:G),0)</f>
        <v>0</v>
      </c>
      <c r="M5" s="263">
        <f>IFERROR(SUMIF(Commercial!$A$3:$A$7,$A5,Commercial!E$3:E$7),0)</f>
        <v>0</v>
      </c>
      <c r="N5" s="261">
        <f>IFERROR(SUMIF(Commercial!$A$3:$A$7,$A5,Commercial!K$3:K$7),0)</f>
        <v>0</v>
      </c>
      <c r="O5" s="261">
        <f>IFERROR(SUMIF(Commercial!$A$3:$A$7,$A5,Commercial!Q$3:Q$7),0)</f>
        <v>0</v>
      </c>
      <c r="P5" s="261">
        <f>IFERROR(SUMIF(Commercial!$A$3:$A$7,$A5,Commercial!W$3:W$7),0)</f>
        <v>0</v>
      </c>
      <c r="Q5" s="262">
        <f>IFERROR(SUMIF(Commercial!$A$3:$A$7,$A5,Commercial!AC$3:AC$7),0)</f>
        <v>0</v>
      </c>
      <c r="R5" s="267">
        <f t="shared" ref="R5:V5" si="4">C5+H5+M5</f>
        <v>0</v>
      </c>
      <c r="S5" s="268">
        <f t="shared" si="4"/>
        <v>0</v>
      </c>
      <c r="T5" s="268">
        <f t="shared" si="4"/>
        <v>0</v>
      </c>
      <c r="U5" s="269">
        <f t="shared" si="4"/>
        <v>0</v>
      </c>
      <c r="V5" s="270">
        <f t="shared" si="4"/>
        <v>0</v>
      </c>
      <c r="W5" s="271">
        <f t="shared" si="3"/>
        <v>0</v>
      </c>
    </row>
    <row r="6" ht="15.75" customHeight="1">
      <c r="A6" s="258">
        <f>Commercial!A6</f>
        <v>1280</v>
      </c>
      <c r="B6" s="259" t="str">
        <f t="array" ref="B6">IFERROR(INDEX(Commercial!B:B,MATCH(A6,Commercial!A:A,0)),"")</f>
        <v>Ashlee Franks (Commercial)</v>
      </c>
      <c r="C6" s="260">
        <f>IFERROR(SUMIF('COM Winbacks'!$A:$A,$A6,'COM Winbacks'!C:C),0)</f>
        <v>0</v>
      </c>
      <c r="D6" s="261">
        <f>IFERROR(SUMIF('COM Winbacks'!$A:$A,$A6,'COM Winbacks'!D:D),0)</f>
        <v>0</v>
      </c>
      <c r="E6" s="261">
        <f>IFERROR(SUMIF('COM Winbacks'!$A:$A,$A6,'COM Winbacks'!E:E),0)</f>
        <v>0</v>
      </c>
      <c r="F6" s="261">
        <f>IFERROR(SUMIF('COM Winbacks'!$A:$A,$A6,'COM Winbacks'!F:F),0)</f>
        <v>0</v>
      </c>
      <c r="G6" s="262">
        <f>IFERROR(SUMIF('COM Winbacks'!$A:$A,$A6,'COM Winbacks'!G:G),0)</f>
        <v>0</v>
      </c>
      <c r="H6" s="263">
        <f>IFERROR(SUMIF(Residential!$A:$A,$A6,Residential!C:C),0)</f>
        <v>0</v>
      </c>
      <c r="I6" s="261">
        <f>IFERROR(SUMIF(Residential!$A:$A,$A6,Residential!D:D),0)</f>
        <v>0</v>
      </c>
      <c r="J6" s="261">
        <f>IFERROR(SUMIF(Residential!$A:$A,$A6,Residential!E:E),0)</f>
        <v>0</v>
      </c>
      <c r="K6" s="261">
        <f>IFERROR(SUMIF(Residential!$A:$A,$A6,Residential!F:F),0)</f>
        <v>0</v>
      </c>
      <c r="L6" s="262">
        <f>IFERROR(SUMIF(Residential!$A:$A,$A6,Residential!G:G),0)</f>
        <v>0</v>
      </c>
      <c r="M6" s="263">
        <f>IFERROR(SUMIF(Commercial!$A$3:$A$7,$A6,Commercial!E$3:E$7),0)</f>
        <v>1</v>
      </c>
      <c r="N6" s="261">
        <f>IFERROR(SUMIF(Commercial!$A$3:$A$7,$A6,Commercial!K$3:K$7),0)</f>
        <v>0</v>
      </c>
      <c r="O6" s="261">
        <f>IFERROR(SUMIF(Commercial!$A$3:$A$7,$A6,Commercial!Q$3:Q$7),0)</f>
        <v>0</v>
      </c>
      <c r="P6" s="261">
        <f>IFERROR(SUMIF(Commercial!$A$3:$A$7,$A6,Commercial!W$3:W$7),0)</f>
        <v>0</v>
      </c>
      <c r="Q6" s="262">
        <f>IFERROR(SUMIF(Commercial!$A$3:$A$7,$A6,Commercial!AC$3:AC$7),0)</f>
        <v>0</v>
      </c>
      <c r="R6" s="267">
        <f t="shared" ref="R6:V6" si="5">C6+H6+M6</f>
        <v>1</v>
      </c>
      <c r="S6" s="268">
        <f t="shared" si="5"/>
        <v>0</v>
      </c>
      <c r="T6" s="268">
        <f t="shared" si="5"/>
        <v>0</v>
      </c>
      <c r="U6" s="269">
        <f t="shared" si="5"/>
        <v>0</v>
      </c>
      <c r="V6" s="270">
        <f t="shared" si="5"/>
        <v>0</v>
      </c>
      <c r="W6" s="271">
        <f t="shared" si="3"/>
        <v>1</v>
      </c>
    </row>
    <row r="7" ht="15.75" customHeight="1">
      <c r="A7" s="258"/>
      <c r="B7" s="259" t="str">
        <f t="array" ref="B7">IFERROR(INDEX(Commercial!B:B,MATCH(A7,Commercial!A:A,0)),"")</f>
        <v/>
      </c>
      <c r="C7" s="260">
        <f>IFERROR(SUMIF('COM Winbacks'!$A:$A,$A7,'COM Winbacks'!C:C),0)</f>
        <v>0</v>
      </c>
      <c r="D7" s="261">
        <f>IFERROR(SUMIF('COM Winbacks'!$A:$A,$A7,'COM Winbacks'!D:D),0)</f>
        <v>0</v>
      </c>
      <c r="E7" s="261">
        <f>IFERROR(SUMIF('COM Winbacks'!$A:$A,$A7,'COM Winbacks'!E:E),0)</f>
        <v>0</v>
      </c>
      <c r="F7" s="261">
        <f>IFERROR(SUMIF('COM Winbacks'!$A:$A,$A7,'COM Winbacks'!F:F),0)</f>
        <v>0</v>
      </c>
      <c r="G7" s="262">
        <f>IFERROR(SUMIF('COM Winbacks'!$A:$A,$A7,'COM Winbacks'!G:G),0)</f>
        <v>0</v>
      </c>
      <c r="H7" s="263">
        <f>IFERROR(SUMIF(Residential!$A:$A,$A7,Residential!C:C),0)</f>
        <v>0</v>
      </c>
      <c r="I7" s="261">
        <f>IFERROR(SUMIF(Residential!$A:$A,$A7,Residential!D:D),0)</f>
        <v>0</v>
      </c>
      <c r="J7" s="261">
        <f>IFERROR(SUMIF(Residential!$A:$A,$A7,Residential!E:E),0)</f>
        <v>0</v>
      </c>
      <c r="K7" s="261">
        <f>IFERROR(SUMIF(Residential!$A:$A,$A7,Residential!F:F),0)</f>
        <v>0</v>
      </c>
      <c r="L7" s="262">
        <f>IFERROR(SUMIF(Residential!$A:$A,$A7,Residential!G:G),0)</f>
        <v>0</v>
      </c>
      <c r="M7" s="263">
        <f>IFERROR(SUMIF(Commercial!$A$3:$A$7,$A7,Commercial!E$3:E$7),0)</f>
        <v>0</v>
      </c>
      <c r="N7" s="261">
        <f>IFERROR(SUMIF(Commercial!$A$3:$A$7,$A7,Commercial!K$3:K$7),0)</f>
        <v>0</v>
      </c>
      <c r="O7" s="261">
        <f>IFERROR(SUMIF(Commercial!$A$3:$A$7,$A7,Commercial!Q$3:Q$7),0)</f>
        <v>0</v>
      </c>
      <c r="P7" s="261">
        <f>IFERROR(SUMIF(Commercial!$A$3:$A$7,$A7,Commercial!W$3:W$7),0)</f>
        <v>0</v>
      </c>
      <c r="Q7" s="262">
        <f>IFERROR(SUMIF(Commercial!$A$3:$A$7,$A7,Commercial!AC$3:AC$7),0)</f>
        <v>0</v>
      </c>
      <c r="R7" s="267">
        <f t="shared" ref="R7:V7" si="6">C7+H7+M7</f>
        <v>0</v>
      </c>
      <c r="S7" s="268">
        <f t="shared" si="6"/>
        <v>0</v>
      </c>
      <c r="T7" s="268">
        <f t="shared" si="6"/>
        <v>0</v>
      </c>
      <c r="U7" s="269">
        <f t="shared" si="6"/>
        <v>0</v>
      </c>
      <c r="V7" s="270">
        <f t="shared" si="6"/>
        <v>0</v>
      </c>
      <c r="W7" s="271">
        <f t="shared" si="3"/>
        <v>0</v>
      </c>
    </row>
    <row r="8" ht="15.75" customHeight="1">
      <c r="A8" s="258">
        <f>Commercial!A7</f>
        <v>1301</v>
      </c>
      <c r="B8" s="259" t="str">
        <f t="array" ref="B8">IFERROR(INDEX(Commercial!B:B,MATCH(A8,Commercial!A:A,0)),"")</f>
        <v>Albert Williams (Commercial)</v>
      </c>
      <c r="C8" s="260">
        <f>IFERROR(SUMIF('COM Winbacks'!$A:$A,$A8,'COM Winbacks'!C:C),0)</f>
        <v>0</v>
      </c>
      <c r="D8" s="261">
        <f>IFERROR(SUMIF('COM Winbacks'!$A:$A,$A8,'COM Winbacks'!D:D),0)</f>
        <v>0</v>
      </c>
      <c r="E8" s="261">
        <f>IFERROR(SUMIF('COM Winbacks'!$A:$A,$A8,'COM Winbacks'!E:E),0)</f>
        <v>0</v>
      </c>
      <c r="F8" s="261">
        <f>IFERROR(SUMIF('COM Winbacks'!$A:$A,$A8,'COM Winbacks'!F:F),0)</f>
        <v>0</v>
      </c>
      <c r="G8" s="262">
        <f>IFERROR(SUMIF('COM Winbacks'!$A:$A,$A8,'COM Winbacks'!G:G),0)</f>
        <v>0</v>
      </c>
      <c r="H8" s="263">
        <f>IFERROR(SUMIF(Residential!$A:$A,$A8,Residential!C:C),0)</f>
        <v>0</v>
      </c>
      <c r="I8" s="261">
        <f>IFERROR(SUMIF(Residential!$A:$A,$A8,Residential!D:D),0)</f>
        <v>0</v>
      </c>
      <c r="J8" s="261">
        <f>IFERROR(SUMIF(Residential!$A:$A,$A8,Residential!E:E),0)</f>
        <v>0</v>
      </c>
      <c r="K8" s="261">
        <f>IFERROR(SUMIF(Residential!$A:$A,$A8,Residential!F:F),0)</f>
        <v>0</v>
      </c>
      <c r="L8" s="262">
        <f>IFERROR(SUMIF(Residential!$A:$A,$A8,Residential!G:G),0)</f>
        <v>0</v>
      </c>
      <c r="M8" s="263">
        <f>IFERROR(SUMIF(Commercial!$A$3:$A$7,$A8,Commercial!E$3:E$7),0)</f>
        <v>0</v>
      </c>
      <c r="N8" s="261">
        <f>IFERROR(SUMIF(Commercial!$A$3:$A$7,$A8,Commercial!K$3:K$7),0)</f>
        <v>0</v>
      </c>
      <c r="O8" s="261">
        <f>IFERROR(SUMIF(Commercial!$A$3:$A$7,$A8,Commercial!Q$3:Q$7),0)</f>
        <v>0</v>
      </c>
      <c r="P8" s="261">
        <f>IFERROR(SUMIF(Commercial!$A$3:$A$7,$A8,Commercial!W$3:W$7),0)</f>
        <v>0</v>
      </c>
      <c r="Q8" s="262">
        <f>IFERROR(SUMIF(Commercial!$A$3:$A$7,$A8,Commercial!AC$3:AC$7),0)</f>
        <v>0</v>
      </c>
      <c r="R8" s="267">
        <f t="shared" ref="R8:V8" si="7">C8+H8+M8</f>
        <v>0</v>
      </c>
      <c r="S8" s="268">
        <f t="shared" si="7"/>
        <v>0</v>
      </c>
      <c r="T8" s="268">
        <f t="shared" si="7"/>
        <v>0</v>
      </c>
      <c r="U8" s="269">
        <f t="shared" si="7"/>
        <v>0</v>
      </c>
      <c r="V8" s="270">
        <f t="shared" si="7"/>
        <v>0</v>
      </c>
      <c r="W8" s="271">
        <f t="shared" si="3"/>
        <v>0</v>
      </c>
    </row>
    <row r="9" ht="15.75" customHeight="1">
      <c r="A9" s="258"/>
      <c r="B9" s="259"/>
      <c r="C9" s="260"/>
      <c r="D9" s="261"/>
      <c r="E9" s="261"/>
      <c r="F9" s="261"/>
      <c r="G9" s="262"/>
      <c r="H9" s="263"/>
      <c r="I9" s="261"/>
      <c r="J9" s="261"/>
      <c r="K9" s="261"/>
      <c r="L9" s="262"/>
      <c r="M9" s="263"/>
      <c r="N9" s="261"/>
      <c r="O9" s="261"/>
      <c r="P9" s="261"/>
      <c r="Q9" s="262"/>
      <c r="R9" s="267"/>
      <c r="S9" s="268"/>
      <c r="T9" s="268"/>
      <c r="U9" s="269"/>
      <c r="V9" s="270"/>
      <c r="W9" s="271"/>
    </row>
    <row r="10" ht="15.75" customHeight="1">
      <c r="A10" s="272"/>
      <c r="B10" s="273" t="s">
        <v>92</v>
      </c>
      <c r="C10" s="274"/>
      <c r="D10" s="275"/>
      <c r="E10" s="275"/>
      <c r="F10" s="275"/>
      <c r="G10" s="276"/>
      <c r="H10" s="277"/>
      <c r="I10" s="275"/>
      <c r="J10" s="275"/>
      <c r="K10" s="275"/>
      <c r="L10" s="276"/>
      <c r="M10" s="277"/>
      <c r="N10" s="275"/>
      <c r="O10" s="275"/>
      <c r="P10" s="275"/>
      <c r="Q10" s="276"/>
      <c r="R10" s="274"/>
      <c r="S10" s="275"/>
      <c r="T10" s="275"/>
      <c r="U10" s="276"/>
      <c r="V10" s="278"/>
      <c r="W10" s="279">
        <f>SUM(W3:W9)</f>
        <v>2</v>
      </c>
    </row>
    <row r="11" ht="15.75" customHeight="1">
      <c r="A11" s="258"/>
      <c r="B11" s="259" t="str">
        <f t="array" ref="B11">IFERROR(INDEX(Commercial!B:B,MATCH(A11,Commercial!A:A,0)),"")</f>
        <v/>
      </c>
      <c r="C11" s="260">
        <f>IFERROR(SUMIF('COM Winbacks'!$A:$A,$A11,'COM Winbacks'!C:C),0)</f>
        <v>0</v>
      </c>
      <c r="D11" s="261">
        <f>IFERROR(SUMIF('COM Winbacks'!$A:$A,$A11,'COM Winbacks'!D:D),0)</f>
        <v>0</v>
      </c>
      <c r="E11" s="261">
        <f>IFERROR(SUMIF('COM Winbacks'!$A:$A,$A11,'COM Winbacks'!E:E),0)</f>
        <v>0</v>
      </c>
      <c r="F11" s="261">
        <f>IFERROR(SUMIF('COM Winbacks'!$A:$A,$A11,'COM Winbacks'!F:F),0)</f>
        <v>0</v>
      </c>
      <c r="G11" s="262">
        <f>IFERROR(SUMIF('COM Winbacks'!$A:$A,$A11,'COM Winbacks'!G:G),0)</f>
        <v>0</v>
      </c>
      <c r="H11" s="263">
        <f>IFERROR(SUMIF(Residential!$A:$A,$A11,Residential!C:C),0)</f>
        <v>0</v>
      </c>
      <c r="I11" s="261">
        <f>IFERROR(SUMIF(Residential!$A:$A,$A11,Residential!D:D),0)</f>
        <v>0</v>
      </c>
      <c r="J11" s="261">
        <f>IFERROR(SUMIF(Residential!$A:$A,$A11,Residential!E:E),0)</f>
        <v>0</v>
      </c>
      <c r="K11" s="261">
        <f>IFERROR(SUMIF(Residential!$A:$A,$A11,Residential!F:F),0)</f>
        <v>0</v>
      </c>
      <c r="L11" s="262">
        <f>IFERROR(SUMIF(Residential!$A:$A,$A11,Residential!G:G),0)</f>
        <v>0</v>
      </c>
      <c r="M11" s="263">
        <f>IFERROR(SUMIF(Commercial!$A$8:$A$10,$A11,Commercial!E$8:E$10),0)</f>
        <v>0</v>
      </c>
      <c r="N11" s="261">
        <f>IFERROR(SUMIF(Commercial!$A$8:$A$10,$A11,Commercial!K$8:K$10),0)</f>
        <v>0</v>
      </c>
      <c r="O11" s="261">
        <f>IFERROR(SUMIF(Commercial!$A$8:$A$10,$A11,Commercial!Q$8:Q$10),0)</f>
        <v>0</v>
      </c>
      <c r="P11" s="261">
        <f>IFERROR(SUMIF(Commercial!$A$8:$A$10,$A11,Commercial!W$8:W$10),0)</f>
        <v>0</v>
      </c>
      <c r="Q11" s="262">
        <f>IFERROR(SUMIF(Commercial!$A$8:$A$10,$A11,Commercial!AC$8:AC$10),0)</f>
        <v>0</v>
      </c>
      <c r="R11" s="267">
        <f t="shared" ref="R11:V11" si="8">C11+H11+M11</f>
        <v>0</v>
      </c>
      <c r="S11" s="268">
        <f t="shared" si="8"/>
        <v>0</v>
      </c>
      <c r="T11" s="268">
        <f t="shared" si="8"/>
        <v>0</v>
      </c>
      <c r="U11" s="269">
        <f t="shared" si="8"/>
        <v>0</v>
      </c>
      <c r="V11" s="270">
        <f t="shared" si="8"/>
        <v>0</v>
      </c>
      <c r="W11" s="271">
        <f t="shared" ref="W11:W14" si="10">SUM(R11:V11)</f>
        <v>0</v>
      </c>
    </row>
    <row r="12" ht="15.75" customHeight="1">
      <c r="A12" s="258">
        <f>Commercial!A8</f>
        <v>1151</v>
      </c>
      <c r="B12" s="259" t="str">
        <f t="array" ref="B12">IFERROR(INDEX(Commercial!B:B,MATCH(A12,Commercial!A:A,0)),"")</f>
        <v>CJ Jackson (Manager/Closer)</v>
      </c>
      <c r="C12" s="260">
        <f>IFERROR(SUMIF('COM Winbacks'!$A:$A,$A12,'COM Winbacks'!C:C),0)</f>
        <v>0</v>
      </c>
      <c r="D12" s="261">
        <f>IFERROR(SUMIF('COM Winbacks'!$A:$A,$A12,'COM Winbacks'!D:D),0)</f>
        <v>0</v>
      </c>
      <c r="E12" s="261">
        <f>IFERROR(SUMIF('COM Winbacks'!$A:$A,$A12,'COM Winbacks'!E:E),0)</f>
        <v>0</v>
      </c>
      <c r="F12" s="261">
        <f>IFERROR(SUMIF('COM Winbacks'!$A:$A,$A12,'COM Winbacks'!F:F),0)</f>
        <v>0</v>
      </c>
      <c r="G12" s="262">
        <f>IFERROR(SUMIF('COM Winbacks'!$A:$A,$A12,'COM Winbacks'!G:G),0)</f>
        <v>0</v>
      </c>
      <c r="H12" s="263">
        <f>IFERROR(SUMIF(Residential!$A:$A,$A12,Residential!C:C),0)</f>
        <v>0</v>
      </c>
      <c r="I12" s="261">
        <f>IFERROR(SUMIF(Residential!$A:$A,$A12,Residential!D:D),0)</f>
        <v>0</v>
      </c>
      <c r="J12" s="261">
        <f>IFERROR(SUMIF(Residential!$A:$A,$A12,Residential!E:E),0)</f>
        <v>0</v>
      </c>
      <c r="K12" s="261">
        <f>IFERROR(SUMIF(Residential!$A:$A,$A12,Residential!F:F),0)</f>
        <v>0</v>
      </c>
      <c r="L12" s="262">
        <f>IFERROR(SUMIF(Residential!$A:$A,$A12,Residential!G:G),0)</f>
        <v>0</v>
      </c>
      <c r="M12" s="263">
        <f>IFERROR(SUMIF(Commercial!$A$8:$A$10,$A12,Commercial!E$8:E$10),0)</f>
        <v>0</v>
      </c>
      <c r="N12" s="261">
        <f>IFERROR(SUMIF(Commercial!$A$8:$A$10,$A12,Commercial!K$8:K$10),0)</f>
        <v>0</v>
      </c>
      <c r="O12" s="261">
        <f>IFERROR(SUMIF(Commercial!$A$8:$A$10,$A12,Commercial!Q$8:Q$10),0)</f>
        <v>0</v>
      </c>
      <c r="P12" s="261">
        <f>IFERROR(SUMIF(Commercial!$A$8:$A$10,$A12,Commercial!W$8:W$10),0)</f>
        <v>0</v>
      </c>
      <c r="Q12" s="262">
        <f>IFERROR(SUMIF(Commercial!$A$8:$A$10,$A12,Commercial!AC$8:AC$10),0)</f>
        <v>0</v>
      </c>
      <c r="R12" s="267">
        <f t="shared" ref="R12:V12" si="9">C12+H12+M12</f>
        <v>0</v>
      </c>
      <c r="S12" s="268">
        <f t="shared" si="9"/>
        <v>0</v>
      </c>
      <c r="T12" s="268">
        <f t="shared" si="9"/>
        <v>0</v>
      </c>
      <c r="U12" s="269">
        <f t="shared" si="9"/>
        <v>0</v>
      </c>
      <c r="V12" s="270">
        <f t="shared" si="9"/>
        <v>0</v>
      </c>
      <c r="W12" s="271">
        <f t="shared" si="10"/>
        <v>0</v>
      </c>
    </row>
    <row r="13" ht="15.75" customHeight="1">
      <c r="A13" s="258">
        <f>Commercial!A9</f>
        <v>1300</v>
      </c>
      <c r="B13" s="259" t="str">
        <f t="array" ref="B13">IFERROR(INDEX(Commercial!B:B,MATCH(A13,Commercial!A:A,0)),"")</f>
        <v>Neil Singhal (Commercial)</v>
      </c>
      <c r="C13" s="260">
        <f>IFERROR(SUMIF('COM Winbacks'!$A:$A,$A13,'COM Winbacks'!C:C),0)</f>
        <v>1</v>
      </c>
      <c r="D13" s="261">
        <f>IFERROR(SUMIF('COM Winbacks'!$A:$A,$A13,'COM Winbacks'!D:D),0)</f>
        <v>0</v>
      </c>
      <c r="E13" s="261">
        <f>IFERROR(SUMIF('COM Winbacks'!$A:$A,$A13,'COM Winbacks'!E:E),0)</f>
        <v>0</v>
      </c>
      <c r="F13" s="261">
        <f>IFERROR(SUMIF('COM Winbacks'!$A:$A,$A13,'COM Winbacks'!F:F),0)</f>
        <v>0</v>
      </c>
      <c r="G13" s="262">
        <f>IFERROR(SUMIF('COM Winbacks'!$A:$A,$A13,'COM Winbacks'!G:G),0)</f>
        <v>0</v>
      </c>
      <c r="H13" s="263">
        <f>IFERROR(SUMIF(Residential!$A:$A,$A13,Residential!C:C),0)</f>
        <v>0</v>
      </c>
      <c r="I13" s="261">
        <f>IFERROR(SUMIF(Residential!$A:$A,$A13,Residential!D:D),0)</f>
        <v>0</v>
      </c>
      <c r="J13" s="261">
        <f>IFERROR(SUMIF(Residential!$A:$A,$A13,Residential!E:E),0)</f>
        <v>0</v>
      </c>
      <c r="K13" s="261">
        <f>IFERROR(SUMIF(Residential!$A:$A,$A13,Residential!F:F),0)</f>
        <v>0</v>
      </c>
      <c r="L13" s="262">
        <f>IFERROR(SUMIF(Residential!$A:$A,$A13,Residential!G:G),0)</f>
        <v>0</v>
      </c>
      <c r="M13" s="263">
        <f>IFERROR(SUMIF(Commercial!$A$8:$A$10,$A13,Commercial!E$8:E$10),0)</f>
        <v>0</v>
      </c>
      <c r="N13" s="261">
        <f>IFERROR(SUMIF(Commercial!$A$8:$A$10,$A13,Commercial!K$8:K$10),0)</f>
        <v>0</v>
      </c>
      <c r="O13" s="261">
        <f>IFERROR(SUMIF(Commercial!$A$8:$A$10,$A13,Commercial!Q$8:Q$10),0)</f>
        <v>0</v>
      </c>
      <c r="P13" s="261">
        <f>IFERROR(SUMIF(Commercial!$A$8:$A$10,$A13,Commercial!W$8:W$10),0)</f>
        <v>0</v>
      </c>
      <c r="Q13" s="262">
        <f>IFERROR(SUMIF(Commercial!$A$8:$A$10,$A13,Commercial!AC$8:AC$10),0)</f>
        <v>0</v>
      </c>
      <c r="R13" s="267">
        <f t="shared" ref="R13:V13" si="11">C13+H13+M13</f>
        <v>1</v>
      </c>
      <c r="S13" s="268">
        <f t="shared" si="11"/>
        <v>0</v>
      </c>
      <c r="T13" s="268">
        <f t="shared" si="11"/>
        <v>0</v>
      </c>
      <c r="U13" s="269">
        <f t="shared" si="11"/>
        <v>0</v>
      </c>
      <c r="V13" s="270">
        <f t="shared" si="11"/>
        <v>0</v>
      </c>
      <c r="W13" s="271">
        <f t="shared" si="10"/>
        <v>1</v>
      </c>
    </row>
    <row r="14" ht="15.75" customHeight="1">
      <c r="A14" s="280"/>
      <c r="B14" s="281" t="s">
        <v>23</v>
      </c>
      <c r="C14" s="282">
        <f t="shared" ref="C14:V14" si="12">SUM(C3:C13)</f>
        <v>1</v>
      </c>
      <c r="D14" s="283">
        <f t="shared" si="12"/>
        <v>0</v>
      </c>
      <c r="E14" s="283">
        <f t="shared" si="12"/>
        <v>0</v>
      </c>
      <c r="F14" s="283">
        <f t="shared" si="12"/>
        <v>0</v>
      </c>
      <c r="G14" s="284">
        <f t="shared" si="12"/>
        <v>0</v>
      </c>
      <c r="H14" s="285">
        <f t="shared" si="12"/>
        <v>0</v>
      </c>
      <c r="I14" s="283">
        <f t="shared" si="12"/>
        <v>0</v>
      </c>
      <c r="J14" s="283">
        <f t="shared" si="12"/>
        <v>0</v>
      </c>
      <c r="K14" s="283">
        <f t="shared" si="12"/>
        <v>0</v>
      </c>
      <c r="L14" s="284">
        <f t="shared" si="12"/>
        <v>0</v>
      </c>
      <c r="M14" s="285">
        <f t="shared" si="12"/>
        <v>2</v>
      </c>
      <c r="N14" s="283">
        <f t="shared" si="12"/>
        <v>0</v>
      </c>
      <c r="O14" s="283">
        <f t="shared" si="12"/>
        <v>0</v>
      </c>
      <c r="P14" s="283">
        <f t="shared" si="12"/>
        <v>0</v>
      </c>
      <c r="Q14" s="284">
        <f t="shared" si="12"/>
        <v>0</v>
      </c>
      <c r="R14" s="282">
        <f t="shared" si="12"/>
        <v>3</v>
      </c>
      <c r="S14" s="283">
        <f t="shared" si="12"/>
        <v>0</v>
      </c>
      <c r="T14" s="283">
        <f t="shared" si="12"/>
        <v>0</v>
      </c>
      <c r="U14" s="284">
        <f t="shared" si="12"/>
        <v>0</v>
      </c>
      <c r="V14" s="286">
        <f t="shared" si="12"/>
        <v>0</v>
      </c>
      <c r="W14" s="279">
        <f t="shared" si="10"/>
        <v>3</v>
      </c>
    </row>
    <row r="15" ht="15.75" customHeight="1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</row>
    <row r="16" ht="15.75" customHeight="1"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</row>
    <row r="17" ht="15.75" customHeight="1"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</row>
    <row r="18" ht="15.75" customHeight="1"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</row>
    <row r="19" ht="15.75" customHeight="1"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</row>
    <row r="20" ht="15.75" customHeight="1"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</row>
    <row r="21" ht="15.75" customHeight="1"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</row>
    <row r="22" ht="15.75" customHeight="1"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</row>
    <row r="23" ht="15.75" customHeight="1"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</row>
    <row r="24" ht="15.75" customHeight="1"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</row>
    <row r="25" ht="15.75" customHeight="1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</row>
    <row r="26" ht="15.75" customHeight="1"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</row>
    <row r="27" ht="15.75" customHeight="1"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</row>
    <row r="28" ht="15.75" customHeight="1"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</row>
    <row r="29" ht="15.75" customHeight="1"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</row>
    <row r="30" ht="15.75" customHeight="1"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</row>
    <row r="31" ht="15.75" customHeight="1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</row>
    <row r="32" ht="15.75" customHeight="1"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</row>
    <row r="33" ht="15.75" customHeight="1"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</row>
    <row r="34" ht="15.75" customHeight="1"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</row>
    <row r="35" ht="15.75" customHeight="1"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</row>
    <row r="36" ht="15.75" customHeight="1"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</row>
    <row r="37" ht="15.75" customHeight="1"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</row>
    <row r="38" ht="15.75" customHeight="1">
      <c r="C38" s="114"/>
      <c r="D38" s="114"/>
      <c r="E38" s="114"/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</row>
    <row r="39" ht="15.75" customHeight="1"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</row>
    <row r="40" ht="15.75" customHeight="1"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</row>
    <row r="41" ht="15.75" customHeight="1">
      <c r="C41" s="114"/>
      <c r="D41" s="114"/>
      <c r="E41" s="114"/>
      <c r="F41" s="114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</row>
    <row r="42" ht="15.75" customHeight="1"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</row>
    <row r="43" ht="15.75" customHeight="1"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</row>
    <row r="44" ht="15.75" customHeight="1"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</row>
    <row r="45" ht="15.75" customHeight="1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</row>
    <row r="46" ht="15.75" customHeight="1"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</row>
    <row r="47" ht="15.75" customHeight="1"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</row>
    <row r="48" ht="15.75" customHeight="1"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</row>
    <row r="49" ht="15.75" customHeight="1"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</row>
    <row r="50" ht="15.75" customHeight="1"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</row>
    <row r="51" ht="15.75" customHeight="1"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</row>
    <row r="52" ht="15.75" customHeight="1"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</row>
    <row r="53" ht="15.75" customHeight="1"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</row>
    <row r="54" ht="15.75" customHeight="1"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</row>
    <row r="55" ht="15.75" customHeight="1"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</row>
    <row r="56" ht="15.75" customHeight="1"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</row>
    <row r="57" ht="15.75" customHeight="1"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</row>
    <row r="58" ht="15.75" customHeight="1"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</row>
    <row r="59" ht="15.75" customHeight="1"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</row>
    <row r="60" ht="15.75" customHeight="1"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</row>
    <row r="61" ht="15.75" customHeight="1"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</row>
    <row r="62" ht="15.75" customHeight="1"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</row>
    <row r="63" ht="15.75" customHeight="1"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</row>
    <row r="64" ht="15.75" customHeight="1"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</row>
    <row r="65" ht="15.75" customHeight="1"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</row>
    <row r="66" ht="15.75" customHeight="1"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</row>
    <row r="67" ht="15.75" customHeight="1"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</row>
    <row r="68" ht="15.75" customHeight="1"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</row>
    <row r="69" ht="15.75" customHeight="1"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</row>
    <row r="70" ht="15.75" customHeight="1"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</row>
    <row r="71" ht="15.75" customHeight="1"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</row>
    <row r="72" ht="15.75" customHeight="1"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</row>
    <row r="73" ht="15.75" customHeight="1"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</row>
    <row r="74" ht="15.75" customHeight="1"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</row>
    <row r="75" ht="15.75" customHeight="1"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</row>
    <row r="76" ht="15.75" customHeight="1"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</row>
    <row r="77" ht="15.75" customHeight="1"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</row>
    <row r="78" ht="15.75" customHeight="1"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</row>
    <row r="79" ht="15.75" customHeight="1"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</row>
    <row r="80" ht="15.75" customHeight="1"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</row>
    <row r="81" ht="15.75" customHeight="1"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</row>
    <row r="82" ht="15.75" customHeight="1"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</row>
    <row r="83" ht="15.75" customHeight="1"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</row>
    <row r="84" ht="15.75" customHeight="1"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</row>
    <row r="85" ht="15.75" customHeight="1"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</row>
    <row r="86" ht="15.75" customHeight="1">
      <c r="C86" s="114"/>
      <c r="D86" s="114"/>
      <c r="E86" s="114"/>
      <c r="F86" s="114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</row>
    <row r="87" ht="15.75" customHeight="1"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</row>
    <row r="88" ht="15.75" customHeight="1"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</row>
    <row r="89" ht="15.75" customHeight="1"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</row>
    <row r="90" ht="15.75" customHeight="1"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</row>
    <row r="91" ht="15.75" customHeight="1">
      <c r="C91" s="114"/>
      <c r="D91" s="114"/>
      <c r="E91" s="114"/>
      <c r="F91" s="114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</row>
    <row r="92" ht="15.75" customHeight="1"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</row>
    <row r="93" ht="15.75" customHeight="1"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</row>
    <row r="94" ht="15.75" customHeight="1"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</row>
    <row r="95" ht="15.75" customHeight="1"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</row>
    <row r="96" ht="15.75" customHeight="1">
      <c r="C96" s="114"/>
      <c r="D96" s="114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</row>
    <row r="97" ht="15.75" customHeight="1"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</row>
    <row r="98" ht="15.75" customHeight="1"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</row>
    <row r="99" ht="15.75" customHeight="1"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</row>
    <row r="100" ht="15.75" customHeight="1"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</row>
    <row r="101" ht="15.75" customHeight="1"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</row>
    <row r="102" ht="15.75" customHeight="1"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</row>
    <row r="103" ht="15.75" customHeight="1"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</row>
    <row r="104" ht="15.75" customHeight="1"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</row>
    <row r="105" ht="15.75" customHeight="1"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</row>
    <row r="106" ht="15.75" customHeight="1"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</row>
    <row r="107" ht="15.75" customHeight="1"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</row>
    <row r="108" ht="15.75" customHeight="1"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</row>
    <row r="109" ht="15.75" customHeight="1"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</row>
    <row r="110" ht="15.75" customHeight="1"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</row>
    <row r="111" ht="15.75" customHeight="1">
      <c r="C111" s="114"/>
      <c r="D111" s="114"/>
      <c r="E111" s="114"/>
      <c r="F111" s="114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</row>
    <row r="112" ht="15.75" customHeight="1">
      <c r="C112" s="114"/>
      <c r="D112" s="114"/>
      <c r="E112" s="114"/>
      <c r="F112" s="114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</row>
    <row r="113" ht="15.75" customHeight="1"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</row>
    <row r="114" ht="15.75" customHeight="1"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</row>
    <row r="115" ht="15.75" customHeight="1"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</row>
    <row r="116" ht="15.75" customHeight="1">
      <c r="C116" s="114"/>
      <c r="D116" s="114"/>
      <c r="E116" s="114"/>
      <c r="F116" s="114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</row>
    <row r="117" ht="15.75" customHeight="1"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</row>
    <row r="118" ht="15.75" customHeight="1"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</row>
    <row r="119" ht="15.75" customHeight="1"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</row>
    <row r="120" ht="15.75" customHeight="1"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</row>
    <row r="121" ht="15.75" customHeight="1">
      <c r="C121" s="114"/>
      <c r="D121" s="114"/>
      <c r="E121" s="114"/>
      <c r="F121" s="114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</row>
    <row r="122" ht="15.75" customHeight="1">
      <c r="C122" s="114"/>
      <c r="D122" s="114"/>
      <c r="E122" s="114"/>
      <c r="F122" s="114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</row>
    <row r="123" ht="15.75" customHeight="1">
      <c r="C123" s="114"/>
      <c r="D123" s="114"/>
      <c r="E123" s="114"/>
      <c r="F123" s="114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</row>
    <row r="124" ht="15.75" customHeight="1">
      <c r="C124" s="114"/>
      <c r="D124" s="114"/>
      <c r="E124" s="114"/>
      <c r="F124" s="114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</row>
    <row r="125" ht="15.75" customHeight="1"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</row>
    <row r="126" ht="15.75" customHeight="1">
      <c r="C126" s="114"/>
      <c r="D126" s="114"/>
      <c r="E126" s="114"/>
      <c r="F126" s="114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</row>
    <row r="127" ht="15.75" customHeight="1">
      <c r="C127" s="114"/>
      <c r="D127" s="114"/>
      <c r="E127" s="114"/>
      <c r="F127" s="114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</row>
    <row r="128" ht="15.75" customHeight="1">
      <c r="C128" s="114"/>
      <c r="D128" s="114"/>
      <c r="E128" s="114"/>
      <c r="F128" s="114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</row>
    <row r="129" ht="15.75" customHeight="1"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</row>
    <row r="130" ht="15.75" customHeight="1">
      <c r="C130" s="114"/>
      <c r="D130" s="114"/>
      <c r="E130" s="114"/>
      <c r="F130" s="114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</row>
    <row r="131" ht="15.75" customHeight="1">
      <c r="C131" s="114"/>
      <c r="D131" s="114"/>
      <c r="E131" s="114"/>
      <c r="F131" s="114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</row>
    <row r="132" ht="15.75" customHeight="1">
      <c r="C132" s="114"/>
      <c r="D132" s="114"/>
      <c r="E132" s="114"/>
      <c r="F132" s="114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</row>
    <row r="133" ht="15.75" customHeight="1">
      <c r="C133" s="114"/>
      <c r="D133" s="114"/>
      <c r="E133" s="114"/>
      <c r="F133" s="114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</row>
    <row r="134" ht="15.75" customHeight="1">
      <c r="C134" s="114"/>
      <c r="D134" s="114"/>
      <c r="E134" s="114"/>
      <c r="F134" s="114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</row>
    <row r="135" ht="15.75" customHeight="1">
      <c r="C135" s="114"/>
      <c r="D135" s="114"/>
      <c r="E135" s="114"/>
      <c r="F135" s="114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</row>
    <row r="136" ht="15.75" customHeight="1">
      <c r="C136" s="114"/>
      <c r="D136" s="114"/>
      <c r="E136" s="114"/>
      <c r="F136" s="114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</row>
    <row r="137" ht="15.75" customHeight="1">
      <c r="C137" s="114"/>
      <c r="D137" s="114"/>
      <c r="E137" s="114"/>
      <c r="F137" s="114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</row>
    <row r="138" ht="15.75" customHeight="1">
      <c r="C138" s="114"/>
      <c r="D138" s="114"/>
      <c r="E138" s="114"/>
      <c r="F138" s="114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</row>
    <row r="139" ht="15.75" customHeight="1"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</row>
    <row r="140" ht="15.75" customHeight="1">
      <c r="C140" s="114"/>
      <c r="D140" s="114"/>
      <c r="E140" s="114"/>
      <c r="F140" s="114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</row>
    <row r="141" ht="15.75" customHeight="1">
      <c r="C141" s="114"/>
      <c r="D141" s="114"/>
      <c r="E141" s="114"/>
      <c r="F141" s="114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</row>
    <row r="142" ht="15.75" customHeight="1">
      <c r="C142" s="114"/>
      <c r="D142" s="114"/>
      <c r="E142" s="114"/>
      <c r="F142" s="114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</row>
    <row r="143" ht="15.75" customHeight="1"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</row>
    <row r="144" ht="15.75" customHeight="1">
      <c r="C144" s="114"/>
      <c r="D144" s="114"/>
      <c r="E144" s="114"/>
      <c r="F144" s="114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</row>
    <row r="145" ht="15.75" customHeight="1">
      <c r="C145" s="114"/>
      <c r="D145" s="114"/>
      <c r="E145" s="114"/>
      <c r="F145" s="114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</row>
    <row r="146" ht="15.75" customHeight="1">
      <c r="C146" s="114"/>
      <c r="D146" s="114"/>
      <c r="E146" s="114"/>
      <c r="F146" s="114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</row>
    <row r="147" ht="15.75" customHeight="1">
      <c r="C147" s="114"/>
      <c r="D147" s="114"/>
      <c r="E147" s="114"/>
      <c r="F147" s="114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</row>
    <row r="148" ht="15.75" customHeight="1">
      <c r="C148" s="114"/>
      <c r="D148" s="114"/>
      <c r="E148" s="114"/>
      <c r="F148" s="114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</row>
    <row r="149" ht="15.75" customHeight="1"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</row>
    <row r="150" ht="15.75" customHeight="1"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</row>
    <row r="151" ht="15.75" customHeight="1"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</row>
    <row r="152" ht="15.75" customHeight="1"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</row>
    <row r="153" ht="15.75" customHeight="1"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</row>
    <row r="154" ht="15.75" customHeight="1"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</row>
    <row r="155" ht="15.75" customHeight="1"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</row>
    <row r="156" ht="15.75" customHeight="1"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</row>
    <row r="157" ht="15.75" customHeight="1"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</row>
    <row r="158" ht="15.75" customHeight="1">
      <c r="C158" s="114"/>
      <c r="D158" s="114"/>
      <c r="E158" s="114"/>
      <c r="F158" s="114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</row>
    <row r="159" ht="15.75" customHeight="1"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</row>
    <row r="160" ht="15.75" customHeight="1">
      <c r="C160" s="114"/>
      <c r="D160" s="114"/>
      <c r="E160" s="114"/>
      <c r="F160" s="114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</row>
    <row r="161" ht="15.75" customHeight="1"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</row>
    <row r="162" ht="15.75" customHeight="1">
      <c r="C162" s="114"/>
      <c r="D162" s="114"/>
      <c r="E162" s="114"/>
      <c r="F162" s="114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</row>
    <row r="163" ht="15.75" customHeight="1">
      <c r="C163" s="114"/>
      <c r="D163" s="114"/>
      <c r="E163" s="114"/>
      <c r="F163" s="114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</row>
    <row r="164" ht="15.75" customHeight="1">
      <c r="C164" s="114"/>
      <c r="D164" s="114"/>
      <c r="E164" s="114"/>
      <c r="F164" s="114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</row>
    <row r="165" ht="15.75" customHeight="1">
      <c r="C165" s="114"/>
      <c r="D165" s="114"/>
      <c r="E165" s="114"/>
      <c r="F165" s="114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</row>
    <row r="166" ht="15.75" customHeight="1"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</row>
    <row r="167" ht="15.75" customHeight="1">
      <c r="C167" s="114"/>
      <c r="D167" s="114"/>
      <c r="E167" s="114"/>
      <c r="F167" s="114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</row>
    <row r="168" ht="15.75" customHeight="1">
      <c r="C168" s="114"/>
      <c r="D168" s="114"/>
      <c r="E168" s="114"/>
      <c r="F168" s="114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</row>
    <row r="169" ht="15.75" customHeight="1">
      <c r="C169" s="114"/>
      <c r="D169" s="114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</row>
    <row r="170" ht="15.75" customHeight="1">
      <c r="C170" s="114"/>
      <c r="D170" s="114"/>
      <c r="E170" s="114"/>
      <c r="F170" s="114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</row>
    <row r="171" ht="15.75" customHeight="1">
      <c r="C171" s="114"/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</row>
    <row r="172" ht="15.75" customHeight="1">
      <c r="C172" s="114"/>
      <c r="D172" s="114"/>
      <c r="E172" s="114"/>
      <c r="F172" s="114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</row>
    <row r="173" ht="15.75" customHeight="1">
      <c r="C173" s="114"/>
      <c r="D173" s="114"/>
      <c r="E173" s="114"/>
      <c r="F173" s="114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</row>
    <row r="174" ht="15.75" customHeight="1">
      <c r="C174" s="114"/>
      <c r="D174" s="114"/>
      <c r="E174" s="114"/>
      <c r="F174" s="114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</row>
    <row r="175" ht="15.75" customHeight="1">
      <c r="C175" s="114"/>
      <c r="D175" s="114"/>
      <c r="E175" s="114"/>
      <c r="F175" s="114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</row>
    <row r="176" ht="15.75" customHeight="1">
      <c r="C176" s="114"/>
      <c r="D176" s="114"/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</row>
    <row r="177" ht="15.75" customHeight="1">
      <c r="C177" s="114"/>
      <c r="D177" s="114"/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</row>
    <row r="178" ht="15.75" customHeight="1">
      <c r="C178" s="114"/>
      <c r="D178" s="114"/>
      <c r="E178" s="114"/>
      <c r="F178" s="114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</row>
    <row r="179" ht="15.75" customHeight="1">
      <c r="C179" s="114"/>
      <c r="D179" s="114"/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</row>
    <row r="180" ht="15.75" customHeight="1">
      <c r="C180" s="114"/>
      <c r="D180" s="114"/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</row>
    <row r="181" ht="15.75" customHeight="1">
      <c r="C181" s="114"/>
      <c r="D181" s="114"/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</row>
    <row r="182" ht="15.75" customHeight="1"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</row>
    <row r="183" ht="15.75" customHeight="1">
      <c r="C183" s="114"/>
      <c r="D183" s="114"/>
      <c r="E183" s="114"/>
      <c r="F183" s="114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</row>
    <row r="184" ht="15.75" customHeight="1">
      <c r="C184" s="114"/>
      <c r="D184" s="114"/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</row>
    <row r="185" ht="15.75" customHeight="1"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</row>
    <row r="186" ht="15.75" customHeight="1">
      <c r="C186" s="114"/>
      <c r="D186" s="114"/>
      <c r="E186" s="114"/>
      <c r="F186" s="114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</row>
    <row r="187" ht="15.75" customHeight="1">
      <c r="C187" s="114"/>
      <c r="D187" s="114"/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</row>
    <row r="188" ht="15.75" customHeight="1">
      <c r="C188" s="114"/>
      <c r="D188" s="114"/>
      <c r="E188" s="114"/>
      <c r="F188" s="114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</row>
    <row r="189" ht="15.75" customHeight="1">
      <c r="C189" s="114"/>
      <c r="D189" s="114"/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</row>
    <row r="190" ht="15.75" customHeight="1"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</row>
    <row r="191" ht="15.75" customHeight="1">
      <c r="C191" s="114"/>
      <c r="D191" s="114"/>
      <c r="E191" s="114"/>
      <c r="F191" s="114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</row>
    <row r="192" ht="15.75" customHeight="1"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</row>
    <row r="193" ht="15.75" customHeight="1"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</row>
    <row r="194" ht="15.75" customHeight="1"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</row>
    <row r="195" ht="15.75" customHeight="1"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</row>
    <row r="196" ht="15.75" customHeight="1">
      <c r="C196" s="114"/>
      <c r="D196" s="114"/>
      <c r="E196" s="114"/>
      <c r="F196" s="114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</row>
    <row r="197" ht="15.75" customHeight="1">
      <c r="C197" s="114"/>
      <c r="D197" s="114"/>
      <c r="E197" s="114"/>
      <c r="F197" s="114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</row>
    <row r="198" ht="15.75" customHeight="1">
      <c r="C198" s="114"/>
      <c r="D198" s="114"/>
      <c r="E198" s="114"/>
      <c r="F198" s="114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</row>
    <row r="199" ht="15.75" customHeight="1">
      <c r="C199" s="114"/>
      <c r="D199" s="114"/>
      <c r="E199" s="114"/>
      <c r="F199" s="114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</row>
    <row r="200" ht="15.75" customHeight="1">
      <c r="C200" s="114"/>
      <c r="D200" s="114"/>
      <c r="E200" s="114"/>
      <c r="F200" s="114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</row>
    <row r="201" ht="15.75" customHeight="1">
      <c r="C201" s="114"/>
      <c r="D201" s="114"/>
      <c r="E201" s="114"/>
      <c r="F201" s="114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</row>
    <row r="202" ht="15.75" customHeight="1">
      <c r="C202" s="114"/>
      <c r="D202" s="114"/>
      <c r="E202" s="114"/>
      <c r="F202" s="114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</row>
    <row r="203" ht="15.75" customHeight="1">
      <c r="C203" s="114"/>
      <c r="D203" s="114"/>
      <c r="E203" s="114"/>
      <c r="F203" s="114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</row>
    <row r="204" ht="15.75" customHeight="1">
      <c r="C204" s="114"/>
      <c r="D204" s="114"/>
      <c r="E204" s="114"/>
      <c r="F204" s="114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</row>
    <row r="205" ht="15.75" customHeight="1">
      <c r="C205" s="114"/>
      <c r="D205" s="114"/>
      <c r="E205" s="114"/>
      <c r="F205" s="114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</row>
    <row r="206" ht="15.75" customHeight="1">
      <c r="C206" s="114"/>
      <c r="D206" s="114"/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</row>
    <row r="207" ht="15.75" customHeight="1">
      <c r="C207" s="114"/>
      <c r="D207" s="114"/>
      <c r="E207" s="114"/>
      <c r="F207" s="114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</row>
    <row r="208" ht="15.75" customHeight="1">
      <c r="C208" s="114"/>
      <c r="D208" s="114"/>
      <c r="E208" s="114"/>
      <c r="F208" s="114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</row>
    <row r="209" ht="15.75" customHeight="1">
      <c r="C209" s="114"/>
      <c r="D209" s="114"/>
      <c r="E209" s="114"/>
      <c r="F209" s="114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</row>
    <row r="210" ht="15.75" customHeight="1">
      <c r="C210" s="114"/>
      <c r="D210" s="114"/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</row>
    <row r="211" ht="15.75" customHeight="1">
      <c r="C211" s="114"/>
      <c r="D211" s="114"/>
      <c r="E211" s="114"/>
      <c r="F211" s="114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</row>
    <row r="212" ht="15.75" customHeight="1">
      <c r="C212" s="114"/>
      <c r="D212" s="114"/>
      <c r="E212" s="114"/>
      <c r="F212" s="114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</row>
    <row r="213" ht="15.75" customHeight="1">
      <c r="C213" s="114"/>
      <c r="D213" s="114"/>
      <c r="E213" s="114"/>
      <c r="F213" s="114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</row>
    <row r="214" ht="15.75" customHeight="1">
      <c r="C214" s="114"/>
      <c r="D214" s="114"/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